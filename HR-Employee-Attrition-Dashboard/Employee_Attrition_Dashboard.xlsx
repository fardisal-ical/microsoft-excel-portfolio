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f95d3df79a6312d/Documents/"/>
    </mc:Choice>
  </mc:AlternateContent>
  <xr:revisionPtr revIDLastSave="664" documentId="8_{24178012-95A2-43E5-B6BB-F4A78FC129E2}" xr6:coauthVersionLast="47" xr6:coauthVersionMax="47" xr10:uidLastSave="{9A715765-FE46-4113-9951-B992630A0DF7}"/>
  <bookViews>
    <workbookView xWindow="-98" yWindow="-98" windowWidth="21795" windowHeight="12975" xr2:uid="{3BCADEDD-38B3-4394-951B-FCD562D6D55D}"/>
  </bookViews>
  <sheets>
    <sheet name="Dashbord" sheetId="4" r:id="rId1"/>
    <sheet name="Raw Data" sheetId="2" r:id="rId2"/>
    <sheet name="Data Cleaning" sheetId="1" r:id="rId3"/>
    <sheet name="Analysis" sheetId="3" r:id="rId4"/>
  </sheets>
  <definedNames>
    <definedName name="Slicer_Age_Group">#N/A</definedName>
    <definedName name="Slicer_Department">#N/A</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6" i="4" l="1"/>
  <c r="H46" i="4"/>
  <c r="G46" i="4"/>
  <c r="I44" i="4"/>
  <c r="I45" i="4"/>
  <c r="I43" i="4"/>
  <c r="H44" i="4"/>
  <c r="H45" i="4"/>
  <c r="H43" i="4"/>
  <c r="G44" i="4"/>
  <c r="G45" i="4"/>
  <c r="G43" i="4"/>
  <c r="F44" i="4"/>
  <c r="F45" i="4"/>
  <c r="E45" i="4"/>
  <c r="E44" i="4"/>
  <c r="E43" i="4"/>
  <c r="F43" i="4" s="1"/>
  <c r="D44" i="4"/>
  <c r="D45" i="4"/>
  <c r="D43" i="4"/>
  <c r="D46" i="4" s="1"/>
  <c r="C46" i="4"/>
  <c r="C45" i="4"/>
  <c r="C44" i="4"/>
  <c r="C43" i="4"/>
  <c r="AM2" i="1" a="1"/>
  <c r="AM2" i="1" s="1"/>
  <c r="AM3" i="1" a="1"/>
  <c r="AM3" i="1" s="1"/>
  <c r="AM4" i="1" a="1"/>
  <c r="AM4" i="1" s="1"/>
  <c r="AM5" i="1" a="1"/>
  <c r="AM5" i="1" s="1"/>
  <c r="AM6" i="1" a="1"/>
  <c r="AM6" i="1" s="1"/>
  <c r="AM7" i="1" a="1"/>
  <c r="AM7" i="1" s="1"/>
  <c r="AM8" i="1" a="1"/>
  <c r="AM8" i="1" s="1"/>
  <c r="AM9" i="1" a="1"/>
  <c r="AM9" i="1" s="1"/>
  <c r="AM10" i="1" a="1"/>
  <c r="AM10" i="1" s="1"/>
  <c r="AM11" i="1" a="1"/>
  <c r="AM11" i="1" s="1"/>
  <c r="AM12" i="1" a="1"/>
  <c r="AM12" i="1" s="1"/>
  <c r="AM13" i="1" a="1"/>
  <c r="AM13" i="1" s="1"/>
  <c r="AM14" i="1" a="1"/>
  <c r="AM14" i="1" s="1"/>
  <c r="AM15" i="1" a="1"/>
  <c r="AM15" i="1" s="1"/>
  <c r="AM16" i="1" a="1"/>
  <c r="AM16" i="1" s="1"/>
  <c r="AM17" i="1" a="1"/>
  <c r="AM17" i="1" s="1"/>
  <c r="AM18" i="1" a="1"/>
  <c r="AM18" i="1" s="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s="1"/>
  <c r="AM31" i="1" a="1"/>
  <c r="AM31" i="1" s="1"/>
  <c r="AM32" i="1" a="1"/>
  <c r="AM32" i="1" s="1"/>
  <c r="AM33" i="1" a="1"/>
  <c r="AM33" i="1" s="1"/>
  <c r="AM34" i="1" a="1"/>
  <c r="AM34" i="1" s="1"/>
  <c r="AM35" i="1" a="1"/>
  <c r="AM35" i="1" s="1"/>
  <c r="AM36" i="1" a="1"/>
  <c r="AM36" i="1" s="1"/>
  <c r="AM37" i="1" a="1"/>
  <c r="AM37" i="1" s="1"/>
  <c r="AM38" i="1" a="1"/>
  <c r="AM38" i="1" s="1"/>
  <c r="AM39" i="1" a="1"/>
  <c r="AM39" i="1" s="1"/>
  <c r="AM40" i="1" a="1"/>
  <c r="AM40" i="1" s="1"/>
  <c r="AM41" i="1" a="1"/>
  <c r="AM41" i="1" s="1"/>
  <c r="AM42" i="1" a="1"/>
  <c r="AM42" i="1" s="1"/>
  <c r="AM43" i="1" a="1"/>
  <c r="AM43" i="1" s="1"/>
  <c r="AM44" i="1" a="1"/>
  <c r="AM44" i="1" s="1"/>
  <c r="AM45" i="1" a="1"/>
  <c r="AM45" i="1" s="1"/>
  <c r="AM46" i="1" a="1"/>
  <c r="AM46" i="1" s="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s="1"/>
  <c r="AM59" i="1" a="1"/>
  <c r="AM59" i="1" s="1"/>
  <c r="AM60" i="1" a="1"/>
  <c r="AM60" i="1" s="1"/>
  <c r="AM61" i="1" a="1"/>
  <c r="AM61" i="1" s="1"/>
  <c r="AM62" i="1" a="1"/>
  <c r="AM62" i="1" s="1"/>
  <c r="AM63" i="1" a="1"/>
  <c r="AM63" i="1" s="1"/>
  <c r="AM64" i="1" a="1"/>
  <c r="AM64" i="1" s="1"/>
  <c r="AM65" i="1" a="1"/>
  <c r="AM65"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s="1"/>
  <c r="AM79" i="1" a="1"/>
  <c r="AM79" i="1" s="1"/>
  <c r="AM80" i="1" a="1"/>
  <c r="AM80" i="1" s="1"/>
  <c r="AM81" i="1" a="1"/>
  <c r="AM81" i="1" s="1"/>
  <c r="AM82" i="1" a="1"/>
  <c r="AM82" i="1" s="1"/>
  <c r="AM83" i="1" a="1"/>
  <c r="AM83" i="1" s="1"/>
  <c r="AM84" i="1" a="1"/>
  <c r="AM84" i="1" s="1"/>
  <c r="AM85" i="1" a="1"/>
  <c r="AM85" i="1" s="1"/>
  <c r="AM86" i="1" a="1"/>
  <c r="AM86" i="1" s="1"/>
  <c r="AM87" i="1" a="1"/>
  <c r="AM87" i="1" s="1"/>
  <c r="AM88" i="1" a="1"/>
  <c r="AM88" i="1" s="1"/>
  <c r="AM89" i="1" a="1"/>
  <c r="AM89" i="1" s="1"/>
  <c r="AM90" i="1" a="1"/>
  <c r="AM90" i="1" s="1"/>
  <c r="AM91" i="1" a="1"/>
  <c r="AM91" i="1" s="1"/>
  <c r="AM92" i="1" a="1"/>
  <c r="AM92" i="1" s="1"/>
  <c r="AM93" i="1" a="1"/>
  <c r="AM93" i="1" s="1"/>
  <c r="AM94" i="1" a="1"/>
  <c r="AM94" i="1" s="1"/>
  <c r="AM95" i="1" a="1"/>
  <c r="AM95" i="1" s="1"/>
  <c r="AM96" i="1" a="1"/>
  <c r="AM96" i="1" s="1"/>
  <c r="AM97" i="1" a="1"/>
  <c r="AM97" i="1" s="1"/>
  <c r="AM98" i="1" a="1"/>
  <c r="AM98" i="1" s="1"/>
  <c r="AM99" i="1" a="1"/>
  <c r="AM99" i="1" s="1"/>
  <c r="AM100" i="1" a="1"/>
  <c r="AM100" i="1" s="1"/>
  <c r="AM101" i="1" a="1"/>
  <c r="AM101" i="1" s="1"/>
  <c r="AM102" i="1" a="1"/>
  <c r="AM102" i="1" s="1"/>
  <c r="AM103" i="1" a="1"/>
  <c r="AM103" i="1" s="1"/>
  <c r="AM104" i="1" a="1"/>
  <c r="AM104" i="1" s="1"/>
  <c r="AM105" i="1" a="1"/>
  <c r="AM105" i="1" s="1"/>
  <c r="AM106" i="1" a="1"/>
  <c r="AM106" i="1" s="1"/>
  <c r="AM107" i="1" a="1"/>
  <c r="AM107" i="1" s="1"/>
  <c r="AM108" i="1" a="1"/>
  <c r="AM108" i="1" s="1"/>
  <c r="AM109" i="1" a="1"/>
  <c r="AM109" i="1" s="1"/>
  <c r="AM110" i="1" a="1"/>
  <c r="AM110" i="1" s="1"/>
  <c r="AM111" i="1" a="1"/>
  <c r="AM111" i="1" s="1"/>
  <c r="AM112" i="1" a="1"/>
  <c r="AM112" i="1" s="1"/>
  <c r="AM113" i="1" a="1"/>
  <c r="AM113" i="1" s="1"/>
  <c r="AM114" i="1" a="1"/>
  <c r="AM114" i="1" s="1"/>
  <c r="AM115" i="1" a="1"/>
  <c r="AM115" i="1" s="1"/>
  <c r="AM116" i="1" a="1"/>
  <c r="AM116" i="1" s="1"/>
  <c r="AM117" i="1" a="1"/>
  <c r="AM117" i="1" s="1"/>
  <c r="AM118" i="1" a="1"/>
  <c r="AM118" i="1" s="1"/>
  <c r="AM119" i="1" a="1"/>
  <c r="AM119" i="1" s="1"/>
  <c r="AM120" i="1" a="1"/>
  <c r="AM120" i="1" s="1"/>
  <c r="AM121" i="1" a="1"/>
  <c r="AM121" i="1" s="1"/>
  <c r="AM122" i="1" a="1"/>
  <c r="AM122" i="1" s="1"/>
  <c r="AM123" i="1" a="1"/>
  <c r="AM123" i="1" s="1"/>
  <c r="AM124" i="1" a="1"/>
  <c r="AM124" i="1" s="1"/>
  <c r="AM125" i="1" a="1"/>
  <c r="AM125" i="1" s="1"/>
  <c r="AM126" i="1" a="1"/>
  <c r="AM126" i="1" s="1"/>
  <c r="AM127" i="1" a="1"/>
  <c r="AM127" i="1" s="1"/>
  <c r="AM128" i="1" a="1"/>
  <c r="AM128" i="1" s="1"/>
  <c r="AM129" i="1" a="1"/>
  <c r="AM129" i="1" s="1"/>
  <c r="AM130" i="1" a="1"/>
  <c r="AM130" i="1" s="1"/>
  <c r="AM131" i="1" a="1"/>
  <c r="AM131" i="1" s="1"/>
  <c r="AM132" i="1" a="1"/>
  <c r="AM132" i="1" s="1"/>
  <c r="AM133" i="1" a="1"/>
  <c r="AM133" i="1" s="1"/>
  <c r="AM134" i="1" a="1"/>
  <c r="AM134" i="1" s="1"/>
  <c r="AM135" i="1" a="1"/>
  <c r="AM135" i="1" s="1"/>
  <c r="AM136" i="1" a="1"/>
  <c r="AM136" i="1" s="1"/>
  <c r="AM137" i="1" a="1"/>
  <c r="AM137" i="1" s="1"/>
  <c r="AM138" i="1" a="1"/>
  <c r="AM138" i="1" s="1"/>
  <c r="AM139" i="1" a="1"/>
  <c r="AM139" i="1" s="1"/>
  <c r="AM140" i="1" a="1"/>
  <c r="AM140" i="1" s="1"/>
  <c r="AM141" i="1" a="1"/>
  <c r="AM141" i="1" s="1"/>
  <c r="AM142" i="1" a="1"/>
  <c r="AM142" i="1" s="1"/>
  <c r="AM143" i="1" a="1"/>
  <c r="AM143" i="1" s="1"/>
  <c r="AM144" i="1" a="1"/>
  <c r="AM144" i="1" s="1"/>
  <c r="AM145" i="1" a="1"/>
  <c r="AM145" i="1" s="1"/>
  <c r="AM146" i="1" a="1"/>
  <c r="AM146" i="1" s="1"/>
  <c r="AM147" i="1" a="1"/>
  <c r="AM147" i="1" s="1"/>
  <c r="AM148" i="1" a="1"/>
  <c r="AM148" i="1" s="1"/>
  <c r="AM149" i="1" a="1"/>
  <c r="AM149" i="1" s="1"/>
  <c r="AM150" i="1" a="1"/>
  <c r="AM150" i="1" s="1"/>
  <c r="AM151" i="1" a="1"/>
  <c r="AM151" i="1" s="1"/>
  <c r="AM152" i="1" a="1"/>
  <c r="AM152" i="1" s="1"/>
  <c r="AM153" i="1" a="1"/>
  <c r="AM153" i="1" s="1"/>
  <c r="AM154" i="1" a="1"/>
  <c r="AM154" i="1" s="1"/>
  <c r="AM155" i="1" a="1"/>
  <c r="AM155" i="1" s="1"/>
  <c r="AM156" i="1" a="1"/>
  <c r="AM156" i="1" s="1"/>
  <c r="AM157" i="1" a="1"/>
  <c r="AM157" i="1" s="1"/>
  <c r="AM158" i="1" a="1"/>
  <c r="AM158" i="1" s="1"/>
  <c r="AM159" i="1" a="1"/>
  <c r="AM159" i="1" s="1"/>
  <c r="AM160" i="1" a="1"/>
  <c r="AM160" i="1" s="1"/>
  <c r="AM161" i="1" a="1"/>
  <c r="AM161" i="1" s="1"/>
  <c r="AM162" i="1" a="1"/>
  <c r="AM162" i="1" s="1"/>
  <c r="AM163" i="1" a="1"/>
  <c r="AM163" i="1" s="1"/>
  <c r="AM164" i="1" a="1"/>
  <c r="AM164" i="1" s="1"/>
  <c r="AM165" i="1" a="1"/>
  <c r="AM165" i="1" s="1"/>
  <c r="AM166" i="1" a="1"/>
  <c r="AM166" i="1" s="1"/>
  <c r="AM167" i="1" a="1"/>
  <c r="AM167" i="1" s="1"/>
  <c r="AM168" i="1" a="1"/>
  <c r="AM168" i="1" s="1"/>
  <c r="AM169" i="1" a="1"/>
  <c r="AM169" i="1" s="1"/>
  <c r="AM170" i="1" a="1"/>
  <c r="AM170" i="1" s="1"/>
  <c r="AM171" i="1" a="1"/>
  <c r="AM171" i="1" s="1"/>
  <c r="AM172" i="1" a="1"/>
  <c r="AM172" i="1" s="1"/>
  <c r="AM173" i="1" a="1"/>
  <c r="AM173" i="1" s="1"/>
  <c r="AM174" i="1" a="1"/>
  <c r="AM174" i="1" s="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s="1"/>
  <c r="AM187" i="1" a="1"/>
  <c r="AM187" i="1" s="1"/>
  <c r="AM188" i="1" a="1"/>
  <c r="AM188" i="1" s="1"/>
  <c r="AM189" i="1" a="1"/>
  <c r="AM189" i="1" s="1"/>
  <c r="AM190" i="1" a="1"/>
  <c r="AM190" i="1" s="1"/>
  <c r="AM191" i="1" a="1"/>
  <c r="AM191" i="1" s="1"/>
  <c r="AM192" i="1" a="1"/>
  <c r="AM192" i="1" s="1"/>
  <c r="AM193" i="1" a="1"/>
  <c r="AM193" i="1" s="1"/>
  <c r="AM194" i="1" a="1"/>
  <c r="AM194" i="1" s="1"/>
  <c r="AM195" i="1" a="1"/>
  <c r="AM195" i="1" s="1"/>
  <c r="AM196" i="1" a="1"/>
  <c r="AM196" i="1" s="1"/>
  <c r="AM197" i="1" a="1"/>
  <c r="AM197" i="1" s="1"/>
  <c r="AM198" i="1" a="1"/>
  <c r="AM198" i="1" s="1"/>
  <c r="AM199" i="1" a="1"/>
  <c r="AM199" i="1" s="1"/>
  <c r="AM200" i="1" a="1"/>
  <c r="AM200" i="1" s="1"/>
  <c r="AM201" i="1" a="1"/>
  <c r="AM201" i="1" s="1"/>
  <c r="AM202" i="1" a="1"/>
  <c r="AM202" i="1" s="1"/>
  <c r="AM203" i="1" a="1"/>
  <c r="AM203" i="1" s="1"/>
  <c r="AM204" i="1" a="1"/>
  <c r="AM204" i="1" s="1"/>
  <c r="AM205" i="1" a="1"/>
  <c r="AM205" i="1" s="1"/>
  <c r="AM206" i="1" a="1"/>
  <c r="AM206" i="1" s="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s="1"/>
  <c r="AM219" i="1" a="1"/>
  <c r="AM219" i="1" s="1"/>
  <c r="AM220" i="1" a="1"/>
  <c r="AM220" i="1" s="1"/>
  <c r="AM221" i="1" a="1"/>
  <c r="AM221" i="1" s="1"/>
  <c r="AM222" i="1" a="1"/>
  <c r="AM222" i="1" s="1"/>
  <c r="AM223" i="1" a="1"/>
  <c r="AM223" i="1" s="1"/>
  <c r="AM224" i="1" a="1"/>
  <c r="AM224" i="1" s="1"/>
  <c r="AM225" i="1" a="1"/>
  <c r="AM225" i="1" s="1"/>
  <c r="AM226" i="1" a="1"/>
  <c r="AM226" i="1" s="1"/>
  <c r="AM227" i="1" a="1"/>
  <c r="AM227" i="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s="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s="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s="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s="1"/>
  <c r="AM285" i="1" a="1"/>
  <c r="AM285" i="1" s="1"/>
  <c r="AM286" i="1" a="1"/>
  <c r="AM286" i="1" s="1"/>
  <c r="AM287" i="1" a="1"/>
  <c r="AM287" i="1" s="1"/>
  <c r="AM288" i="1" a="1"/>
  <c r="AM288" i="1" s="1"/>
  <c r="AM289" i="1" a="1"/>
  <c r="AM289" i="1" s="1"/>
  <c r="AM290" i="1" a="1"/>
  <c r="AM290" i="1" s="1"/>
  <c r="AM291" i="1" a="1"/>
  <c r="AM291" i="1" s="1"/>
  <c r="AM292" i="1" a="1"/>
  <c r="AM292" i="1" s="1"/>
  <c r="AM293" i="1" a="1"/>
  <c r="AM293" i="1" s="1"/>
  <c r="AM294" i="1" a="1"/>
  <c r="AM294" i="1" s="1"/>
  <c r="AM295" i="1" a="1"/>
  <c r="AM295" i="1" s="1"/>
  <c r="AM296" i="1" a="1"/>
  <c r="AM296" i="1" s="1"/>
  <c r="AM297" i="1" a="1"/>
  <c r="AM297" i="1" s="1"/>
  <c r="AM298" i="1" a="1"/>
  <c r="AM298" i="1" s="1"/>
  <c r="AM299" i="1" a="1"/>
  <c r="AM299" i="1" s="1"/>
  <c r="AM300" i="1" a="1"/>
  <c r="AM300" i="1" s="1"/>
  <c r="AM301" i="1" a="1"/>
  <c r="AM301" i="1" s="1"/>
  <c r="AM302" i="1" a="1"/>
  <c r="AM302" i="1" s="1"/>
  <c r="AM303" i="1" a="1"/>
  <c r="AM303" i="1" s="1"/>
  <c r="AM304" i="1" a="1"/>
  <c r="AM304" i="1" s="1"/>
  <c r="AM305" i="1" a="1"/>
  <c r="AM305" i="1" s="1"/>
  <c r="AM306" i="1" a="1"/>
  <c r="AM306" i="1" s="1"/>
  <c r="AM307" i="1" a="1"/>
  <c r="AM307" i="1" s="1"/>
  <c r="AM308" i="1" a="1"/>
  <c r="AM308" i="1" s="1"/>
  <c r="AM309" i="1" a="1"/>
  <c r="AM309" i="1" s="1"/>
  <c r="AM310" i="1" a="1"/>
  <c r="AM310" i="1" s="1"/>
  <c r="AM311" i="1" a="1"/>
  <c r="AM311" i="1" s="1"/>
  <c r="AM312" i="1" a="1"/>
  <c r="AM312" i="1" s="1"/>
  <c r="AM313" i="1" a="1"/>
  <c r="AM313" i="1" s="1"/>
  <c r="AM314" i="1" a="1"/>
  <c r="AM314" i="1" s="1"/>
  <c r="AM315" i="1" a="1"/>
  <c r="AM315" i="1" s="1"/>
  <c r="AM316" i="1" a="1"/>
  <c r="AM316" i="1" s="1"/>
  <c r="AM317" i="1" a="1"/>
  <c r="AM317" i="1" s="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s="1"/>
  <c r="AM331" i="1" a="1"/>
  <c r="AM331" i="1" s="1"/>
  <c r="AM332" i="1" a="1"/>
  <c r="AM332" i="1" s="1"/>
  <c r="AM333" i="1" a="1"/>
  <c r="AM333" i="1" s="1"/>
  <c r="AM334" i="1" a="1"/>
  <c r="AM334" i="1" s="1"/>
  <c r="AM335" i="1" a="1"/>
  <c r="AM335" i="1" s="1"/>
  <c r="AM336" i="1" a="1"/>
  <c r="AM336" i="1" s="1"/>
  <c r="AM337" i="1" a="1"/>
  <c r="AM337" i="1" s="1"/>
  <c r="AM338" i="1" a="1"/>
  <c r="AM338" i="1" s="1"/>
  <c r="AM339" i="1" a="1"/>
  <c r="AM339" i="1" s="1"/>
  <c r="AM340" i="1" a="1"/>
  <c r="AM340" i="1" s="1"/>
  <c r="AM341" i="1" a="1"/>
  <c r="AM341" i="1" s="1"/>
  <c r="AM342" i="1" a="1"/>
  <c r="AM342" i="1" s="1"/>
  <c r="AM343" i="1" a="1"/>
  <c r="AM343" i="1" s="1"/>
  <c r="AM344" i="1" a="1"/>
  <c r="AM344" i="1" s="1"/>
  <c r="AM345" i="1" a="1"/>
  <c r="AM345" i="1" s="1"/>
  <c r="AM346" i="1" a="1"/>
  <c r="AM346" i="1" s="1"/>
  <c r="AM347" i="1" a="1"/>
  <c r="AM347" i="1" s="1"/>
  <c r="AM348" i="1" a="1"/>
  <c r="AM348" i="1" s="1"/>
  <c r="AM349" i="1" a="1"/>
  <c r="AM349" i="1" s="1"/>
  <c r="AM350" i="1" a="1"/>
  <c r="AM350" i="1" s="1"/>
  <c r="AM351" i="1" a="1"/>
  <c r="AM351" i="1" s="1"/>
  <c r="AM352" i="1" a="1"/>
  <c r="AM352" i="1" s="1"/>
  <c r="AM353" i="1" a="1"/>
  <c r="AM353" i="1" s="1"/>
  <c r="AM354" i="1" a="1"/>
  <c r="AM354" i="1" s="1"/>
  <c r="AM355" i="1" a="1"/>
  <c r="AM355" i="1" s="1"/>
  <c r="AM356" i="1" a="1"/>
  <c r="AM356" i="1" s="1"/>
  <c r="AM357" i="1" a="1"/>
  <c r="AM357" i="1" s="1"/>
  <c r="AM358" i="1" a="1"/>
  <c r="AM358" i="1" s="1"/>
  <c r="AM359" i="1" a="1"/>
  <c r="AM359" i="1" s="1"/>
  <c r="AM360" i="1" a="1"/>
  <c r="AM360" i="1" s="1"/>
  <c r="AM361" i="1" a="1"/>
  <c r="AM361" i="1" s="1"/>
  <c r="AM362" i="1" a="1"/>
  <c r="AM362" i="1" s="1"/>
  <c r="AM363" i="1" a="1"/>
  <c r="AM363" i="1" s="1"/>
  <c r="AM364" i="1" a="1"/>
  <c r="AM364" i="1" s="1"/>
  <c r="AM365" i="1" a="1"/>
  <c r="AM365" i="1" s="1"/>
  <c r="AM366" i="1" a="1"/>
  <c r="AM366" i="1" s="1"/>
  <c r="AM367" i="1" a="1"/>
  <c r="AM367" i="1" s="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s="1"/>
  <c r="AM379" i="1" a="1"/>
  <c r="AM379" i="1" s="1"/>
  <c r="AM380" i="1" a="1"/>
  <c r="AM380" i="1" s="1"/>
  <c r="AM381" i="1" a="1"/>
  <c r="AM381" i="1" s="1"/>
  <c r="AM382" i="1" a="1"/>
  <c r="AM382" i="1" s="1"/>
  <c r="AM383" i="1" a="1"/>
  <c r="AM383" i="1" s="1"/>
  <c r="AM384" i="1" a="1"/>
  <c r="AM384" i="1" s="1"/>
  <c r="AM385" i="1" a="1"/>
  <c r="AM385" i="1" s="1"/>
  <c r="AM386" i="1" a="1"/>
  <c r="AM386" i="1" s="1"/>
  <c r="AM387" i="1" a="1"/>
  <c r="AM387" i="1" s="1"/>
  <c r="AM388" i="1" a="1"/>
  <c r="AM388" i="1" s="1"/>
  <c r="AM389" i="1" a="1"/>
  <c r="AM389" i="1" s="1"/>
  <c r="AM390" i="1" a="1"/>
  <c r="AM390" i="1" s="1"/>
  <c r="AM391" i="1" a="1"/>
  <c r="AM391" i="1" s="1"/>
  <c r="AM392" i="1" a="1"/>
  <c r="AM392" i="1" s="1"/>
  <c r="AM393" i="1" a="1"/>
  <c r="AM393" i="1" s="1"/>
  <c r="AM394" i="1" a="1"/>
  <c r="AM394" i="1" s="1"/>
  <c r="AM395" i="1" a="1"/>
  <c r="AM395" i="1" s="1"/>
  <c r="AM396" i="1" a="1"/>
  <c r="AM396" i="1" s="1"/>
  <c r="AM397" i="1" a="1"/>
  <c r="AM397" i="1" s="1"/>
  <c r="AM398" i="1" a="1"/>
  <c r="AM398" i="1" s="1"/>
  <c r="AM399" i="1" a="1"/>
  <c r="AM399" i="1" s="1"/>
  <c r="AM400" i="1" a="1"/>
  <c r="AM400" i="1" s="1"/>
  <c r="AM401" i="1" a="1"/>
  <c r="AM401" i="1" s="1"/>
  <c r="AM402" i="1" a="1"/>
  <c r="AM402" i="1" s="1"/>
  <c r="AM403" i="1" a="1"/>
  <c r="AM403" i="1" s="1"/>
  <c r="AM404" i="1" a="1"/>
  <c r="AM404" i="1" s="1"/>
  <c r="AM405" i="1" a="1"/>
  <c r="AM405" i="1" s="1"/>
  <c r="AM406" i="1" a="1"/>
  <c r="AM406" i="1" s="1"/>
  <c r="AM407" i="1" a="1"/>
  <c r="AM407" i="1" s="1"/>
  <c r="AM408" i="1" a="1"/>
  <c r="AM408" i="1" s="1"/>
  <c r="AM409" i="1" a="1"/>
  <c r="AM409" i="1" s="1"/>
  <c r="AM410" i="1" a="1"/>
  <c r="AM410" i="1" s="1"/>
  <c r="AM411" i="1" a="1"/>
  <c r="AM411" i="1" s="1"/>
  <c r="AM412" i="1" a="1"/>
  <c r="AM412" i="1" s="1"/>
  <c r="AM413" i="1" a="1"/>
  <c r="AM413" i="1" s="1"/>
  <c r="AM414" i="1" a="1"/>
  <c r="AM414" i="1" s="1"/>
  <c r="AM415" i="1" a="1"/>
  <c r="AM415" i="1" s="1"/>
  <c r="AM416" i="1" a="1"/>
  <c r="AM416" i="1" s="1"/>
  <c r="AM417" i="1" a="1"/>
  <c r="AM417" i="1" s="1"/>
  <c r="AM418" i="1" a="1"/>
  <c r="AM418" i="1" s="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s="1"/>
  <c r="AM430" i="1" a="1"/>
  <c r="AM430" i="1" s="1"/>
  <c r="AM431" i="1" a="1"/>
  <c r="AM431" i="1" s="1"/>
  <c r="AM432" i="1" a="1"/>
  <c r="AM432" i="1" s="1"/>
  <c r="AM433" i="1" a="1"/>
  <c r="AM433" i="1" s="1"/>
  <c r="AM434" i="1" a="1"/>
  <c r="AM434" i="1" s="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s="1"/>
  <c r="AM446" i="1" a="1"/>
  <c r="AM446" i="1" s="1"/>
  <c r="AM447" i="1" a="1"/>
  <c r="AM447" i="1" s="1"/>
  <c r="AM448" i="1" a="1"/>
  <c r="AM448" i="1" s="1"/>
  <c r="AM449" i="1" a="1"/>
  <c r="AM449" i="1" s="1"/>
  <c r="AM450" i="1" a="1"/>
  <c r="AM450" i="1" s="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s="1"/>
  <c r="AM462" i="1" a="1"/>
  <c r="AM462" i="1" s="1"/>
  <c r="AM463" i="1" a="1"/>
  <c r="AM463" i="1" s="1"/>
  <c r="AM464" i="1" a="1"/>
  <c r="AM464" i="1" s="1"/>
  <c r="AM465" i="1" a="1"/>
  <c r="AM465" i="1" s="1"/>
  <c r="AM466" i="1" a="1"/>
  <c r="AM466" i="1" s="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s="1"/>
  <c r="AM478" i="1" a="1"/>
  <c r="AM478" i="1" s="1"/>
  <c r="AM479" i="1" a="1"/>
  <c r="AM479" i="1" s="1"/>
  <c r="AM480" i="1" a="1"/>
  <c r="AM480" i="1" s="1"/>
  <c r="AM481" i="1" a="1"/>
  <c r="AM481" i="1" s="1"/>
  <c r="AM482" i="1" a="1"/>
  <c r="AM482" i="1" s="1"/>
  <c r="AM483" i="1" a="1"/>
  <c r="AM483" i="1"/>
  <c r="AM484" i="1" a="1"/>
  <c r="AM484" i="1" s="1"/>
  <c r="AM485" i="1" a="1"/>
  <c r="AM485" i="1" s="1"/>
  <c r="AM486" i="1" a="1"/>
  <c r="AM486" i="1" s="1"/>
  <c r="AM487" i="1" a="1"/>
  <c r="AM487" i="1" s="1"/>
  <c r="AM488" i="1" a="1"/>
  <c r="AM488" i="1" s="1"/>
  <c r="AM489" i="1" a="1"/>
  <c r="AM489" i="1" s="1"/>
  <c r="AM490" i="1" a="1"/>
  <c r="AM490" i="1" s="1"/>
  <c r="AM491" i="1" a="1"/>
  <c r="AM491" i="1" s="1"/>
  <c r="AM492" i="1" a="1"/>
  <c r="AM492" i="1" s="1"/>
  <c r="AM493" i="1" a="1"/>
  <c r="AM493" i="1" s="1"/>
  <c r="AM494" i="1" a="1"/>
  <c r="AM494" i="1" s="1"/>
  <c r="AM495" i="1" a="1"/>
  <c r="AM495" i="1" s="1"/>
  <c r="AM496" i="1" a="1"/>
  <c r="AM496" i="1" s="1"/>
  <c r="AM497" i="1" a="1"/>
  <c r="AM497" i="1" s="1"/>
  <c r="AM498" i="1" a="1"/>
  <c r="AM498" i="1" s="1"/>
  <c r="AM499" i="1" a="1"/>
  <c r="AM499" i="1" s="1"/>
  <c r="AM500" i="1" a="1"/>
  <c r="AM500" i="1" s="1"/>
  <c r="AM501" i="1" a="1"/>
  <c r="AM501" i="1" s="1"/>
  <c r="AM502" i="1" a="1"/>
  <c r="AM502" i="1" s="1"/>
  <c r="AM503" i="1" a="1"/>
  <c r="AM503" i="1" s="1"/>
  <c r="AM504" i="1" a="1"/>
  <c r="AM504" i="1" s="1"/>
  <c r="AM505" i="1" a="1"/>
  <c r="AM505" i="1" s="1"/>
  <c r="AM506" i="1" a="1"/>
  <c r="AM506" i="1" s="1"/>
  <c r="AM507" i="1" a="1"/>
  <c r="AM507" i="1" s="1"/>
  <c r="AM508" i="1" a="1"/>
  <c r="AM508" i="1" s="1"/>
  <c r="AM509" i="1" a="1"/>
  <c r="AM509" i="1" s="1"/>
  <c r="AM510" i="1" a="1"/>
  <c r="AM510" i="1" s="1"/>
  <c r="AM511" i="1" a="1"/>
  <c r="AM511" i="1" s="1"/>
  <c r="AM512" i="1" a="1"/>
  <c r="AM512" i="1" s="1"/>
  <c r="AM513" i="1" a="1"/>
  <c r="AM513" i="1" s="1"/>
  <c r="AM514" i="1" a="1"/>
  <c r="AM514" i="1" s="1"/>
  <c r="AM515" i="1" a="1"/>
  <c r="AM515" i="1" s="1"/>
  <c r="AM516" i="1" a="1"/>
  <c r="AM516" i="1" s="1"/>
  <c r="AM517" i="1" a="1"/>
  <c r="AM517" i="1" s="1"/>
  <c r="AM518" i="1" a="1"/>
  <c r="AM518" i="1" s="1"/>
  <c r="AM519" i="1" a="1"/>
  <c r="AM519" i="1" s="1"/>
  <c r="AM520" i="1" a="1"/>
  <c r="AM520" i="1" s="1"/>
  <c r="AM521" i="1" a="1"/>
  <c r="AM521" i="1" s="1"/>
  <c r="AM522" i="1" a="1"/>
  <c r="AM522" i="1" s="1"/>
  <c r="AM523" i="1" a="1"/>
  <c r="AM523" i="1" s="1"/>
  <c r="AM524" i="1" a="1"/>
  <c r="AM524" i="1" s="1"/>
  <c r="AM525" i="1" a="1"/>
  <c r="AM525" i="1" s="1"/>
  <c r="AM526" i="1" a="1"/>
  <c r="AM526" i="1" s="1"/>
  <c r="AM527" i="1" a="1"/>
  <c r="AM527" i="1" s="1"/>
  <c r="AM528" i="1" a="1"/>
  <c r="AM528" i="1" s="1"/>
  <c r="AM529" i="1" a="1"/>
  <c r="AM529" i="1" s="1"/>
  <c r="AM530" i="1" a="1"/>
  <c r="AM530" i="1" s="1"/>
  <c r="AM531" i="1" a="1"/>
  <c r="AM531" i="1" s="1"/>
  <c r="AM532" i="1" a="1"/>
  <c r="AM532" i="1" s="1"/>
  <c r="AM533" i="1" a="1"/>
  <c r="AM533" i="1" s="1"/>
  <c r="AM534" i="1" a="1"/>
  <c r="AM534" i="1" s="1"/>
  <c r="AM535" i="1" a="1"/>
  <c r="AM535" i="1" s="1"/>
  <c r="AM536" i="1" a="1"/>
  <c r="AM536" i="1" s="1"/>
  <c r="AM537" i="1" a="1"/>
  <c r="AM537" i="1" s="1"/>
  <c r="AM538" i="1" a="1"/>
  <c r="AM538" i="1" s="1"/>
  <c r="AM539" i="1" a="1"/>
  <c r="AM539" i="1" s="1"/>
  <c r="AM540" i="1" a="1"/>
  <c r="AM540" i="1" s="1"/>
  <c r="AM541" i="1" a="1"/>
  <c r="AM541" i="1" s="1"/>
  <c r="AM542" i="1" a="1"/>
  <c r="AM542" i="1" s="1"/>
  <c r="AM543" i="1" a="1"/>
  <c r="AM543" i="1" s="1"/>
  <c r="AM544" i="1" a="1"/>
  <c r="AM544" i="1" s="1"/>
  <c r="AM545" i="1" a="1"/>
  <c r="AM545" i="1" s="1"/>
  <c r="AM546" i="1" a="1"/>
  <c r="AM546" i="1" s="1"/>
  <c r="AM547" i="1" a="1"/>
  <c r="AM547" i="1" s="1"/>
  <c r="AM548" i="1" a="1"/>
  <c r="AM548" i="1" s="1"/>
  <c r="AM549" i="1" a="1"/>
  <c r="AM549" i="1" s="1"/>
  <c r="AM550" i="1" a="1"/>
  <c r="AM550" i="1" s="1"/>
  <c r="AM551" i="1" a="1"/>
  <c r="AM551" i="1" s="1"/>
  <c r="AM552" i="1" a="1"/>
  <c r="AM552" i="1" s="1"/>
  <c r="AM553" i="1" a="1"/>
  <c r="AM553" i="1" s="1"/>
  <c r="AM554" i="1" a="1"/>
  <c r="AM554" i="1" s="1"/>
  <c r="AM555" i="1" a="1"/>
  <c r="AM555" i="1" s="1"/>
  <c r="AM556" i="1" a="1"/>
  <c r="AM556" i="1" s="1"/>
  <c r="AM557" i="1" a="1"/>
  <c r="AM557" i="1" s="1"/>
  <c r="AM558" i="1" a="1"/>
  <c r="AM558" i="1" s="1"/>
  <c r="AM559" i="1" a="1"/>
  <c r="AM559" i="1" s="1"/>
  <c r="AM560" i="1" a="1"/>
  <c r="AM560" i="1" s="1"/>
  <c r="AM561" i="1" a="1"/>
  <c r="AM561" i="1" s="1"/>
  <c r="AM562" i="1" a="1"/>
  <c r="AM562" i="1" s="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s="1"/>
  <c r="AM576" i="1" a="1"/>
  <c r="AM576" i="1" s="1"/>
  <c r="AM577" i="1" a="1"/>
  <c r="AM577" i="1" s="1"/>
  <c r="AM578" i="1" a="1"/>
  <c r="AM578" i="1" s="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s="1"/>
  <c r="AM590" i="1" a="1"/>
  <c r="AM590" i="1" s="1"/>
  <c r="AM591" i="1" a="1"/>
  <c r="AM591" i="1" s="1"/>
  <c r="AM592" i="1" a="1"/>
  <c r="AM592" i="1" s="1"/>
  <c r="AM593" i="1" a="1"/>
  <c r="AM593" i="1" s="1"/>
  <c r="AM594" i="1" a="1"/>
  <c r="AM594" i="1" s="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s="1"/>
  <c r="AM608" i="1" a="1"/>
  <c r="AM608" i="1" s="1"/>
  <c r="AM609" i="1" a="1"/>
  <c r="AM609" i="1" s="1"/>
  <c r="AM610" i="1" a="1"/>
  <c r="AM610" i="1" s="1"/>
  <c r="AM611" i="1" a="1"/>
  <c r="AM611" i="1" s="1"/>
  <c r="AM612" i="1" a="1"/>
  <c r="AM612" i="1" s="1"/>
  <c r="AM613" i="1" a="1"/>
  <c r="AM613" i="1" s="1"/>
  <c r="AM614" i="1" a="1"/>
  <c r="AM614" i="1" s="1"/>
  <c r="AM615" i="1" a="1"/>
  <c r="AM615" i="1" s="1"/>
  <c r="AM616" i="1" a="1"/>
  <c r="AM616" i="1" s="1"/>
  <c r="AM617" i="1" a="1"/>
  <c r="AM617" i="1" s="1"/>
  <c r="AM618" i="1" a="1"/>
  <c r="AM618" i="1" s="1"/>
  <c r="AM619" i="1" a="1"/>
  <c r="AM619" i="1" s="1"/>
  <c r="AM620" i="1" a="1"/>
  <c r="AM620" i="1" s="1"/>
  <c r="AM621" i="1" a="1"/>
  <c r="AM621" i="1" s="1"/>
  <c r="AM622" i="1" a="1"/>
  <c r="AM622" i="1" s="1"/>
  <c r="AM623" i="1" a="1"/>
  <c r="AM623" i="1" s="1"/>
  <c r="AM624" i="1" a="1"/>
  <c r="AM624" i="1" s="1"/>
  <c r="AM625" i="1" a="1"/>
  <c r="AM625" i="1" s="1"/>
  <c r="AM626" i="1" a="1"/>
  <c r="AM626" i="1" s="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s="1"/>
  <c r="AM637" i="1" a="1"/>
  <c r="AM637" i="1" s="1"/>
  <c r="AM638" i="1" a="1"/>
  <c r="AM638" i="1" s="1"/>
  <c r="AM639" i="1" a="1"/>
  <c r="AM639" i="1" s="1"/>
  <c r="AM640" i="1" a="1"/>
  <c r="AM640" i="1" s="1"/>
  <c r="AM641" i="1" a="1"/>
  <c r="AM641" i="1" s="1"/>
  <c r="AM642" i="1" a="1"/>
  <c r="AM642" i="1" s="1"/>
  <c r="AM643" i="1" a="1"/>
  <c r="AM643" i="1" s="1"/>
  <c r="AM644" i="1" a="1"/>
  <c r="AM644" i="1" s="1"/>
  <c r="AM645" i="1" a="1"/>
  <c r="AM645" i="1" s="1"/>
  <c r="AM646" i="1" a="1"/>
  <c r="AM646" i="1" s="1"/>
  <c r="AM647" i="1" a="1"/>
  <c r="AM647" i="1" s="1"/>
  <c r="AM648" i="1" a="1"/>
  <c r="AM648" i="1" s="1"/>
  <c r="AM649" i="1" a="1"/>
  <c r="AM649" i="1" s="1"/>
  <c r="AM650" i="1" a="1"/>
  <c r="AM650" i="1" s="1"/>
  <c r="AM651" i="1" a="1"/>
  <c r="AM651" i="1" s="1"/>
  <c r="AM652" i="1" a="1"/>
  <c r="AM652" i="1" s="1"/>
  <c r="AM653" i="1" a="1"/>
  <c r="AM653" i="1" s="1"/>
  <c r="AM654" i="1" a="1"/>
  <c r="AM654" i="1" s="1"/>
  <c r="AM655" i="1" a="1"/>
  <c r="AM655" i="1" s="1"/>
  <c r="AM656" i="1" a="1"/>
  <c r="AM656" i="1" s="1"/>
  <c r="AM657" i="1" a="1"/>
  <c r="AM657" i="1" s="1"/>
  <c r="AM658" i="1" a="1"/>
  <c r="AM658" i="1" s="1"/>
  <c r="AM659" i="1" a="1"/>
  <c r="AM659" i="1" s="1"/>
  <c r="AM660" i="1" a="1"/>
  <c r="AM660" i="1" s="1"/>
  <c r="AM661" i="1" a="1"/>
  <c r="AM661" i="1" s="1"/>
  <c r="AM662" i="1" a="1"/>
  <c r="AM662" i="1" s="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s="1"/>
  <c r="AM675" i="1" a="1"/>
  <c r="AM675" i="1" s="1"/>
  <c r="AM676" i="1" a="1"/>
  <c r="AM676" i="1" s="1"/>
  <c r="AM677" i="1" a="1"/>
  <c r="AM677" i="1" s="1"/>
  <c r="AM678" i="1" a="1"/>
  <c r="AM678" i="1" s="1"/>
  <c r="AM679" i="1" a="1"/>
  <c r="AM679" i="1" s="1"/>
  <c r="AM680" i="1" a="1"/>
  <c r="AM680" i="1" s="1"/>
  <c r="AM681" i="1" a="1"/>
  <c r="AM681" i="1" s="1"/>
  <c r="AM682" i="1" a="1"/>
  <c r="AM682" i="1" s="1"/>
  <c r="AM683" i="1" a="1"/>
  <c r="AM683" i="1" s="1"/>
  <c r="AM684" i="1" a="1"/>
  <c r="AM684" i="1" s="1"/>
  <c r="AM685" i="1" a="1"/>
  <c r="AM685" i="1" s="1"/>
  <c r="AM686" i="1" a="1"/>
  <c r="AM686" i="1" s="1"/>
  <c r="AM687" i="1" a="1"/>
  <c r="AM687" i="1" s="1"/>
  <c r="AM688" i="1" a="1"/>
  <c r="AM688" i="1" s="1"/>
  <c r="AM689" i="1" a="1"/>
  <c r="AM689" i="1" s="1"/>
  <c r="AM690" i="1" a="1"/>
  <c r="AM690" i="1" s="1"/>
  <c r="AM691" i="1" a="1"/>
  <c r="AM691" i="1" s="1"/>
  <c r="AM692" i="1" a="1"/>
  <c r="AM692" i="1" s="1"/>
  <c r="AM693" i="1" a="1"/>
  <c r="AM693" i="1" s="1"/>
  <c r="AM694" i="1" a="1"/>
  <c r="AM694" i="1" s="1"/>
  <c r="AM695" i="1" a="1"/>
  <c r="AM695" i="1" s="1"/>
  <c r="AM696" i="1" a="1"/>
  <c r="AM696" i="1" s="1"/>
  <c r="AM697" i="1" a="1"/>
  <c r="AM697" i="1" s="1"/>
  <c r="AM698" i="1" a="1"/>
  <c r="AM698" i="1" s="1"/>
  <c r="AM699" i="1" a="1"/>
  <c r="AM699" i="1" s="1"/>
  <c r="AM700" i="1" a="1"/>
  <c r="AM700" i="1" s="1"/>
  <c r="AM701" i="1" a="1"/>
  <c r="AM701" i="1" s="1"/>
  <c r="AM702" i="1" a="1"/>
  <c r="AM702" i="1" s="1"/>
  <c r="AM703" i="1" a="1"/>
  <c r="AM703" i="1" s="1"/>
  <c r="AM704" i="1" a="1"/>
  <c r="AM704" i="1" s="1"/>
  <c r="AM705" i="1" a="1"/>
  <c r="AM705" i="1" s="1"/>
  <c r="AM706" i="1" a="1"/>
  <c r="AM706" i="1" s="1"/>
  <c r="AM707" i="1" a="1"/>
  <c r="AM707" i="1" s="1"/>
  <c r="AM708" i="1" a="1"/>
  <c r="AM708" i="1" s="1"/>
  <c r="AM709" i="1" a="1"/>
  <c r="AM709" i="1" s="1"/>
  <c r="AM710" i="1" a="1"/>
  <c r="AM710" i="1" s="1"/>
  <c r="AM711" i="1" a="1"/>
  <c r="AM711" i="1" s="1"/>
  <c r="AM712" i="1" a="1"/>
  <c r="AM712" i="1"/>
  <c r="AM713" i="1" a="1"/>
  <c r="AM713" i="1" s="1"/>
  <c r="AM714" i="1" a="1"/>
  <c r="AM714" i="1" s="1"/>
  <c r="AM715" i="1" a="1"/>
  <c r="AM715" i="1" s="1"/>
  <c r="AM716" i="1" a="1"/>
  <c r="AM716" i="1" s="1"/>
  <c r="AM717" i="1" a="1"/>
  <c r="AM717" i="1" s="1"/>
  <c r="AM718" i="1" a="1"/>
  <c r="AM718" i="1" s="1"/>
  <c r="AM719" i="1" a="1"/>
  <c r="AM719" i="1" s="1"/>
  <c r="AM720" i="1" a="1"/>
  <c r="AM720" i="1" s="1"/>
  <c r="AM721" i="1" a="1"/>
  <c r="AM721" i="1" s="1"/>
  <c r="AM722" i="1" a="1"/>
  <c r="AM722" i="1" s="1"/>
  <c r="AM723" i="1" a="1"/>
  <c r="AM723" i="1" s="1"/>
  <c r="AM724" i="1" a="1"/>
  <c r="AM724" i="1" s="1"/>
  <c r="AM725" i="1" a="1"/>
  <c r="AM725" i="1" s="1"/>
  <c r="AM726" i="1" a="1"/>
  <c r="AM726" i="1" s="1"/>
  <c r="AM727" i="1" a="1"/>
  <c r="AM727" i="1" s="1"/>
  <c r="AM728" i="1" a="1"/>
  <c r="AM728" i="1" s="1"/>
  <c r="AM729" i="1" a="1"/>
  <c r="AM729" i="1" s="1"/>
  <c r="AM730" i="1" a="1"/>
  <c r="AM730" i="1" s="1"/>
  <c r="AM731" i="1" a="1"/>
  <c r="AM731" i="1" s="1"/>
  <c r="AM732" i="1" a="1"/>
  <c r="AM732" i="1" s="1"/>
  <c r="AM733" i="1" a="1"/>
  <c r="AM733" i="1" s="1"/>
  <c r="AM734" i="1" a="1"/>
  <c r="AM734" i="1" s="1"/>
  <c r="AM735" i="1" a="1"/>
  <c r="AM735" i="1" s="1"/>
  <c r="AM736" i="1" a="1"/>
  <c r="AM736" i="1" s="1"/>
  <c r="AM737" i="1" a="1"/>
  <c r="AM737" i="1" s="1"/>
  <c r="AM738" i="1" a="1"/>
  <c r="AM738" i="1" s="1"/>
  <c r="AM739" i="1" a="1"/>
  <c r="AM739" i="1" s="1"/>
  <c r="AM740" i="1" a="1"/>
  <c r="AM740" i="1" s="1"/>
  <c r="AM741" i="1" a="1"/>
  <c r="AM741" i="1" s="1"/>
  <c r="AM742" i="1" a="1"/>
  <c r="AM742" i="1" s="1"/>
  <c r="AM743" i="1" a="1"/>
  <c r="AM743" i="1" s="1"/>
  <c r="AM744" i="1" a="1"/>
  <c r="AM744" i="1" s="1"/>
  <c r="AM745" i="1" a="1"/>
  <c r="AM745" i="1" s="1"/>
  <c r="AM746" i="1" a="1"/>
  <c r="AM746" i="1" s="1"/>
  <c r="AM747" i="1" a="1"/>
  <c r="AM747" i="1" s="1"/>
  <c r="AM748" i="1" a="1"/>
  <c r="AM748" i="1" s="1"/>
  <c r="AM749" i="1" a="1"/>
  <c r="AM749" i="1" s="1"/>
  <c r="AM750" i="1" a="1"/>
  <c r="AM750" i="1" s="1"/>
  <c r="AM751" i="1" a="1"/>
  <c r="AM751" i="1" s="1"/>
  <c r="AM752" i="1" a="1"/>
  <c r="AM752" i="1" s="1"/>
  <c r="AM753" i="1" a="1"/>
  <c r="AM753" i="1" s="1"/>
  <c r="AM754" i="1" a="1"/>
  <c r="AM754" i="1" s="1"/>
  <c r="AM755" i="1" a="1"/>
  <c r="AM755" i="1" s="1"/>
  <c r="AM756" i="1" a="1"/>
  <c r="AM756" i="1" s="1"/>
  <c r="AM757" i="1" a="1"/>
  <c r="AM757" i="1" s="1"/>
  <c r="AM758" i="1" a="1"/>
  <c r="AM758" i="1" s="1"/>
  <c r="AM759" i="1" a="1"/>
  <c r="AM759" i="1" s="1"/>
  <c r="AM760" i="1" a="1"/>
  <c r="AM760" i="1" s="1"/>
  <c r="AM761" i="1" a="1"/>
  <c r="AM761" i="1" s="1"/>
  <c r="AM762" i="1" a="1"/>
  <c r="AM762" i="1" s="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s="1"/>
  <c r="AM773" i="1" a="1"/>
  <c r="AM773" i="1" s="1"/>
  <c r="AM774" i="1" a="1"/>
  <c r="AM774" i="1" s="1"/>
  <c r="AM775" i="1" a="1"/>
  <c r="AM775" i="1" s="1"/>
  <c r="AM776" i="1" a="1"/>
  <c r="AM776" i="1" s="1"/>
  <c r="AM777" i="1" a="1"/>
  <c r="AM777" i="1" s="1"/>
  <c r="AM778" i="1" a="1"/>
  <c r="AM778" i="1" s="1"/>
  <c r="AM779" i="1" a="1"/>
  <c r="AM779" i="1" s="1"/>
  <c r="AM780" i="1" a="1"/>
  <c r="AM780" i="1" s="1"/>
  <c r="AM781" i="1" a="1"/>
  <c r="AM781" i="1" s="1"/>
  <c r="AM782" i="1" a="1"/>
  <c r="AM782" i="1" s="1"/>
  <c r="AM783" i="1" a="1"/>
  <c r="AM783" i="1" s="1"/>
  <c r="AM784" i="1" a="1"/>
  <c r="AM784" i="1" s="1"/>
  <c r="AM785" i="1" a="1"/>
  <c r="AM785" i="1" s="1"/>
  <c r="AM786" i="1" a="1"/>
  <c r="AM786" i="1" s="1"/>
  <c r="AM787" i="1" a="1"/>
  <c r="AM787" i="1" s="1"/>
  <c r="AM788" i="1" a="1"/>
  <c r="AM788" i="1" s="1"/>
  <c r="AM789" i="1" a="1"/>
  <c r="AM789" i="1" s="1"/>
  <c r="AM790" i="1" a="1"/>
  <c r="AM790" i="1" s="1"/>
  <c r="AM791" i="1" a="1"/>
  <c r="AM791" i="1" s="1"/>
  <c r="AM792" i="1" a="1"/>
  <c r="AM792" i="1" s="1"/>
  <c r="AM793" i="1" a="1"/>
  <c r="AM793" i="1" s="1"/>
  <c r="AM794" i="1" a="1"/>
  <c r="AM794" i="1" s="1"/>
  <c r="AM795" i="1" a="1"/>
  <c r="AM795" i="1" s="1"/>
  <c r="AM796" i="1" a="1"/>
  <c r="AM796" i="1" s="1"/>
  <c r="AM797" i="1" a="1"/>
  <c r="AM797" i="1" s="1"/>
  <c r="AM798" i="1" a="1"/>
  <c r="AM798" i="1" s="1"/>
  <c r="AM799" i="1" a="1"/>
  <c r="AM799" i="1" s="1"/>
  <c r="AM800" i="1" a="1"/>
  <c r="AM800" i="1" s="1"/>
  <c r="AM801" i="1" a="1"/>
  <c r="AM801" i="1" s="1"/>
  <c r="AM802" i="1" a="1"/>
  <c r="AM802" i="1" s="1"/>
  <c r="AM803" i="1" a="1"/>
  <c r="AM803" i="1" s="1"/>
  <c r="AM804" i="1" a="1"/>
  <c r="AM804" i="1" s="1"/>
  <c r="AM805" i="1" a="1"/>
  <c r="AM805" i="1" s="1"/>
  <c r="AM806" i="1" a="1"/>
  <c r="AM806" i="1" s="1"/>
  <c r="AM807" i="1" a="1"/>
  <c r="AM807" i="1" s="1"/>
  <c r="AM808" i="1" a="1"/>
  <c r="AM808" i="1" s="1"/>
  <c r="AM809" i="1" a="1"/>
  <c r="AM809" i="1" s="1"/>
  <c r="AM810" i="1" a="1"/>
  <c r="AM810" i="1" s="1"/>
  <c r="AM811" i="1" a="1"/>
  <c r="AM811" i="1" s="1"/>
  <c r="AM812" i="1" a="1"/>
  <c r="AM812" i="1" s="1"/>
  <c r="AM813" i="1" a="1"/>
  <c r="AM813" i="1" s="1"/>
  <c r="AM814" i="1" a="1"/>
  <c r="AM814" i="1" s="1"/>
  <c r="AM815" i="1" a="1"/>
  <c r="AM815" i="1" s="1"/>
  <c r="AM816" i="1" a="1"/>
  <c r="AM816" i="1" s="1"/>
  <c r="AM817" i="1" a="1"/>
  <c r="AM817" i="1" s="1"/>
  <c r="AM818" i="1" a="1"/>
  <c r="AM818" i="1" s="1"/>
  <c r="AM819" i="1" a="1"/>
  <c r="AM819" i="1" s="1"/>
  <c r="AM820" i="1" a="1"/>
  <c r="AM820" i="1" s="1"/>
  <c r="AM821" i="1" a="1"/>
  <c r="AM821" i="1" s="1"/>
  <c r="AM822" i="1" a="1"/>
  <c r="AM822" i="1" s="1"/>
  <c r="AM823" i="1" a="1"/>
  <c r="AM823" i="1" s="1"/>
  <c r="AM824" i="1" a="1"/>
  <c r="AM824" i="1" s="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s="1"/>
  <c r="AM835" i="1" a="1"/>
  <c r="AM835" i="1" s="1"/>
  <c r="AM836" i="1" a="1"/>
  <c r="AM836" i="1" s="1"/>
  <c r="AM837" i="1" a="1"/>
  <c r="AM837" i="1" s="1"/>
  <c r="AM838" i="1" a="1"/>
  <c r="AM838" i="1" s="1"/>
  <c r="AM839" i="1" a="1"/>
  <c r="AM839" i="1" s="1"/>
  <c r="AM840" i="1" a="1"/>
  <c r="AM840" i="1" s="1"/>
  <c r="AM841" i="1" a="1"/>
  <c r="AM841" i="1" s="1"/>
  <c r="AM842" i="1" a="1"/>
  <c r="AM842" i="1" s="1"/>
  <c r="AM843" i="1" a="1"/>
  <c r="AM843" i="1" s="1"/>
  <c r="AM844" i="1" a="1"/>
  <c r="AM844" i="1" s="1"/>
  <c r="AM845" i="1" a="1"/>
  <c r="AM845" i="1" s="1"/>
  <c r="AM846" i="1" a="1"/>
  <c r="AM846" i="1" s="1"/>
  <c r="AM847" i="1" a="1"/>
  <c r="AM847" i="1" s="1"/>
  <c r="AM848" i="1" a="1"/>
  <c r="AM848" i="1" s="1"/>
  <c r="AM849" i="1" a="1"/>
  <c r="AM849" i="1" s="1"/>
  <c r="AM850" i="1" a="1"/>
  <c r="AM850" i="1" s="1"/>
  <c r="AM851" i="1" a="1"/>
  <c r="AM851" i="1" s="1"/>
  <c r="AM852" i="1" a="1"/>
  <c r="AM852" i="1" s="1"/>
  <c r="AM853" i="1" a="1"/>
  <c r="AM853" i="1" s="1"/>
  <c r="AM854" i="1" a="1"/>
  <c r="AM854" i="1" s="1"/>
  <c r="AM855" i="1" a="1"/>
  <c r="AM855" i="1" s="1"/>
  <c r="AM856" i="1" a="1"/>
  <c r="AM856" i="1" s="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s="1"/>
  <c r="AM867" i="1" a="1"/>
  <c r="AM867" i="1" s="1"/>
  <c r="AM868" i="1" a="1"/>
  <c r="AM868" i="1" s="1"/>
  <c r="AM869" i="1" a="1"/>
  <c r="AM869" i="1" s="1"/>
  <c r="AM870" i="1" a="1"/>
  <c r="AM870" i="1" s="1"/>
  <c r="AM871" i="1" a="1"/>
  <c r="AM871" i="1" s="1"/>
  <c r="AM872" i="1" a="1"/>
  <c r="AM872" i="1" s="1"/>
  <c r="AM873" i="1" a="1"/>
  <c r="AM873" i="1" s="1"/>
  <c r="AM874" i="1" a="1"/>
  <c r="AM874" i="1" s="1"/>
  <c r="AM875" i="1" a="1"/>
  <c r="AM875" i="1" s="1"/>
  <c r="AM876" i="1" a="1"/>
  <c r="AM876" i="1" s="1"/>
  <c r="AM877" i="1" a="1"/>
  <c r="AM877" i="1" s="1"/>
  <c r="AM878" i="1" a="1"/>
  <c r="AM878" i="1" s="1"/>
  <c r="AM879" i="1" a="1"/>
  <c r="AM879" i="1" s="1"/>
  <c r="AM880" i="1" a="1"/>
  <c r="AM880" i="1" s="1"/>
  <c r="AM881" i="1" a="1"/>
  <c r="AM881" i="1" s="1"/>
  <c r="AM882" i="1" a="1"/>
  <c r="AM882" i="1" s="1"/>
  <c r="AM883" i="1" a="1"/>
  <c r="AM883" i="1" s="1"/>
  <c r="AM884" i="1" a="1"/>
  <c r="AM884" i="1" s="1"/>
  <c r="AM885" i="1" a="1"/>
  <c r="AM885" i="1" s="1"/>
  <c r="AM886" i="1" a="1"/>
  <c r="AM886" i="1" s="1"/>
  <c r="AM887" i="1" a="1"/>
  <c r="AM887" i="1" s="1"/>
  <c r="AM888" i="1" a="1"/>
  <c r="AM888" i="1" s="1"/>
  <c r="AM889" i="1" a="1"/>
  <c r="AM889" i="1" s="1"/>
  <c r="AM890" i="1" a="1"/>
  <c r="AM890" i="1" s="1"/>
  <c r="AM891" i="1" a="1"/>
  <c r="AM891" i="1" s="1"/>
  <c r="AM892" i="1" a="1"/>
  <c r="AM892" i="1" s="1"/>
  <c r="AM893" i="1" a="1"/>
  <c r="AM893" i="1" s="1"/>
  <c r="AM894" i="1" a="1"/>
  <c r="AM894" i="1" s="1"/>
  <c r="AM895" i="1" a="1"/>
  <c r="AM895" i="1" s="1"/>
  <c r="AM896" i="1" a="1"/>
  <c r="AM896" i="1" s="1"/>
  <c r="AM897" i="1" a="1"/>
  <c r="AM897" i="1" s="1"/>
  <c r="AM898" i="1" a="1"/>
  <c r="AM898" i="1" s="1"/>
  <c r="AM899" i="1" a="1"/>
  <c r="AM899" i="1" s="1"/>
  <c r="AM900" i="1" a="1"/>
  <c r="AM900" i="1"/>
  <c r="AM901" i="1" a="1"/>
  <c r="AM901" i="1" s="1"/>
  <c r="AM902" i="1" a="1"/>
  <c r="AM902" i="1" s="1"/>
  <c r="AM903" i="1" a="1"/>
  <c r="AM903" i="1" s="1"/>
  <c r="AM904" i="1" a="1"/>
  <c r="AM904" i="1" s="1"/>
  <c r="AM905" i="1" a="1"/>
  <c r="AM905" i="1" s="1"/>
  <c r="AM906" i="1" a="1"/>
  <c r="AM906" i="1" s="1"/>
  <c r="AM907" i="1" a="1"/>
  <c r="AM907" i="1" s="1"/>
  <c r="AM908" i="1" a="1"/>
  <c r="AM908" i="1" s="1"/>
  <c r="AM909" i="1" a="1"/>
  <c r="AM909" i="1" s="1"/>
  <c r="AM910" i="1" a="1"/>
  <c r="AM910" i="1" s="1"/>
  <c r="AM911" i="1" a="1"/>
  <c r="AM911" i="1" s="1"/>
  <c r="AM912" i="1" a="1"/>
  <c r="AM912" i="1" s="1"/>
  <c r="AM913" i="1" a="1"/>
  <c r="AM913" i="1" s="1"/>
  <c r="AM914" i="1" a="1"/>
  <c r="AM914" i="1" s="1"/>
  <c r="AM915" i="1" a="1"/>
  <c r="AM915" i="1" s="1"/>
  <c r="AM916" i="1" a="1"/>
  <c r="AM916" i="1" s="1"/>
  <c r="AM917" i="1" a="1"/>
  <c r="AM917" i="1" s="1"/>
  <c r="AM918" i="1" a="1"/>
  <c r="AM918" i="1" s="1"/>
  <c r="AM919" i="1" a="1"/>
  <c r="AM919" i="1" s="1"/>
  <c r="AM920" i="1" a="1"/>
  <c r="AM920" i="1" s="1"/>
  <c r="AM921" i="1" a="1"/>
  <c r="AM921" i="1" s="1"/>
  <c r="AM922" i="1" a="1"/>
  <c r="AM922" i="1" s="1"/>
  <c r="AM923" i="1" a="1"/>
  <c r="AM923" i="1" s="1"/>
  <c r="AM924" i="1" a="1"/>
  <c r="AM924" i="1" s="1"/>
  <c r="AM925" i="1" a="1"/>
  <c r="AM925" i="1" s="1"/>
  <c r="AM926" i="1" a="1"/>
  <c r="AM926" i="1" s="1"/>
  <c r="AM927" i="1" a="1"/>
  <c r="AM927" i="1" s="1"/>
  <c r="AM928" i="1" a="1"/>
  <c r="AM928" i="1" s="1"/>
  <c r="AM929" i="1" a="1"/>
  <c r="AM929" i="1" s="1"/>
  <c r="AM930" i="1" a="1"/>
  <c r="AM930" i="1" s="1"/>
  <c r="AM931" i="1" a="1"/>
  <c r="AM931" i="1" s="1"/>
  <c r="AM932" i="1" a="1"/>
  <c r="AM932" i="1" s="1"/>
  <c r="AM933" i="1" a="1"/>
  <c r="AM933" i="1" s="1"/>
  <c r="AM934" i="1" a="1"/>
  <c r="AM934" i="1" s="1"/>
  <c r="AM935" i="1" a="1"/>
  <c r="AM935" i="1" s="1"/>
  <c r="AM936" i="1" a="1"/>
  <c r="AM936" i="1" s="1"/>
  <c r="AM937" i="1" a="1"/>
  <c r="AM937" i="1" s="1"/>
  <c r="AM938" i="1" a="1"/>
  <c r="AM938" i="1" s="1"/>
  <c r="AM939" i="1" a="1"/>
  <c r="AM939" i="1" s="1"/>
  <c r="AM940" i="1" a="1"/>
  <c r="AM940" i="1" s="1"/>
  <c r="AM941" i="1" a="1"/>
  <c r="AM941" i="1" s="1"/>
  <c r="AM942" i="1" a="1"/>
  <c r="AM942" i="1" s="1"/>
  <c r="AM943" i="1" a="1"/>
  <c r="AM943" i="1" s="1"/>
  <c r="AM944" i="1" a="1"/>
  <c r="AM944" i="1" s="1"/>
  <c r="AM945" i="1" a="1"/>
  <c r="AM945" i="1" s="1"/>
  <c r="AM946" i="1" a="1"/>
  <c r="AM946" i="1" s="1"/>
  <c r="AM947" i="1" a="1"/>
  <c r="AM947" i="1" s="1"/>
  <c r="AM948" i="1" a="1"/>
  <c r="AM948" i="1" s="1"/>
  <c r="AM949" i="1" a="1"/>
  <c r="AM949" i="1" s="1"/>
  <c r="AM950" i="1" a="1"/>
  <c r="AM950" i="1" s="1"/>
  <c r="AM951" i="1" a="1"/>
  <c r="AM951" i="1" s="1"/>
  <c r="AM952" i="1" a="1"/>
  <c r="AM952" i="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963" i="1" a="1"/>
  <c r="AM963" i="1" s="1"/>
  <c r="AM964" i="1" a="1"/>
  <c r="AM964" i="1" s="1"/>
  <c r="AM965" i="1" a="1"/>
  <c r="AM965" i="1" s="1"/>
  <c r="AM966" i="1" a="1"/>
  <c r="AM966" i="1" s="1"/>
  <c r="AM967" i="1" a="1"/>
  <c r="AM967" i="1" s="1"/>
  <c r="AM968" i="1" a="1"/>
  <c r="AM968" i="1" s="1"/>
  <c r="AM969" i="1" a="1"/>
  <c r="AM969" i="1" s="1"/>
  <c r="AM970" i="1" a="1"/>
  <c r="AM970" i="1" s="1"/>
  <c r="AM971" i="1" a="1"/>
  <c r="AM971" i="1" s="1"/>
  <c r="AM972" i="1" a="1"/>
  <c r="AM972" i="1" s="1"/>
  <c r="AM973" i="1" a="1"/>
  <c r="AM973" i="1" s="1"/>
  <c r="AM974" i="1" a="1"/>
  <c r="AM974" i="1" s="1"/>
  <c r="AM975" i="1" a="1"/>
  <c r="AM975" i="1" s="1"/>
  <c r="AM976" i="1" a="1"/>
  <c r="AM976" i="1" s="1"/>
  <c r="AM977" i="1" a="1"/>
  <c r="AM977" i="1" s="1"/>
  <c r="AM978" i="1" a="1"/>
  <c r="AM978" i="1" s="1"/>
  <c r="AM979" i="1" a="1"/>
  <c r="AM979" i="1" s="1"/>
  <c r="AM980" i="1" a="1"/>
  <c r="AM980" i="1" s="1"/>
  <c r="AM981" i="1" a="1"/>
  <c r="AM981" i="1" s="1"/>
  <c r="AM982" i="1" a="1"/>
  <c r="AM982" i="1" s="1"/>
  <c r="AM983" i="1" a="1"/>
  <c r="AM983" i="1" s="1"/>
  <c r="AM984" i="1" a="1"/>
  <c r="AM984" i="1" s="1"/>
  <c r="AM985" i="1" a="1"/>
  <c r="AM985" i="1" s="1"/>
  <c r="AM986" i="1" a="1"/>
  <c r="AM986" i="1" s="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s="1"/>
  <c r="AM1001" i="1" a="1"/>
  <c r="AM1001" i="1" s="1"/>
  <c r="AM1002" i="1" a="1"/>
  <c r="AM1002" i="1" s="1"/>
  <c r="AM1003" i="1" a="1"/>
  <c r="AM1003" i="1" s="1"/>
  <c r="AM1004" i="1" a="1"/>
  <c r="AM1004" i="1" s="1"/>
  <c r="AM1005" i="1" a="1"/>
  <c r="AM1005" i="1" s="1"/>
  <c r="AM1006" i="1" a="1"/>
  <c r="AM1006" i="1" s="1"/>
  <c r="AM1007" i="1" a="1"/>
  <c r="AM1007" i="1" s="1"/>
  <c r="AM1008" i="1" a="1"/>
  <c r="AM1008" i="1" s="1"/>
  <c r="AM1009" i="1" a="1"/>
  <c r="AM1009" i="1" s="1"/>
  <c r="AM1010" i="1" a="1"/>
  <c r="AM1010" i="1" s="1"/>
  <c r="AM1011" i="1" a="1"/>
  <c r="AM1011" i="1" s="1"/>
  <c r="AM1012" i="1" a="1"/>
  <c r="AM1012" i="1" s="1"/>
  <c r="AM1013" i="1" a="1"/>
  <c r="AM1013" i="1" s="1"/>
  <c r="AM1014" i="1" a="1"/>
  <c r="AM1014" i="1" s="1"/>
  <c r="AM1015" i="1" a="1"/>
  <c r="AM1015" i="1" s="1"/>
  <c r="AM1016" i="1" a="1"/>
  <c r="AM1016" i="1" s="1"/>
  <c r="AM1017" i="1" a="1"/>
  <c r="AM1017" i="1" s="1"/>
  <c r="AM1018" i="1" a="1"/>
  <c r="AM1018" i="1" s="1"/>
  <c r="AM1019" i="1" a="1"/>
  <c r="AM1019" i="1" s="1"/>
  <c r="AM1020" i="1" a="1"/>
  <c r="AM1020" i="1" s="1"/>
  <c r="AM1021" i="1" a="1"/>
  <c r="AM1021" i="1" s="1"/>
  <c r="AM1022" i="1" a="1"/>
  <c r="AM1022" i="1" s="1"/>
  <c r="AM1023" i="1" a="1"/>
  <c r="AM1023" i="1" s="1"/>
  <c r="AM1024" i="1" a="1"/>
  <c r="AM1024" i="1" s="1"/>
  <c r="AM1025" i="1" a="1"/>
  <c r="AM1025" i="1" s="1"/>
  <c r="AM1026" i="1" a="1"/>
  <c r="AM1026" i="1" s="1"/>
  <c r="AM1027" i="1" a="1"/>
  <c r="AM1027" i="1" s="1"/>
  <c r="AM1028" i="1" a="1"/>
  <c r="AM1028" i="1" s="1"/>
  <c r="AM1029" i="1" a="1"/>
  <c r="AM1029" i="1" s="1"/>
  <c r="AM1030" i="1" a="1"/>
  <c r="AM1030" i="1" s="1"/>
  <c r="AM1031" i="1" a="1"/>
  <c r="AM1031" i="1" s="1"/>
  <c r="AM1032" i="1" a="1"/>
  <c r="AM1032" i="1" s="1"/>
  <c r="AM1033" i="1" a="1"/>
  <c r="AM1033" i="1" s="1"/>
  <c r="AM1034" i="1" a="1"/>
  <c r="AM1034" i="1" s="1"/>
  <c r="AM1035" i="1" a="1"/>
  <c r="AM1035" i="1" s="1"/>
  <c r="AM1036" i="1" a="1"/>
  <c r="AM1036" i="1" s="1"/>
  <c r="AM1037" i="1" a="1"/>
  <c r="AM1037" i="1" s="1"/>
  <c r="AM1038" i="1" a="1"/>
  <c r="AM1038" i="1" s="1"/>
  <c r="AM1039" i="1" a="1"/>
  <c r="AM1039" i="1" s="1"/>
  <c r="AM1040" i="1" a="1"/>
  <c r="AM1040" i="1" s="1"/>
  <c r="AM1041" i="1" a="1"/>
  <c r="AM1041" i="1" s="1"/>
  <c r="AM1042" i="1" a="1"/>
  <c r="AM1042" i="1" s="1"/>
  <c r="AM1043" i="1" a="1"/>
  <c r="AM1043" i="1" s="1"/>
  <c r="AM1044" i="1" a="1"/>
  <c r="AM1044" i="1" s="1"/>
  <c r="AM1045" i="1" a="1"/>
  <c r="AM1045" i="1" s="1"/>
  <c r="AM1046" i="1" a="1"/>
  <c r="AM1046" i="1" s="1"/>
  <c r="AM1047" i="1" a="1"/>
  <c r="AM1047" i="1" s="1"/>
  <c r="AM1048" i="1" a="1"/>
  <c r="AM1048" i="1" s="1"/>
  <c r="AM1049" i="1" a="1"/>
  <c r="AM1049" i="1" s="1"/>
  <c r="AM1050" i="1" a="1"/>
  <c r="AM1050" i="1" s="1"/>
  <c r="AM1051" i="1" a="1"/>
  <c r="AM1051" i="1" s="1"/>
  <c r="AM1052" i="1" a="1"/>
  <c r="AM1052" i="1" s="1"/>
  <c r="AM1053" i="1" a="1"/>
  <c r="AM1053" i="1" s="1"/>
  <c r="AM1054" i="1" a="1"/>
  <c r="AM1054" i="1" s="1"/>
  <c r="AM1055" i="1" a="1"/>
  <c r="AM1055" i="1" s="1"/>
  <c r="AM1056" i="1" a="1"/>
  <c r="AM1056" i="1" s="1"/>
  <c r="AM1057" i="1" a="1"/>
  <c r="AM1057" i="1" s="1"/>
  <c r="AM1058" i="1" a="1"/>
  <c r="AM1058" i="1" s="1"/>
  <c r="AM1059" i="1" a="1"/>
  <c r="AM1059" i="1" s="1"/>
  <c r="AM1060" i="1" a="1"/>
  <c r="AM1060"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s="1"/>
  <c r="AM1073" i="1" a="1"/>
  <c r="AM1073" i="1" s="1"/>
  <c r="AM1074" i="1" a="1"/>
  <c r="AM1074" i="1" s="1"/>
  <c r="AM1075" i="1" a="1"/>
  <c r="AM1075" i="1" s="1"/>
  <c r="AM1076" i="1" a="1"/>
  <c r="AM1076" i="1" s="1"/>
  <c r="AM1077" i="1" a="1"/>
  <c r="AM1077" i="1" s="1"/>
  <c r="AM1078" i="1" a="1"/>
  <c r="AM1078" i="1" s="1"/>
  <c r="AM1079" i="1" a="1"/>
  <c r="AM1079" i="1" s="1"/>
  <c r="AM1080" i="1" a="1"/>
  <c r="AM1080" i="1" s="1"/>
  <c r="AM1081" i="1" a="1"/>
  <c r="AM1081" i="1" s="1"/>
  <c r="AM1082" i="1" a="1"/>
  <c r="AM1082" i="1" s="1"/>
  <c r="AM1083" i="1" a="1"/>
  <c r="AM1083" i="1" s="1"/>
  <c r="AM1084" i="1" a="1"/>
  <c r="AM1084" i="1" s="1"/>
  <c r="AM1085" i="1" a="1"/>
  <c r="AM1085" i="1" s="1"/>
  <c r="AM1086" i="1" a="1"/>
  <c r="AM1086" i="1" s="1"/>
  <c r="AM1087" i="1" a="1"/>
  <c r="AM1087" i="1" s="1"/>
  <c r="AM1088" i="1" a="1"/>
  <c r="AM1088" i="1" s="1"/>
  <c r="AM1089" i="1" a="1"/>
  <c r="AM1089" i="1" s="1"/>
  <c r="AM1090" i="1" a="1"/>
  <c r="AM1090" i="1" s="1"/>
  <c r="AM1091" i="1" a="1"/>
  <c r="AM1091" i="1" s="1"/>
  <c r="AM1092" i="1" a="1"/>
  <c r="AM1092" i="1" s="1"/>
  <c r="AM1093" i="1" a="1"/>
  <c r="AM1093" i="1" s="1"/>
  <c r="AM1094" i="1" a="1"/>
  <c r="AM1094" i="1" s="1"/>
  <c r="AM1095" i="1" a="1"/>
  <c r="AM1095" i="1" s="1"/>
  <c r="AM1096" i="1" a="1"/>
  <c r="AM1096" i="1" s="1"/>
  <c r="AM1097" i="1" a="1"/>
  <c r="AM1097" i="1" s="1"/>
  <c r="AM1098" i="1" a="1"/>
  <c r="AM1098" i="1" s="1"/>
  <c r="AM1099" i="1" a="1"/>
  <c r="AM1099" i="1" s="1"/>
  <c r="AM1100" i="1" a="1"/>
  <c r="AM1100" i="1" s="1"/>
  <c r="AM1101" i="1" a="1"/>
  <c r="AM1101" i="1" s="1"/>
  <c r="AM1102" i="1" a="1"/>
  <c r="AM1102" i="1" s="1"/>
  <c r="AM1103" i="1" a="1"/>
  <c r="AM1103" i="1" s="1"/>
  <c r="AM1104" i="1" a="1"/>
  <c r="AM1104" i="1"/>
  <c r="AM1105" i="1" a="1"/>
  <c r="AM1105" i="1" s="1"/>
  <c r="AM1106" i="1" a="1"/>
  <c r="AM1106" i="1" s="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1117" i="1" a="1"/>
  <c r="AM1117" i="1" s="1"/>
  <c r="AM1118" i="1" a="1"/>
  <c r="AM1118" i="1" s="1"/>
  <c r="AM1119" i="1" a="1"/>
  <c r="AM1119" i="1" s="1"/>
  <c r="AM1120" i="1" a="1"/>
  <c r="AM1120" i="1" s="1"/>
  <c r="AM1121" i="1" a="1"/>
  <c r="AM1121" i="1" s="1"/>
  <c r="AM1122" i="1" a="1"/>
  <c r="AM1122" i="1" s="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s="1"/>
  <c r="AM1139" i="1" a="1"/>
  <c r="AM1139" i="1" s="1"/>
  <c r="AM1140" i="1" a="1"/>
  <c r="AM1140" i="1" s="1"/>
  <c r="AM1141" i="1" a="1"/>
  <c r="AM1141" i="1" s="1"/>
  <c r="AM1142" i="1" a="1"/>
  <c r="AM1142" i="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s="1"/>
  <c r="AM1155" i="1" a="1"/>
  <c r="AM1155" i="1" s="1"/>
  <c r="AM1156" i="1" a="1"/>
  <c r="AM1156" i="1" s="1"/>
  <c r="AM1157" i="1" a="1"/>
  <c r="AM1157"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1168" i="1" a="1"/>
  <c r="AM1168" i="1" s="1"/>
  <c r="AM1169" i="1" a="1"/>
  <c r="AM1169" i="1" s="1"/>
  <c r="AM1170" i="1" a="1"/>
  <c r="AM1170" i="1" s="1"/>
  <c r="AM1171" i="1" a="1"/>
  <c r="AM1171" i="1" s="1"/>
  <c r="AM1172" i="1" a="1"/>
  <c r="AM1172" i="1" s="1"/>
  <c r="AM1173" i="1" a="1"/>
  <c r="AM1173" i="1" s="1"/>
  <c r="AM1174" i="1" a="1"/>
  <c r="AM1174" i="1" s="1"/>
  <c r="AM1175" i="1" a="1"/>
  <c r="AM1175" i="1" s="1"/>
  <c r="AM1176" i="1" a="1"/>
  <c r="AM1176" i="1" s="1"/>
  <c r="AM1177" i="1" a="1"/>
  <c r="AM1177" i="1" s="1"/>
  <c r="AM1178" i="1" a="1"/>
  <c r="AM1178" i="1" s="1"/>
  <c r="AM1179" i="1" a="1"/>
  <c r="AM1179" i="1" s="1"/>
  <c r="AM1180" i="1" a="1"/>
  <c r="AM1180" i="1" s="1"/>
  <c r="AM1181" i="1" a="1"/>
  <c r="AM1181" i="1" s="1"/>
  <c r="AM1182" i="1" a="1"/>
  <c r="AM1182" i="1" s="1"/>
  <c r="AM1183" i="1" a="1"/>
  <c r="AM1183" i="1" s="1"/>
  <c r="AM1184" i="1" a="1"/>
  <c r="AM1184" i="1" s="1"/>
  <c r="AM1185" i="1" a="1"/>
  <c r="AM1185" i="1" s="1"/>
  <c r="AM1186" i="1" a="1"/>
  <c r="AM1186" i="1" s="1"/>
  <c r="AM1187" i="1" a="1"/>
  <c r="AM1187" i="1" s="1"/>
  <c r="AM1188" i="1" a="1"/>
  <c r="AM1188" i="1" s="1"/>
  <c r="AM1189" i="1" a="1"/>
  <c r="AM1189" i="1" s="1"/>
  <c r="AM1190" i="1" a="1"/>
  <c r="AM1190" i="1" s="1"/>
  <c r="AM1191" i="1" a="1"/>
  <c r="AM1191" i="1" s="1"/>
  <c r="AM1192" i="1" a="1"/>
  <c r="AM1192" i="1" s="1"/>
  <c r="AM1193" i="1" a="1"/>
  <c r="AM1193" i="1" s="1"/>
  <c r="AM1194" i="1" a="1"/>
  <c r="AM1194" i="1" s="1"/>
  <c r="AM1195" i="1" a="1"/>
  <c r="AM1195" i="1" s="1"/>
  <c r="AM1196" i="1" a="1"/>
  <c r="AM1196" i="1" s="1"/>
  <c r="AM1197" i="1" a="1"/>
  <c r="AM1197" i="1" s="1"/>
  <c r="AM1198" i="1" a="1"/>
  <c r="AM1198" i="1" s="1"/>
  <c r="AM1199" i="1" a="1"/>
  <c r="AM1199" i="1" s="1"/>
  <c r="AM1200" i="1" a="1"/>
  <c r="AM1200" i="1" s="1"/>
  <c r="AM1201" i="1" a="1"/>
  <c r="AM1201" i="1" s="1"/>
  <c r="AM1202" i="1" a="1"/>
  <c r="AM1202" i="1" s="1"/>
  <c r="AM1203" i="1" a="1"/>
  <c r="AM1203" i="1" s="1"/>
  <c r="AM1204" i="1" a="1"/>
  <c r="AM1204" i="1" s="1"/>
  <c r="AM1205" i="1" a="1"/>
  <c r="AM1205" i="1" s="1"/>
  <c r="AM1206" i="1" a="1"/>
  <c r="AM1206" i="1" s="1"/>
  <c r="AM1207" i="1" a="1"/>
  <c r="AM1207" i="1" s="1"/>
  <c r="AM1208" i="1" a="1"/>
  <c r="AM1208" i="1" s="1"/>
  <c r="AM1209" i="1" a="1"/>
  <c r="AM1209" i="1" s="1"/>
  <c r="AM1210" i="1" a="1"/>
  <c r="AM1210" i="1" s="1"/>
  <c r="AM1211" i="1" a="1"/>
  <c r="AM1211" i="1" s="1"/>
  <c r="AM1212" i="1" a="1"/>
  <c r="AM1212" i="1" s="1"/>
  <c r="AM1213" i="1" a="1"/>
  <c r="AM1213" i="1" s="1"/>
  <c r="AM1214" i="1" a="1"/>
  <c r="AM1214" i="1" s="1"/>
  <c r="AM1215" i="1" a="1"/>
  <c r="AM1215" i="1" s="1"/>
  <c r="AM1216" i="1" a="1"/>
  <c r="AM1216" i="1" s="1"/>
  <c r="AM1217" i="1" a="1"/>
  <c r="AM1217" i="1" s="1"/>
  <c r="AM1218" i="1" a="1"/>
  <c r="AM1218" i="1" s="1"/>
  <c r="AM1219" i="1" a="1"/>
  <c r="AM1219" i="1" s="1"/>
  <c r="AM1220" i="1" a="1"/>
  <c r="AM1220" i="1" s="1"/>
  <c r="AM1221" i="1" a="1"/>
  <c r="AM1221" i="1" s="1"/>
  <c r="AM1222" i="1" a="1"/>
  <c r="AM1222" i="1" s="1"/>
  <c r="AM1223" i="1" a="1"/>
  <c r="AM1223" i="1" s="1"/>
  <c r="AM1224" i="1" a="1"/>
  <c r="AM1224" i="1" s="1"/>
  <c r="AM1225" i="1" a="1"/>
  <c r="AM1225" i="1" s="1"/>
  <c r="AM1226" i="1" a="1"/>
  <c r="AM1226" i="1" s="1"/>
  <c r="AM1227" i="1" a="1"/>
  <c r="AM1227" i="1" s="1"/>
  <c r="AM1228" i="1" a="1"/>
  <c r="AM1228" i="1" s="1"/>
  <c r="AM1229" i="1" a="1"/>
  <c r="AM1229" i="1" s="1"/>
  <c r="AM1230" i="1" a="1"/>
  <c r="AM1230" i="1" s="1"/>
  <c r="AM1231" i="1" a="1"/>
  <c r="AM1231" i="1" s="1"/>
  <c r="AM1232" i="1" a="1"/>
  <c r="AM1232" i="1" s="1"/>
  <c r="AM1233" i="1" a="1"/>
  <c r="AM1233" i="1" s="1"/>
  <c r="AM1234" i="1" a="1"/>
  <c r="AM1234" i="1" s="1"/>
  <c r="AM1235" i="1" a="1"/>
  <c r="AM1235" i="1" s="1"/>
  <c r="AM1236" i="1" a="1"/>
  <c r="AM1236" i="1" s="1"/>
  <c r="AM1237" i="1" a="1"/>
  <c r="AM1237" i="1" s="1"/>
  <c r="AM1238" i="1" a="1"/>
  <c r="AM1238" i="1" s="1"/>
  <c r="AM1239" i="1" a="1"/>
  <c r="AM1239" i="1" s="1"/>
  <c r="AM1240" i="1" a="1"/>
  <c r="AM1240" i="1" s="1"/>
  <c r="AM1241" i="1" a="1"/>
  <c r="AM1241" i="1" s="1"/>
  <c r="AM1242" i="1" a="1"/>
  <c r="AM1242" i="1" s="1"/>
  <c r="AM1243" i="1" a="1"/>
  <c r="AM1243" i="1" s="1"/>
  <c r="AM1244" i="1" a="1"/>
  <c r="AM1244" i="1" s="1"/>
  <c r="AM1245" i="1" a="1"/>
  <c r="AM1245" i="1" s="1"/>
  <c r="AM1246" i="1" a="1"/>
  <c r="AM1246" i="1" s="1"/>
  <c r="AM1247" i="1" a="1"/>
  <c r="AM1247" i="1" s="1"/>
  <c r="AM1248" i="1" a="1"/>
  <c r="AM1248" i="1" s="1"/>
  <c r="AM1249" i="1" a="1"/>
  <c r="AM1249" i="1" s="1"/>
  <c r="AM1250" i="1" a="1"/>
  <c r="AM1250" i="1" s="1"/>
  <c r="AM1251" i="1" a="1"/>
  <c r="AM1251" i="1" s="1"/>
  <c r="AM1252" i="1" a="1"/>
  <c r="AM1252" i="1" s="1"/>
  <c r="AM1253" i="1" a="1"/>
  <c r="AM1253" i="1" s="1"/>
  <c r="AM1254" i="1" a="1"/>
  <c r="AM1254" i="1" s="1"/>
  <c r="AM1255" i="1" a="1"/>
  <c r="AM1255" i="1" s="1"/>
  <c r="AM1256" i="1" a="1"/>
  <c r="AM1256" i="1" s="1"/>
  <c r="AM1257" i="1" a="1"/>
  <c r="AM1257" i="1" s="1"/>
  <c r="AM1258" i="1" a="1"/>
  <c r="AM1258" i="1" s="1"/>
  <c r="AM1259" i="1" a="1"/>
  <c r="AM1259" i="1" s="1"/>
  <c r="AM1260" i="1" a="1"/>
  <c r="AM1260" i="1" s="1"/>
  <c r="AM1261" i="1" a="1"/>
  <c r="AM1261" i="1" s="1"/>
  <c r="AM1262" i="1" a="1"/>
  <c r="AM1262" i="1" s="1"/>
  <c r="AM1263" i="1" a="1"/>
  <c r="AM1263" i="1" s="1"/>
  <c r="AM1264" i="1" a="1"/>
  <c r="AM1264" i="1" s="1"/>
  <c r="AM1265" i="1" a="1"/>
  <c r="AM1265" i="1" s="1"/>
  <c r="AM1266" i="1" a="1"/>
  <c r="AM1266" i="1" s="1"/>
  <c r="AM1267" i="1" a="1"/>
  <c r="AM1267" i="1" s="1"/>
  <c r="AM1268" i="1" a="1"/>
  <c r="AM1268" i="1" s="1"/>
  <c r="AM1269" i="1" a="1"/>
  <c r="AM1269" i="1" s="1"/>
  <c r="AM1270" i="1" a="1"/>
  <c r="AM1270" i="1" s="1"/>
  <c r="AM1271" i="1" a="1"/>
  <c r="AM1271" i="1" s="1"/>
  <c r="AM1272" i="1" a="1"/>
  <c r="AM1272" i="1" s="1"/>
  <c r="AM1273" i="1" a="1"/>
  <c r="AM1273" i="1" s="1"/>
  <c r="AM1274" i="1" a="1"/>
  <c r="AM1274" i="1" s="1"/>
  <c r="AM1275" i="1" a="1"/>
  <c r="AM1275" i="1" s="1"/>
  <c r="AM1276" i="1" a="1"/>
  <c r="AM1276" i="1" s="1"/>
  <c r="AM1277" i="1" a="1"/>
  <c r="AM1277" i="1" s="1"/>
  <c r="AM1278" i="1" a="1"/>
  <c r="AM1278" i="1" s="1"/>
  <c r="AM1279" i="1" a="1"/>
  <c r="AM1279" i="1" s="1"/>
  <c r="AM1280" i="1" a="1"/>
  <c r="AM1280" i="1" s="1"/>
  <c r="AM1281" i="1" a="1"/>
  <c r="AM1281" i="1" s="1"/>
  <c r="AM1282" i="1" a="1"/>
  <c r="AM1282" i="1" s="1"/>
  <c r="AM1283" i="1" a="1"/>
  <c r="AM1283" i="1" s="1"/>
  <c r="AM1284" i="1" a="1"/>
  <c r="AM1284" i="1" s="1"/>
  <c r="AM1285" i="1" a="1"/>
  <c r="AM1285" i="1" s="1"/>
  <c r="AM1286" i="1" a="1"/>
  <c r="AM1286" i="1" s="1"/>
  <c r="AM1287" i="1" a="1"/>
  <c r="AM1287" i="1" s="1"/>
  <c r="AM1288" i="1" a="1"/>
  <c r="AM1288" i="1"/>
  <c r="AM1289" i="1" a="1"/>
  <c r="AM1289" i="1" s="1"/>
  <c r="AM1290" i="1" a="1"/>
  <c r="AM1290" i="1" s="1"/>
  <c r="AM1291" i="1" a="1"/>
  <c r="AM1291" i="1" s="1"/>
  <c r="AM1292" i="1" a="1"/>
  <c r="AM1292" i="1" s="1"/>
  <c r="AM1293" i="1" a="1"/>
  <c r="AM1293" i="1" s="1"/>
  <c r="AM1294" i="1" a="1"/>
  <c r="AM1294" i="1" s="1"/>
  <c r="AM1295" i="1" a="1"/>
  <c r="AM1295" i="1" s="1"/>
  <c r="AM1296" i="1" a="1"/>
  <c r="AM1296" i="1" s="1"/>
  <c r="AM1297" i="1" a="1"/>
  <c r="AM1297" i="1" s="1"/>
  <c r="AM1298" i="1" a="1"/>
  <c r="AM1298" i="1" s="1"/>
  <c r="AM1299" i="1" a="1"/>
  <c r="AM1299" i="1" s="1"/>
  <c r="AM1300" i="1" a="1"/>
  <c r="AM1300" i="1" s="1"/>
  <c r="AM1301" i="1" a="1"/>
  <c r="AM1301" i="1" s="1"/>
  <c r="AM1302" i="1" a="1"/>
  <c r="AM1302" i="1" s="1"/>
  <c r="AM1303" i="1" a="1"/>
  <c r="AM1303" i="1" s="1"/>
  <c r="AM1304" i="1" a="1"/>
  <c r="AM1304" i="1" s="1"/>
  <c r="AM1305" i="1" a="1"/>
  <c r="AM1305" i="1" s="1"/>
  <c r="AM1306" i="1" a="1"/>
  <c r="AM1306" i="1" s="1"/>
  <c r="AM1307" i="1" a="1"/>
  <c r="AM1307" i="1" s="1"/>
  <c r="AM1308" i="1" a="1"/>
  <c r="AM1308" i="1" s="1"/>
  <c r="AM1309" i="1" a="1"/>
  <c r="AM1309" i="1" s="1"/>
  <c r="AM1310" i="1" a="1"/>
  <c r="AM1310" i="1"/>
  <c r="AM1311" i="1" a="1"/>
  <c r="AM1311" i="1" s="1"/>
  <c r="AM1312" i="1" a="1"/>
  <c r="AM1312" i="1" s="1"/>
  <c r="AM1313" i="1" a="1"/>
  <c r="AM1313" i="1" s="1"/>
  <c r="AM1314" i="1" a="1"/>
  <c r="AM1314" i="1" s="1"/>
  <c r="AM1315" i="1" a="1"/>
  <c r="AM1315" i="1" s="1"/>
  <c r="AM1316" i="1" a="1"/>
  <c r="AM1316" i="1" s="1"/>
  <c r="AM1317" i="1" a="1"/>
  <c r="AM1317" i="1" s="1"/>
  <c r="AM1318" i="1" a="1"/>
  <c r="AM1318" i="1" s="1"/>
  <c r="AM1319" i="1" a="1"/>
  <c r="AM1319" i="1" s="1"/>
  <c r="AM1320" i="1" a="1"/>
  <c r="AM1320" i="1" s="1"/>
  <c r="AM1321" i="1" a="1"/>
  <c r="AM1321" i="1" s="1"/>
  <c r="AM1322" i="1" a="1"/>
  <c r="AM1322" i="1" s="1"/>
  <c r="AM1323" i="1" a="1"/>
  <c r="AM1323" i="1" s="1"/>
  <c r="AM1324" i="1" a="1"/>
  <c r="AM1324" i="1" s="1"/>
  <c r="AM1325" i="1" a="1"/>
  <c r="AM1325" i="1" s="1"/>
  <c r="AM1326" i="1" a="1"/>
  <c r="AM1326" i="1" s="1"/>
  <c r="AM1327" i="1" a="1"/>
  <c r="AM1327" i="1" s="1"/>
  <c r="AM1328" i="1" a="1"/>
  <c r="AM1328" i="1" s="1"/>
  <c r="AM1329" i="1" a="1"/>
  <c r="AM1329" i="1" s="1"/>
  <c r="AM1330" i="1" a="1"/>
  <c r="AM1330" i="1" s="1"/>
  <c r="AM1331" i="1" a="1"/>
  <c r="AM1331" i="1" s="1"/>
  <c r="AM1332" i="1" a="1"/>
  <c r="AM1332" i="1" s="1"/>
  <c r="AM1333" i="1" a="1"/>
  <c r="AM1333" i="1" s="1"/>
  <c r="AM1334" i="1" a="1"/>
  <c r="AM1334" i="1" s="1"/>
  <c r="AM1335" i="1" a="1"/>
  <c r="AM1335" i="1" s="1"/>
  <c r="AM1336" i="1" a="1"/>
  <c r="AM1336" i="1" s="1"/>
  <c r="AM1337" i="1" a="1"/>
  <c r="AM1337" i="1" s="1"/>
  <c r="AM1338" i="1" a="1"/>
  <c r="AM1338" i="1" s="1"/>
  <c r="AM1339" i="1" a="1"/>
  <c r="AM1339" i="1" s="1"/>
  <c r="AM1340" i="1" a="1"/>
  <c r="AM1340" i="1" s="1"/>
  <c r="AM1341" i="1" a="1"/>
  <c r="AM1341" i="1" s="1"/>
  <c r="AM1342" i="1" a="1"/>
  <c r="AM1342" i="1" s="1"/>
  <c r="AM1343" i="1" a="1"/>
  <c r="AM1343" i="1" s="1"/>
  <c r="AM1344" i="1" a="1"/>
  <c r="AM1344" i="1" s="1"/>
  <c r="AM1345" i="1" a="1"/>
  <c r="AM1345" i="1" s="1"/>
  <c r="AM1346" i="1" a="1"/>
  <c r="AM1346" i="1" s="1"/>
  <c r="AM1347" i="1" a="1"/>
  <c r="AM1347" i="1" s="1"/>
  <c r="AM1348" i="1" a="1"/>
  <c r="AM1348" i="1" s="1"/>
  <c r="AM1349" i="1" a="1"/>
  <c r="AM1349" i="1" s="1"/>
  <c r="AM1350" i="1" a="1"/>
  <c r="AM1350" i="1" s="1"/>
  <c r="AM1351" i="1" a="1"/>
  <c r="AM1351" i="1" s="1"/>
  <c r="AM1352" i="1" a="1"/>
  <c r="AM1352" i="1" s="1"/>
  <c r="AM1353" i="1" a="1"/>
  <c r="AM1353" i="1" s="1"/>
  <c r="AM1354" i="1" a="1"/>
  <c r="AM1354" i="1" s="1"/>
  <c r="AM1355" i="1" a="1"/>
  <c r="AM1355" i="1" s="1"/>
  <c r="AM1356" i="1" a="1"/>
  <c r="AM1356" i="1" s="1"/>
  <c r="AM1357" i="1" a="1"/>
  <c r="AM1357" i="1" s="1"/>
  <c r="AM1358" i="1" a="1"/>
  <c r="AM1358" i="1" s="1"/>
  <c r="AM1359" i="1" a="1"/>
  <c r="AM1359" i="1" s="1"/>
  <c r="AM1360" i="1" a="1"/>
  <c r="AM1360" i="1" s="1"/>
  <c r="AM1361" i="1" a="1"/>
  <c r="AM1361" i="1" s="1"/>
  <c r="AM1362" i="1" a="1"/>
  <c r="AM1362" i="1" s="1"/>
  <c r="AM1363" i="1" a="1"/>
  <c r="AM1363" i="1" s="1"/>
  <c r="AM1364" i="1" a="1"/>
  <c r="AM1364" i="1" s="1"/>
  <c r="AM1365" i="1" a="1"/>
  <c r="AM1365" i="1" s="1"/>
  <c r="AM1366" i="1" a="1"/>
  <c r="AM1366" i="1" s="1"/>
  <c r="AM1367" i="1" a="1"/>
  <c r="AM1367" i="1" s="1"/>
  <c r="AM1368" i="1" a="1"/>
  <c r="AM1368" i="1" s="1"/>
  <c r="AM1369" i="1" a="1"/>
  <c r="AM1369" i="1" s="1"/>
  <c r="AM1370" i="1" a="1"/>
  <c r="AM1370" i="1" s="1"/>
  <c r="AM1371" i="1" a="1"/>
  <c r="AM1371" i="1" s="1"/>
  <c r="AM1372" i="1" a="1"/>
  <c r="AM1372" i="1" s="1"/>
  <c r="AM1373" i="1" a="1"/>
  <c r="AM1373" i="1" s="1"/>
  <c r="AM1374" i="1" a="1"/>
  <c r="AM1374" i="1" s="1"/>
  <c r="AM1375" i="1" a="1"/>
  <c r="AM1375" i="1" s="1"/>
  <c r="AM1376" i="1" a="1"/>
  <c r="AM1376" i="1" s="1"/>
  <c r="AM1377" i="1" a="1"/>
  <c r="AM1377" i="1" s="1"/>
  <c r="AM1378" i="1" a="1"/>
  <c r="AM1378" i="1" s="1"/>
  <c r="AM1379" i="1" a="1"/>
  <c r="AM1379" i="1" s="1"/>
  <c r="AM1380" i="1" a="1"/>
  <c r="AM1380" i="1" s="1"/>
  <c r="AM1381" i="1" a="1"/>
  <c r="AM1381" i="1" s="1"/>
  <c r="AM1382" i="1" a="1"/>
  <c r="AM1382" i="1" s="1"/>
  <c r="AM1383" i="1" a="1"/>
  <c r="AM1383" i="1" s="1"/>
  <c r="AM1384" i="1" a="1"/>
  <c r="AM1384" i="1" s="1"/>
  <c r="AM1385" i="1" a="1"/>
  <c r="AM1385" i="1" s="1"/>
  <c r="AM1386" i="1" a="1"/>
  <c r="AM1386" i="1" s="1"/>
  <c r="AM1387" i="1" a="1"/>
  <c r="AM1387" i="1" s="1"/>
  <c r="AM1388" i="1" a="1"/>
  <c r="AM1388" i="1" s="1"/>
  <c r="AM1389" i="1" a="1"/>
  <c r="AM1389" i="1" s="1"/>
  <c r="AM1390" i="1" a="1"/>
  <c r="AM1390" i="1" s="1"/>
  <c r="AM1391" i="1" a="1"/>
  <c r="AM1391" i="1" s="1"/>
  <c r="AM1392" i="1" a="1"/>
  <c r="AM1392" i="1" s="1"/>
  <c r="AM1393" i="1" a="1"/>
  <c r="AM1393" i="1" s="1"/>
  <c r="AM1394" i="1" a="1"/>
  <c r="AM1394" i="1" s="1"/>
  <c r="AM1395" i="1" a="1"/>
  <c r="AM1395" i="1" s="1"/>
  <c r="AM1396" i="1" a="1"/>
  <c r="AM1396" i="1" s="1"/>
  <c r="AM1397" i="1" a="1"/>
  <c r="AM1397" i="1" s="1"/>
  <c r="AM1398" i="1" a="1"/>
  <c r="AM1398" i="1" s="1"/>
  <c r="AM1399" i="1" a="1"/>
  <c r="AM1399" i="1" s="1"/>
  <c r="AM1400" i="1" a="1"/>
  <c r="AM1400" i="1" s="1"/>
  <c r="AM1401" i="1" a="1"/>
  <c r="AM1401" i="1" s="1"/>
  <c r="AM1402" i="1" a="1"/>
  <c r="AM1402" i="1" s="1"/>
  <c r="AM1403" i="1" a="1"/>
  <c r="AM1403" i="1" s="1"/>
  <c r="AM1404" i="1" a="1"/>
  <c r="AM1404" i="1" s="1"/>
  <c r="AM1405" i="1" a="1"/>
  <c r="AM1405" i="1" s="1"/>
  <c r="AM1406" i="1" a="1"/>
  <c r="AM1406" i="1" s="1"/>
  <c r="AM1407" i="1" a="1"/>
  <c r="AM1407" i="1" s="1"/>
  <c r="AM1408" i="1" a="1"/>
  <c r="AM1408" i="1" s="1"/>
  <c r="AM1409" i="1" a="1"/>
  <c r="AM1409" i="1" s="1"/>
  <c r="AM1410" i="1" a="1"/>
  <c r="AM1410" i="1" s="1"/>
  <c r="AM1411" i="1" a="1"/>
  <c r="AM1411" i="1" s="1"/>
  <c r="AM1412" i="1" a="1"/>
  <c r="AM1412" i="1" s="1"/>
  <c r="AM1413" i="1" a="1"/>
  <c r="AM1413" i="1" s="1"/>
  <c r="AM1414" i="1" a="1"/>
  <c r="AM1414" i="1" s="1"/>
  <c r="AM1415" i="1" a="1"/>
  <c r="AM1415" i="1" s="1"/>
  <c r="AM1416" i="1" a="1"/>
  <c r="AM1416" i="1" s="1"/>
  <c r="AM1417" i="1" a="1"/>
  <c r="AM1417" i="1" s="1"/>
  <c r="AM1418" i="1" a="1"/>
  <c r="AM1418" i="1" s="1"/>
  <c r="AM1419" i="1" a="1"/>
  <c r="AM1419" i="1" s="1"/>
  <c r="AM1420" i="1" a="1"/>
  <c r="AM1420" i="1" s="1"/>
  <c r="AM1421" i="1" a="1"/>
  <c r="AM1421" i="1" s="1"/>
  <c r="AM1422" i="1" a="1"/>
  <c r="AM1422" i="1" s="1"/>
  <c r="AM1423" i="1" a="1"/>
  <c r="AM1423" i="1" s="1"/>
  <c r="AM1424" i="1" a="1"/>
  <c r="AM1424" i="1" s="1"/>
  <c r="AM1425" i="1" a="1"/>
  <c r="AM1425" i="1" s="1"/>
  <c r="AM1426" i="1" a="1"/>
  <c r="AM1426" i="1" s="1"/>
  <c r="AM1427" i="1" a="1"/>
  <c r="AM1427" i="1" s="1"/>
  <c r="AM1428" i="1" a="1"/>
  <c r="AM1428" i="1" s="1"/>
  <c r="AM1429" i="1" a="1"/>
  <c r="AM1429" i="1" s="1"/>
  <c r="AM1430" i="1" a="1"/>
  <c r="AM1430" i="1" s="1"/>
  <c r="AM1431" i="1" a="1"/>
  <c r="AM1431" i="1" s="1"/>
  <c r="AM1432" i="1" a="1"/>
  <c r="AM1432" i="1" s="1"/>
  <c r="AM1433" i="1" a="1"/>
  <c r="AM1433" i="1" s="1"/>
  <c r="AM1434" i="1" a="1"/>
  <c r="AM1434" i="1" s="1"/>
  <c r="AM1435" i="1" a="1"/>
  <c r="AM1435" i="1" s="1"/>
  <c r="AM1436" i="1" a="1"/>
  <c r="AM1436" i="1" s="1"/>
  <c r="AM1437" i="1" a="1"/>
  <c r="AM1437" i="1" s="1"/>
  <c r="AM1438" i="1" a="1"/>
  <c r="AM1438" i="1" s="1"/>
  <c r="AM1439" i="1" a="1"/>
  <c r="AM1439" i="1" s="1"/>
  <c r="AM1440" i="1" a="1"/>
  <c r="AM1440" i="1" s="1"/>
  <c r="AM1441" i="1" a="1"/>
  <c r="AM1441" i="1" s="1"/>
  <c r="AM1442" i="1" a="1"/>
  <c r="AM1442" i="1" s="1"/>
  <c r="AM1443" i="1" a="1"/>
  <c r="AM1443" i="1" s="1"/>
  <c r="AM1444" i="1" a="1"/>
  <c r="AM1444" i="1" s="1"/>
  <c r="AM1445" i="1" a="1"/>
  <c r="AM1445" i="1" s="1"/>
  <c r="AM1446" i="1" a="1"/>
  <c r="AM1446" i="1" s="1"/>
  <c r="AM1447" i="1" a="1"/>
  <c r="AM1447" i="1" s="1"/>
  <c r="AM1448" i="1" a="1"/>
  <c r="AM1448" i="1" s="1"/>
  <c r="AM1449" i="1" a="1"/>
  <c r="AM1449" i="1" s="1"/>
  <c r="AM1450" i="1" a="1"/>
  <c r="AM1450" i="1" s="1"/>
  <c r="AM1451" i="1" a="1"/>
  <c r="AM1451" i="1" s="1"/>
  <c r="AM1452" i="1" a="1"/>
  <c r="AM1452" i="1" s="1"/>
  <c r="AM1453" i="1" a="1"/>
  <c r="AM1453" i="1" s="1"/>
  <c r="AM1454" i="1" a="1"/>
  <c r="AM1454" i="1" s="1"/>
  <c r="AM1455" i="1" a="1"/>
  <c r="AM1455" i="1" s="1"/>
  <c r="AM1456" i="1" a="1"/>
  <c r="AM1456" i="1" s="1"/>
  <c r="AM1457" i="1" a="1"/>
  <c r="AM1457" i="1" s="1"/>
  <c r="AM1458" i="1" a="1"/>
  <c r="AM1458" i="1" s="1"/>
  <c r="AM1459" i="1" a="1"/>
  <c r="AM1459" i="1" s="1"/>
  <c r="AM1460" i="1" a="1"/>
  <c r="AM1460" i="1" s="1"/>
  <c r="AM1461" i="1" a="1"/>
  <c r="AM1461" i="1" s="1"/>
  <c r="AM1462" i="1" a="1"/>
  <c r="AM1462" i="1" s="1"/>
  <c r="AM1463" i="1" a="1"/>
  <c r="AM1463" i="1" s="1"/>
  <c r="AM1464" i="1" a="1"/>
  <c r="AM1464" i="1" s="1"/>
  <c r="AM1465" i="1" a="1"/>
  <c r="AM1465" i="1" s="1"/>
  <c r="AM1466" i="1" a="1"/>
  <c r="AM1466" i="1" s="1"/>
  <c r="AM1467" i="1" a="1"/>
  <c r="AM1467" i="1" s="1"/>
  <c r="AM1468" i="1" a="1"/>
  <c r="AM1468" i="1" s="1"/>
  <c r="AM1469" i="1" a="1"/>
  <c r="AM1469" i="1" s="1"/>
  <c r="AM1470" i="1" a="1"/>
  <c r="AM1470" i="1" s="1"/>
  <c r="AM1471" i="1" a="1"/>
  <c r="AM1471" i="1" s="1"/>
  <c r="AL2" i="1" a="1"/>
  <c r="AL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K2" i="1" a="1"/>
  <c r="AK2" i="1" s="1"/>
  <c r="AK3" i="1" a="1"/>
  <c r="AK3" i="1" s="1"/>
  <c r="AK4" i="1" a="1"/>
  <c r="AK4" i="1" s="1"/>
  <c r="AK5" i="1" a="1"/>
  <c r="AK5" i="1" s="1"/>
  <c r="AK6" i="1" a="1"/>
  <c r="AK6" i="1" s="1"/>
  <c r="AK7" i="1" a="1"/>
  <c r="AK7" i="1" s="1"/>
  <c r="AK8" i="1" a="1"/>
  <c r="AK8" i="1" s="1"/>
  <c r="AK9" i="1" a="1"/>
  <c r="AK9" i="1" s="1"/>
  <c r="AK10" i="1" a="1"/>
  <c r="AK10" i="1" s="1"/>
  <c r="AK11" i="1" a="1"/>
  <c r="AK11" i="1" s="1"/>
  <c r="AK12" i="1" a="1"/>
  <c r="AK12" i="1" s="1"/>
  <c r="AK13" i="1" a="1"/>
  <c r="AK13" i="1" s="1"/>
  <c r="AK14" i="1" a="1"/>
  <c r="AK14" i="1" s="1"/>
  <c r="AK15" i="1" a="1"/>
  <c r="AK15" i="1" s="1"/>
  <c r="AK16" i="1" a="1"/>
  <c r="AK16" i="1" s="1"/>
  <c r="AK17" i="1" a="1"/>
  <c r="AK17" i="1" s="1"/>
  <c r="AK18" i="1" a="1"/>
  <c r="AK18" i="1" s="1"/>
  <c r="AK19" i="1" a="1"/>
  <c r="AK19" i="1" s="1"/>
  <c r="AK20" i="1" a="1"/>
  <c r="AK20" i="1" s="1"/>
  <c r="AK21" i="1" a="1"/>
  <c r="AK21" i="1" s="1"/>
  <c r="AK22" i="1" a="1"/>
  <c r="AK22" i="1" s="1"/>
  <c r="AK23" i="1" a="1"/>
  <c r="AK23" i="1" s="1"/>
  <c r="AK24" i="1" a="1"/>
  <c r="AK24" i="1" s="1"/>
  <c r="AK25" i="1" a="1"/>
  <c r="AK25" i="1" s="1"/>
  <c r="AK26" i="1" a="1"/>
  <c r="AK26" i="1" s="1"/>
  <c r="AK27" i="1" a="1"/>
  <c r="AK27" i="1" s="1"/>
  <c r="AK28" i="1" a="1"/>
  <c r="AK28" i="1" s="1"/>
  <c r="AK29" i="1" a="1"/>
  <c r="AK29" i="1" s="1"/>
  <c r="AK30" i="1" a="1"/>
  <c r="AK30" i="1" s="1"/>
  <c r="AK31" i="1" a="1"/>
  <c r="AK31" i="1" s="1"/>
  <c r="AK32" i="1" a="1"/>
  <c r="AK32" i="1" s="1"/>
  <c r="AK33" i="1" a="1"/>
  <c r="AK33" i="1" s="1"/>
  <c r="AK34" i="1" a="1"/>
  <c r="AK34" i="1" s="1"/>
  <c r="AK35" i="1" a="1"/>
  <c r="AK35" i="1" s="1"/>
  <c r="AK36" i="1" a="1"/>
  <c r="AK36" i="1" s="1"/>
  <c r="AK37" i="1" a="1"/>
  <c r="AK37" i="1" s="1"/>
  <c r="AK38" i="1" a="1"/>
  <c r="AK38" i="1" s="1"/>
  <c r="AK39" i="1" a="1"/>
  <c r="AK39" i="1" s="1"/>
  <c r="AK40" i="1" a="1"/>
  <c r="AK40" i="1" s="1"/>
  <c r="AK41" i="1" a="1"/>
  <c r="AK41" i="1" s="1"/>
  <c r="AK42" i="1" a="1"/>
  <c r="AK42" i="1" s="1"/>
  <c r="AK43" i="1" a="1"/>
  <c r="AK43" i="1" s="1"/>
  <c r="AK44" i="1" a="1"/>
  <c r="AK44" i="1" s="1"/>
  <c r="AK45" i="1" a="1"/>
  <c r="AK45" i="1" s="1"/>
  <c r="AK46" i="1" a="1"/>
  <c r="AK46" i="1" s="1"/>
  <c r="AK47" i="1" a="1"/>
  <c r="AK47" i="1" s="1"/>
  <c r="AK48" i="1" a="1"/>
  <c r="AK48" i="1" s="1"/>
  <c r="AK49" i="1" a="1"/>
  <c r="AK49" i="1" s="1"/>
  <c r="AK50" i="1" a="1"/>
  <c r="AK50" i="1" s="1"/>
  <c r="AK51" i="1" a="1"/>
  <c r="AK51" i="1" s="1"/>
  <c r="AK52" i="1" a="1"/>
  <c r="AK52" i="1" s="1"/>
  <c r="AK53" i="1" a="1"/>
  <c r="AK53" i="1" s="1"/>
  <c r="AK54" i="1" a="1"/>
  <c r="AK54" i="1" s="1"/>
  <c r="AK55" i="1" a="1"/>
  <c r="AK55" i="1" s="1"/>
  <c r="AK56" i="1" a="1"/>
  <c r="AK56" i="1" s="1"/>
  <c r="AK57" i="1" a="1"/>
  <c r="AK57" i="1" s="1"/>
  <c r="AK58" i="1" a="1"/>
  <c r="AK58" i="1" s="1"/>
  <c r="AK59" i="1" a="1"/>
  <c r="AK59" i="1" s="1"/>
  <c r="AK60" i="1" a="1"/>
  <c r="AK60" i="1" s="1"/>
  <c r="AK61" i="1" a="1"/>
  <c r="AK61" i="1" s="1"/>
  <c r="AK62" i="1" a="1"/>
  <c r="AK62" i="1" s="1"/>
  <c r="AK63" i="1" a="1"/>
  <c r="AK63" i="1" s="1"/>
  <c r="AK64" i="1" a="1"/>
  <c r="AK64" i="1" s="1"/>
  <c r="AK65" i="1" a="1"/>
  <c r="AK65" i="1" s="1"/>
  <c r="AK66" i="1" a="1"/>
  <c r="AK66" i="1" s="1"/>
  <c r="AK67" i="1" a="1"/>
  <c r="AK67" i="1" s="1"/>
  <c r="AK68" i="1" a="1"/>
  <c r="AK68" i="1" s="1"/>
  <c r="AK69" i="1" a="1"/>
  <c r="AK69" i="1" s="1"/>
  <c r="AK70" i="1" a="1"/>
  <c r="AK70" i="1" s="1"/>
  <c r="AK71" i="1" a="1"/>
  <c r="AK71" i="1" s="1"/>
  <c r="AK72" i="1" a="1"/>
  <c r="AK72" i="1" s="1"/>
  <c r="AK73" i="1" a="1"/>
  <c r="AK73" i="1" s="1"/>
  <c r="AK74" i="1" a="1"/>
  <c r="AK74" i="1" s="1"/>
  <c r="AK75" i="1" a="1"/>
  <c r="AK75" i="1" s="1"/>
  <c r="AK76" i="1" a="1"/>
  <c r="AK76" i="1" s="1"/>
  <c r="AK77" i="1" a="1"/>
  <c r="AK77" i="1" s="1"/>
  <c r="AK78" i="1" a="1"/>
  <c r="AK78" i="1" s="1"/>
  <c r="AK79" i="1" a="1"/>
  <c r="AK79" i="1" s="1"/>
  <c r="AK80" i="1" a="1"/>
  <c r="AK80" i="1" s="1"/>
  <c r="AK81" i="1" a="1"/>
  <c r="AK81" i="1" s="1"/>
  <c r="AK82" i="1" a="1"/>
  <c r="AK82" i="1" s="1"/>
  <c r="AK83" i="1" a="1"/>
  <c r="AK83" i="1" s="1"/>
  <c r="AK84" i="1" a="1"/>
  <c r="AK84" i="1" s="1"/>
  <c r="AK85" i="1" a="1"/>
  <c r="AK85" i="1" s="1"/>
  <c r="AK86" i="1" a="1"/>
  <c r="AK86" i="1" s="1"/>
  <c r="AK87" i="1" a="1"/>
  <c r="AK87" i="1" s="1"/>
  <c r="AK88" i="1" a="1"/>
  <c r="AK88" i="1" s="1"/>
  <c r="AK89" i="1" a="1"/>
  <c r="AK89" i="1" s="1"/>
  <c r="AK90" i="1" a="1"/>
  <c r="AK90" i="1" s="1"/>
  <c r="AK91" i="1" a="1"/>
  <c r="AK91" i="1" s="1"/>
  <c r="AK92" i="1" a="1"/>
  <c r="AK92" i="1" s="1"/>
  <c r="AK93" i="1" a="1"/>
  <c r="AK93" i="1" s="1"/>
  <c r="AK94" i="1" a="1"/>
  <c r="AK94" i="1" s="1"/>
  <c r="AK95" i="1" a="1"/>
  <c r="AK95" i="1" s="1"/>
  <c r="AK96" i="1" a="1"/>
  <c r="AK96" i="1" s="1"/>
  <c r="AK97" i="1" a="1"/>
  <c r="AK97" i="1" s="1"/>
  <c r="AK98" i="1" a="1"/>
  <c r="AK98" i="1" s="1"/>
  <c r="AK99" i="1" a="1"/>
  <c r="AK99" i="1" s="1"/>
  <c r="AK100" i="1" a="1"/>
  <c r="AK100" i="1" s="1"/>
  <c r="AK101" i="1" a="1"/>
  <c r="AK101" i="1" s="1"/>
  <c r="AK102" i="1" a="1"/>
  <c r="AK102" i="1" s="1"/>
  <c r="AK103" i="1" a="1"/>
  <c r="AK103" i="1" s="1"/>
  <c r="AK104" i="1" a="1"/>
  <c r="AK104" i="1" s="1"/>
  <c r="AK105" i="1" a="1"/>
  <c r="AK105" i="1" s="1"/>
  <c r="AK106" i="1" a="1"/>
  <c r="AK106" i="1" s="1"/>
  <c r="AK107" i="1" a="1"/>
  <c r="AK107" i="1" s="1"/>
  <c r="AK108" i="1" a="1"/>
  <c r="AK108" i="1" s="1"/>
  <c r="AK109" i="1" a="1"/>
  <c r="AK109" i="1" s="1"/>
  <c r="AK110" i="1" a="1"/>
  <c r="AK110" i="1" s="1"/>
  <c r="AK111" i="1" a="1"/>
  <c r="AK111" i="1" s="1"/>
  <c r="AK112" i="1" a="1"/>
  <c r="AK112" i="1" s="1"/>
  <c r="AK113" i="1" a="1"/>
  <c r="AK113" i="1" s="1"/>
  <c r="AK114" i="1" a="1"/>
  <c r="AK114" i="1" s="1"/>
  <c r="AK115" i="1" a="1"/>
  <c r="AK115" i="1" s="1"/>
  <c r="AK116" i="1" a="1"/>
  <c r="AK116" i="1" s="1"/>
  <c r="AK117" i="1" a="1"/>
  <c r="AK117" i="1" s="1"/>
  <c r="AK118" i="1" a="1"/>
  <c r="AK118" i="1" s="1"/>
  <c r="AK119" i="1" a="1"/>
  <c r="AK119" i="1" s="1"/>
  <c r="AK120" i="1" a="1"/>
  <c r="AK120" i="1" s="1"/>
  <c r="AK121" i="1" a="1"/>
  <c r="AK121" i="1" s="1"/>
  <c r="AK122" i="1" a="1"/>
  <c r="AK122" i="1" s="1"/>
  <c r="AK123" i="1" a="1"/>
  <c r="AK123" i="1" s="1"/>
  <c r="AK124" i="1" a="1"/>
  <c r="AK124" i="1" s="1"/>
  <c r="AK125" i="1" a="1"/>
  <c r="AK125" i="1" s="1"/>
  <c r="AK126" i="1" a="1"/>
  <c r="AK126" i="1" s="1"/>
  <c r="AK127" i="1" a="1"/>
  <c r="AK127" i="1" s="1"/>
  <c r="AK128" i="1" a="1"/>
  <c r="AK128" i="1" s="1"/>
  <c r="AK129" i="1" a="1"/>
  <c r="AK129" i="1" s="1"/>
  <c r="AK130" i="1" a="1"/>
  <c r="AK130" i="1" s="1"/>
  <c r="AK131" i="1" a="1"/>
  <c r="AK131" i="1" s="1"/>
  <c r="AK132" i="1" a="1"/>
  <c r="AK132" i="1" s="1"/>
  <c r="AK133" i="1" a="1"/>
  <c r="AK133" i="1" s="1"/>
  <c r="AK134" i="1" a="1"/>
  <c r="AK134" i="1" s="1"/>
  <c r="AK135" i="1" a="1"/>
  <c r="AK135" i="1" s="1"/>
  <c r="AK136" i="1" a="1"/>
  <c r="AK136" i="1" s="1"/>
  <c r="AK137" i="1" a="1"/>
  <c r="AK137" i="1" s="1"/>
  <c r="AK138" i="1" a="1"/>
  <c r="AK138" i="1" s="1"/>
  <c r="AK139" i="1" a="1"/>
  <c r="AK139" i="1" s="1"/>
  <c r="AK140" i="1" a="1"/>
  <c r="AK140" i="1" s="1"/>
  <c r="AK141" i="1" a="1"/>
  <c r="AK141" i="1" s="1"/>
  <c r="AK142" i="1" a="1"/>
  <c r="AK142" i="1" s="1"/>
  <c r="AK143" i="1" a="1"/>
  <c r="AK143" i="1" s="1"/>
  <c r="AK144" i="1" a="1"/>
  <c r="AK144" i="1" s="1"/>
  <c r="AK145" i="1" a="1"/>
  <c r="AK145" i="1" s="1"/>
  <c r="AK146" i="1" a="1"/>
  <c r="AK146" i="1" s="1"/>
  <c r="AK147" i="1" a="1"/>
  <c r="AK147" i="1" s="1"/>
  <c r="AK148" i="1" a="1"/>
  <c r="AK148" i="1" s="1"/>
  <c r="AK149" i="1" a="1"/>
  <c r="AK149" i="1" s="1"/>
  <c r="AK150" i="1" a="1"/>
  <c r="AK150" i="1" s="1"/>
  <c r="AK151" i="1" a="1"/>
  <c r="AK151" i="1" s="1"/>
  <c r="AK152" i="1" a="1"/>
  <c r="AK152" i="1" s="1"/>
  <c r="AK153" i="1" a="1"/>
  <c r="AK153" i="1" s="1"/>
  <c r="AK154" i="1" a="1"/>
  <c r="AK154" i="1" s="1"/>
  <c r="AK155" i="1" a="1"/>
  <c r="AK155" i="1" s="1"/>
  <c r="AK156" i="1" a="1"/>
  <c r="AK156" i="1" s="1"/>
  <c r="AK157" i="1" a="1"/>
  <c r="AK157" i="1" s="1"/>
  <c r="AK158" i="1" a="1"/>
  <c r="AK158" i="1" s="1"/>
  <c r="AK159" i="1" a="1"/>
  <c r="AK159" i="1" s="1"/>
  <c r="AK160" i="1" a="1"/>
  <c r="AK160" i="1" s="1"/>
  <c r="AK161" i="1" a="1"/>
  <c r="AK161" i="1" s="1"/>
  <c r="AK162" i="1" a="1"/>
  <c r="AK162" i="1" s="1"/>
  <c r="AK163" i="1" a="1"/>
  <c r="AK163" i="1" s="1"/>
  <c r="AK164" i="1" a="1"/>
  <c r="AK164" i="1" s="1"/>
  <c r="AK165" i="1" a="1"/>
  <c r="AK165" i="1" s="1"/>
  <c r="AK166" i="1" a="1"/>
  <c r="AK166" i="1" s="1"/>
  <c r="AK167" i="1" a="1"/>
  <c r="AK167" i="1" s="1"/>
  <c r="AK168" i="1" a="1"/>
  <c r="AK168" i="1" s="1"/>
  <c r="AK169" i="1" a="1"/>
  <c r="AK169" i="1" s="1"/>
  <c r="AK170" i="1" a="1"/>
  <c r="AK170" i="1" s="1"/>
  <c r="AK171" i="1" a="1"/>
  <c r="AK171" i="1" s="1"/>
  <c r="AK172" i="1" a="1"/>
  <c r="AK172" i="1" s="1"/>
  <c r="AK173" i="1" a="1"/>
  <c r="AK173" i="1" s="1"/>
  <c r="AK174" i="1" a="1"/>
  <c r="AK174" i="1" s="1"/>
  <c r="AK175" i="1" a="1"/>
  <c r="AK175" i="1" s="1"/>
  <c r="AK176" i="1" a="1"/>
  <c r="AK176" i="1" s="1"/>
  <c r="AK177" i="1" a="1"/>
  <c r="AK177" i="1" s="1"/>
  <c r="AK178" i="1" a="1"/>
  <c r="AK178" i="1" s="1"/>
  <c r="AK179" i="1" a="1"/>
  <c r="AK179" i="1" s="1"/>
  <c r="AK180" i="1" a="1"/>
  <c r="AK180" i="1" s="1"/>
  <c r="AK181" i="1" a="1"/>
  <c r="AK181" i="1" s="1"/>
  <c r="AK182" i="1" a="1"/>
  <c r="AK182" i="1" s="1"/>
  <c r="AK183" i="1" a="1"/>
  <c r="AK183" i="1" s="1"/>
  <c r="AK184" i="1" a="1"/>
  <c r="AK184" i="1" s="1"/>
  <c r="AK185" i="1" a="1"/>
  <c r="AK185" i="1" s="1"/>
  <c r="AK186" i="1" a="1"/>
  <c r="AK186" i="1" s="1"/>
  <c r="AK187" i="1" a="1"/>
  <c r="AK187" i="1" s="1"/>
  <c r="AK188" i="1" a="1"/>
  <c r="AK188" i="1" s="1"/>
  <c r="AK189" i="1" a="1"/>
  <c r="AK189" i="1" s="1"/>
  <c r="AK190" i="1" a="1"/>
  <c r="AK190" i="1" s="1"/>
  <c r="AK191" i="1" a="1"/>
  <c r="AK191" i="1" s="1"/>
  <c r="AK192" i="1" a="1"/>
  <c r="AK192" i="1" s="1"/>
  <c r="AK193" i="1" a="1"/>
  <c r="AK193" i="1" s="1"/>
  <c r="AK194" i="1" a="1"/>
  <c r="AK194" i="1" s="1"/>
  <c r="AK195" i="1" a="1"/>
  <c r="AK195" i="1" s="1"/>
  <c r="AK196" i="1" a="1"/>
  <c r="AK196" i="1" s="1"/>
  <c r="AK197" i="1" a="1"/>
  <c r="AK197" i="1" s="1"/>
  <c r="AK198" i="1" a="1"/>
  <c r="AK198" i="1" s="1"/>
  <c r="AK199" i="1" a="1"/>
  <c r="AK199" i="1" s="1"/>
  <c r="AK200" i="1" a="1"/>
  <c r="AK200" i="1" s="1"/>
  <c r="AK201" i="1" a="1"/>
  <c r="AK201" i="1" s="1"/>
  <c r="AK202" i="1" a="1"/>
  <c r="AK202" i="1" s="1"/>
  <c r="AK203" i="1" a="1"/>
  <c r="AK203" i="1" s="1"/>
  <c r="AK204" i="1" a="1"/>
  <c r="AK204" i="1" s="1"/>
  <c r="AK205" i="1" a="1"/>
  <c r="AK205" i="1" s="1"/>
  <c r="AK206" i="1" a="1"/>
  <c r="AK206" i="1" s="1"/>
  <c r="AK207" i="1" a="1"/>
  <c r="AK207" i="1" s="1"/>
  <c r="AK208" i="1" a="1"/>
  <c r="AK208" i="1" s="1"/>
  <c r="AK209" i="1" a="1"/>
  <c r="AK209" i="1" s="1"/>
  <c r="AK210" i="1" a="1"/>
  <c r="AK210" i="1" s="1"/>
  <c r="AK211" i="1" a="1"/>
  <c r="AK211" i="1" s="1"/>
  <c r="AK212" i="1" a="1"/>
  <c r="AK212" i="1" s="1"/>
  <c r="AK213" i="1" a="1"/>
  <c r="AK213" i="1" s="1"/>
  <c r="AK214" i="1" a="1"/>
  <c r="AK214" i="1" s="1"/>
  <c r="AK215" i="1" a="1"/>
  <c r="AK215" i="1" s="1"/>
  <c r="AK216" i="1" a="1"/>
  <c r="AK216" i="1" s="1"/>
  <c r="AK217" i="1" a="1"/>
  <c r="AK217" i="1" s="1"/>
  <c r="AK218" i="1" a="1"/>
  <c r="AK218" i="1" s="1"/>
  <c r="AK219" i="1" a="1"/>
  <c r="AK219" i="1" s="1"/>
  <c r="AK220" i="1" a="1"/>
  <c r="AK220" i="1" s="1"/>
  <c r="AK221" i="1" a="1"/>
  <c r="AK221" i="1" s="1"/>
  <c r="AK222" i="1" a="1"/>
  <c r="AK222" i="1" s="1"/>
  <c r="AK223" i="1" a="1"/>
  <c r="AK223" i="1" s="1"/>
  <c r="AK224" i="1" a="1"/>
  <c r="AK224" i="1" s="1"/>
  <c r="AK225" i="1" a="1"/>
  <c r="AK225" i="1" s="1"/>
  <c r="AK226" i="1" a="1"/>
  <c r="AK226" i="1" s="1"/>
  <c r="AK227" i="1" a="1"/>
  <c r="AK227" i="1" s="1"/>
  <c r="AK228" i="1" a="1"/>
  <c r="AK228" i="1" s="1"/>
  <c r="AK229" i="1" a="1"/>
  <c r="AK229" i="1" s="1"/>
  <c r="AK230" i="1" a="1"/>
  <c r="AK230" i="1" s="1"/>
  <c r="AK231" i="1" a="1"/>
  <c r="AK231" i="1" s="1"/>
  <c r="AK232" i="1" a="1"/>
  <c r="AK232" i="1" s="1"/>
  <c r="AK233" i="1" a="1"/>
  <c r="AK233" i="1" s="1"/>
  <c r="AK234" i="1" a="1"/>
  <c r="AK234" i="1" s="1"/>
  <c r="AK235" i="1" a="1"/>
  <c r="AK235" i="1" s="1"/>
  <c r="AK236" i="1" a="1"/>
  <c r="AK236" i="1" s="1"/>
  <c r="AK237" i="1" a="1"/>
  <c r="AK237" i="1" s="1"/>
  <c r="AK238" i="1" a="1"/>
  <c r="AK238" i="1" s="1"/>
  <c r="AK239" i="1" a="1"/>
  <c r="AK239" i="1" s="1"/>
  <c r="AK240" i="1" a="1"/>
  <c r="AK240" i="1" s="1"/>
  <c r="AK241" i="1" a="1"/>
  <c r="AK241" i="1" s="1"/>
  <c r="AK242" i="1" a="1"/>
  <c r="AK242" i="1" s="1"/>
  <c r="AK243" i="1" a="1"/>
  <c r="AK243" i="1" s="1"/>
  <c r="AK244" i="1" a="1"/>
  <c r="AK244" i="1" s="1"/>
  <c r="AK245" i="1" a="1"/>
  <c r="AK245" i="1" s="1"/>
  <c r="AK246" i="1" a="1"/>
  <c r="AK246" i="1" s="1"/>
  <c r="AK247" i="1" a="1"/>
  <c r="AK247" i="1" s="1"/>
  <c r="AK248" i="1" a="1"/>
  <c r="AK248" i="1" s="1"/>
  <c r="AK249" i="1" a="1"/>
  <c r="AK249" i="1" s="1"/>
  <c r="AK250" i="1" a="1"/>
  <c r="AK250" i="1" s="1"/>
  <c r="AK251" i="1" a="1"/>
  <c r="AK251" i="1" s="1"/>
  <c r="AK252" i="1" a="1"/>
  <c r="AK252" i="1" s="1"/>
  <c r="AK253" i="1" a="1"/>
  <c r="AK253" i="1" s="1"/>
  <c r="AK254" i="1" a="1"/>
  <c r="AK254" i="1" s="1"/>
  <c r="AK255" i="1" a="1"/>
  <c r="AK255" i="1" s="1"/>
  <c r="AK256" i="1" a="1"/>
  <c r="AK256" i="1" s="1"/>
  <c r="AK257" i="1" a="1"/>
  <c r="AK257" i="1" s="1"/>
  <c r="AK258" i="1" a="1"/>
  <c r="AK258" i="1" s="1"/>
  <c r="AK259" i="1" a="1"/>
  <c r="AK259" i="1" s="1"/>
  <c r="AK260" i="1" a="1"/>
  <c r="AK260" i="1" s="1"/>
  <c r="AK261" i="1" a="1"/>
  <c r="AK261" i="1" s="1"/>
  <c r="AK262" i="1" a="1"/>
  <c r="AK262" i="1" s="1"/>
  <c r="AK263" i="1" a="1"/>
  <c r="AK263" i="1" s="1"/>
  <c r="AK264" i="1" a="1"/>
  <c r="AK264" i="1" s="1"/>
  <c r="AK265" i="1" a="1"/>
  <c r="AK265" i="1" s="1"/>
  <c r="AK266" i="1" a="1"/>
  <c r="AK266" i="1" s="1"/>
  <c r="AK267" i="1" a="1"/>
  <c r="AK267" i="1" s="1"/>
  <c r="AK268" i="1" a="1"/>
  <c r="AK268" i="1" s="1"/>
  <c r="AK269" i="1" a="1"/>
  <c r="AK269" i="1" s="1"/>
  <c r="AK270" i="1" a="1"/>
  <c r="AK270" i="1" s="1"/>
  <c r="AK271" i="1" a="1"/>
  <c r="AK271" i="1" s="1"/>
  <c r="AK272" i="1" a="1"/>
  <c r="AK272" i="1" s="1"/>
  <c r="AK273" i="1" a="1"/>
  <c r="AK273" i="1" s="1"/>
  <c r="AK274" i="1" a="1"/>
  <c r="AK274" i="1" s="1"/>
  <c r="AK275" i="1" a="1"/>
  <c r="AK275" i="1" s="1"/>
  <c r="AK276" i="1" a="1"/>
  <c r="AK276" i="1" s="1"/>
  <c r="AK277" i="1" a="1"/>
  <c r="AK277" i="1" s="1"/>
  <c r="AK278" i="1" a="1"/>
  <c r="AK278" i="1" s="1"/>
  <c r="AK279" i="1" a="1"/>
  <c r="AK279" i="1" s="1"/>
  <c r="AK280" i="1" a="1"/>
  <c r="AK280" i="1" s="1"/>
  <c r="AK281" i="1" a="1"/>
  <c r="AK281" i="1" s="1"/>
  <c r="AK282" i="1" a="1"/>
  <c r="AK282" i="1" s="1"/>
  <c r="AK283" i="1" a="1"/>
  <c r="AK283" i="1" s="1"/>
  <c r="AK284" i="1" a="1"/>
  <c r="AK284" i="1" s="1"/>
  <c r="AK285" i="1" a="1"/>
  <c r="AK285" i="1" s="1"/>
  <c r="AK286" i="1" a="1"/>
  <c r="AK286" i="1" s="1"/>
  <c r="AK287" i="1" a="1"/>
  <c r="AK287" i="1" s="1"/>
  <c r="AK288" i="1" a="1"/>
  <c r="AK288" i="1" s="1"/>
  <c r="AK289" i="1" a="1"/>
  <c r="AK289" i="1" s="1"/>
  <c r="AK290" i="1" a="1"/>
  <c r="AK290" i="1" s="1"/>
  <c r="AK291" i="1" a="1"/>
  <c r="AK291" i="1" s="1"/>
  <c r="AK292" i="1" a="1"/>
  <c r="AK292" i="1" s="1"/>
  <c r="AK293" i="1" a="1"/>
  <c r="AK293" i="1" s="1"/>
  <c r="AK294" i="1" a="1"/>
  <c r="AK294" i="1" s="1"/>
  <c r="AK295" i="1" a="1"/>
  <c r="AK295" i="1" s="1"/>
  <c r="AK296" i="1" a="1"/>
  <c r="AK296" i="1" s="1"/>
  <c r="AK297" i="1" a="1"/>
  <c r="AK297" i="1" s="1"/>
  <c r="AK298" i="1" a="1"/>
  <c r="AK298" i="1" s="1"/>
  <c r="AK299" i="1" a="1"/>
  <c r="AK299" i="1" s="1"/>
  <c r="AK300" i="1" a="1"/>
  <c r="AK300" i="1" s="1"/>
  <c r="AK301" i="1" a="1"/>
  <c r="AK301" i="1" s="1"/>
  <c r="AK302" i="1" a="1"/>
  <c r="AK302" i="1" s="1"/>
  <c r="AK303" i="1" a="1"/>
  <c r="AK303" i="1" s="1"/>
  <c r="AK304" i="1" a="1"/>
  <c r="AK304" i="1" s="1"/>
  <c r="AK305" i="1" a="1"/>
  <c r="AK305" i="1" s="1"/>
  <c r="AK306" i="1" a="1"/>
  <c r="AK306" i="1" s="1"/>
  <c r="AK307" i="1" a="1"/>
  <c r="AK307" i="1" s="1"/>
  <c r="AK308" i="1" a="1"/>
  <c r="AK308" i="1" s="1"/>
  <c r="AK309" i="1" a="1"/>
  <c r="AK309" i="1" s="1"/>
  <c r="AK310" i="1" a="1"/>
  <c r="AK310" i="1" s="1"/>
  <c r="AK311" i="1" a="1"/>
  <c r="AK311" i="1" s="1"/>
  <c r="AK312" i="1" a="1"/>
  <c r="AK312" i="1" s="1"/>
  <c r="AK313" i="1" a="1"/>
  <c r="AK313" i="1" s="1"/>
  <c r="AK314" i="1" a="1"/>
  <c r="AK314" i="1" s="1"/>
  <c r="AK315" i="1" a="1"/>
  <c r="AK315" i="1" s="1"/>
  <c r="AK316" i="1" a="1"/>
  <c r="AK316" i="1" s="1"/>
  <c r="AK317" i="1" a="1"/>
  <c r="AK317" i="1" s="1"/>
  <c r="AK318" i="1" a="1"/>
  <c r="AK318" i="1" s="1"/>
  <c r="AK319" i="1" a="1"/>
  <c r="AK319" i="1" s="1"/>
  <c r="AK320" i="1" a="1"/>
  <c r="AK320" i="1" s="1"/>
  <c r="AK321" i="1" a="1"/>
  <c r="AK321" i="1" s="1"/>
  <c r="AK322" i="1" a="1"/>
  <c r="AK322" i="1" s="1"/>
  <c r="AK323" i="1" a="1"/>
  <c r="AK323" i="1" s="1"/>
  <c r="AK324" i="1" a="1"/>
  <c r="AK324" i="1" s="1"/>
  <c r="AK325" i="1" a="1"/>
  <c r="AK325" i="1" s="1"/>
  <c r="AK326" i="1" a="1"/>
  <c r="AK326" i="1" s="1"/>
  <c r="AK327" i="1" a="1"/>
  <c r="AK327" i="1" s="1"/>
  <c r="AK328" i="1" a="1"/>
  <c r="AK328" i="1" s="1"/>
  <c r="AK329" i="1" a="1"/>
  <c r="AK329" i="1" s="1"/>
  <c r="AK330" i="1" a="1"/>
  <c r="AK330" i="1" s="1"/>
  <c r="AK331" i="1" a="1"/>
  <c r="AK331" i="1" s="1"/>
  <c r="AK332" i="1" a="1"/>
  <c r="AK332" i="1" s="1"/>
  <c r="AK333" i="1" a="1"/>
  <c r="AK333" i="1" s="1"/>
  <c r="AK334" i="1" a="1"/>
  <c r="AK334" i="1" s="1"/>
  <c r="AK335" i="1" a="1"/>
  <c r="AK335" i="1" s="1"/>
  <c r="AK336" i="1" a="1"/>
  <c r="AK336" i="1" s="1"/>
  <c r="AK337" i="1" a="1"/>
  <c r="AK337" i="1" s="1"/>
  <c r="AK338" i="1" a="1"/>
  <c r="AK338" i="1" s="1"/>
  <c r="AK339" i="1" a="1"/>
  <c r="AK339" i="1" s="1"/>
  <c r="AK340" i="1" a="1"/>
  <c r="AK340" i="1" s="1"/>
  <c r="AK341" i="1" a="1"/>
  <c r="AK341" i="1" s="1"/>
  <c r="AK342" i="1" a="1"/>
  <c r="AK342" i="1" s="1"/>
  <c r="AK343" i="1" a="1"/>
  <c r="AK343" i="1" s="1"/>
  <c r="AK344" i="1" a="1"/>
  <c r="AK344" i="1" s="1"/>
  <c r="AK345" i="1" a="1"/>
  <c r="AK345" i="1" s="1"/>
  <c r="AK346" i="1" a="1"/>
  <c r="AK346" i="1" s="1"/>
  <c r="AK347" i="1" a="1"/>
  <c r="AK347" i="1" s="1"/>
  <c r="AK348" i="1" a="1"/>
  <c r="AK348" i="1" s="1"/>
  <c r="AK349" i="1" a="1"/>
  <c r="AK349" i="1" s="1"/>
  <c r="AK350" i="1" a="1"/>
  <c r="AK350" i="1" s="1"/>
  <c r="AK351" i="1" a="1"/>
  <c r="AK351" i="1" s="1"/>
  <c r="AK352" i="1" a="1"/>
  <c r="AK352" i="1" s="1"/>
  <c r="AK353" i="1" a="1"/>
  <c r="AK353" i="1" s="1"/>
  <c r="AK354" i="1" a="1"/>
  <c r="AK354" i="1" s="1"/>
  <c r="AK355" i="1" a="1"/>
  <c r="AK355" i="1" s="1"/>
  <c r="AK356" i="1" a="1"/>
  <c r="AK356" i="1" s="1"/>
  <c r="AK357" i="1" a="1"/>
  <c r="AK357" i="1" s="1"/>
  <c r="AK358" i="1" a="1"/>
  <c r="AK358" i="1" s="1"/>
  <c r="AK359" i="1" a="1"/>
  <c r="AK359" i="1" s="1"/>
  <c r="AK360" i="1" a="1"/>
  <c r="AK360" i="1" s="1"/>
  <c r="AK361" i="1" a="1"/>
  <c r="AK361" i="1" s="1"/>
  <c r="AK362" i="1" a="1"/>
  <c r="AK362" i="1" s="1"/>
  <c r="AK363" i="1" a="1"/>
  <c r="AK363" i="1" s="1"/>
  <c r="AK364" i="1" a="1"/>
  <c r="AK364" i="1" s="1"/>
  <c r="AK365" i="1" a="1"/>
  <c r="AK365" i="1" s="1"/>
  <c r="AK366" i="1" a="1"/>
  <c r="AK366" i="1" s="1"/>
  <c r="AK367" i="1" a="1"/>
  <c r="AK367" i="1" s="1"/>
  <c r="AK368" i="1" a="1"/>
  <c r="AK368" i="1" s="1"/>
  <c r="AK369" i="1" a="1"/>
  <c r="AK369" i="1" s="1"/>
  <c r="AK370" i="1" a="1"/>
  <c r="AK370" i="1" s="1"/>
  <c r="AK371" i="1" a="1"/>
  <c r="AK371" i="1" s="1"/>
  <c r="AK372" i="1" a="1"/>
  <c r="AK372" i="1" s="1"/>
  <c r="AK373" i="1" a="1"/>
  <c r="AK373" i="1" s="1"/>
  <c r="AK374" i="1" a="1"/>
  <c r="AK374" i="1" s="1"/>
  <c r="AK375" i="1" a="1"/>
  <c r="AK375" i="1" s="1"/>
  <c r="AK376" i="1" a="1"/>
  <c r="AK376" i="1" s="1"/>
  <c r="AK377" i="1" a="1"/>
  <c r="AK377" i="1" s="1"/>
  <c r="AK378" i="1" a="1"/>
  <c r="AK378" i="1" s="1"/>
  <c r="AK379" i="1" a="1"/>
  <c r="AK379" i="1" s="1"/>
  <c r="AK380" i="1" a="1"/>
  <c r="AK380" i="1" s="1"/>
  <c r="AK381" i="1" a="1"/>
  <c r="AK381" i="1" s="1"/>
  <c r="AK382" i="1" a="1"/>
  <c r="AK382" i="1" s="1"/>
  <c r="AK383" i="1" a="1"/>
  <c r="AK383" i="1" s="1"/>
  <c r="AK384" i="1" a="1"/>
  <c r="AK384" i="1" s="1"/>
  <c r="AK385" i="1" a="1"/>
  <c r="AK385" i="1" s="1"/>
  <c r="AK386" i="1" a="1"/>
  <c r="AK386" i="1" s="1"/>
  <c r="AK387" i="1" a="1"/>
  <c r="AK387" i="1" s="1"/>
  <c r="AK388" i="1" a="1"/>
  <c r="AK388" i="1" s="1"/>
  <c r="AK389" i="1" a="1"/>
  <c r="AK389" i="1" s="1"/>
  <c r="AK390" i="1" a="1"/>
  <c r="AK390" i="1" s="1"/>
  <c r="AK391" i="1" a="1"/>
  <c r="AK391" i="1" s="1"/>
  <c r="AK392" i="1" a="1"/>
  <c r="AK392" i="1" s="1"/>
  <c r="AK393" i="1" a="1"/>
  <c r="AK393" i="1" s="1"/>
  <c r="AK394" i="1" a="1"/>
  <c r="AK394" i="1" s="1"/>
  <c r="AK395" i="1" a="1"/>
  <c r="AK395" i="1" s="1"/>
  <c r="AK396" i="1" a="1"/>
  <c r="AK396" i="1" s="1"/>
  <c r="AK397" i="1" a="1"/>
  <c r="AK397" i="1" s="1"/>
  <c r="AK398" i="1" a="1"/>
  <c r="AK398" i="1" s="1"/>
  <c r="AK399" i="1" a="1"/>
  <c r="AK399" i="1" s="1"/>
  <c r="AK400" i="1" a="1"/>
  <c r="AK400" i="1" s="1"/>
  <c r="AK401" i="1" a="1"/>
  <c r="AK401" i="1" s="1"/>
  <c r="AK402" i="1" a="1"/>
  <c r="AK402" i="1" s="1"/>
  <c r="AK403" i="1" a="1"/>
  <c r="AK403" i="1" s="1"/>
  <c r="AK404" i="1" a="1"/>
  <c r="AK404" i="1" s="1"/>
  <c r="AK405" i="1" a="1"/>
  <c r="AK405" i="1" s="1"/>
  <c r="AK406" i="1" a="1"/>
  <c r="AK406" i="1" s="1"/>
  <c r="AK407" i="1" a="1"/>
  <c r="AK407" i="1" s="1"/>
  <c r="AK408" i="1" a="1"/>
  <c r="AK408" i="1" s="1"/>
  <c r="AK409" i="1" a="1"/>
  <c r="AK409" i="1" s="1"/>
  <c r="AK410" i="1" a="1"/>
  <c r="AK410" i="1" s="1"/>
  <c r="AK411" i="1" a="1"/>
  <c r="AK411" i="1" s="1"/>
  <c r="AK412" i="1" a="1"/>
  <c r="AK412" i="1" s="1"/>
  <c r="AK413" i="1" a="1"/>
  <c r="AK413" i="1" s="1"/>
  <c r="AK414" i="1" a="1"/>
  <c r="AK414" i="1" s="1"/>
  <c r="AK415" i="1" a="1"/>
  <c r="AK415" i="1" s="1"/>
  <c r="AK416" i="1" a="1"/>
  <c r="AK416" i="1" s="1"/>
  <c r="AK417" i="1" a="1"/>
  <c r="AK417" i="1" s="1"/>
  <c r="AK418" i="1" a="1"/>
  <c r="AK418" i="1" s="1"/>
  <c r="AK419" i="1" a="1"/>
  <c r="AK419" i="1" s="1"/>
  <c r="AK420" i="1" a="1"/>
  <c r="AK420" i="1" s="1"/>
  <c r="AK421" i="1" a="1"/>
  <c r="AK421" i="1" s="1"/>
  <c r="AK422" i="1" a="1"/>
  <c r="AK422" i="1" s="1"/>
  <c r="AK423" i="1" a="1"/>
  <c r="AK423" i="1" s="1"/>
  <c r="AK424" i="1" a="1"/>
  <c r="AK424" i="1" s="1"/>
  <c r="AK425" i="1" a="1"/>
  <c r="AK425" i="1" s="1"/>
  <c r="AK426" i="1" a="1"/>
  <c r="AK426" i="1" s="1"/>
  <c r="AK427" i="1" a="1"/>
  <c r="AK427" i="1" s="1"/>
  <c r="AK428" i="1" a="1"/>
  <c r="AK428" i="1" s="1"/>
  <c r="AK429" i="1" a="1"/>
  <c r="AK429" i="1" s="1"/>
  <c r="AK430" i="1" a="1"/>
  <c r="AK430" i="1" s="1"/>
  <c r="AK431" i="1" a="1"/>
  <c r="AK431" i="1" s="1"/>
  <c r="AK432" i="1" a="1"/>
  <c r="AK432" i="1" s="1"/>
  <c r="AK433" i="1" a="1"/>
  <c r="AK433" i="1" s="1"/>
  <c r="AK434" i="1" a="1"/>
  <c r="AK434" i="1" s="1"/>
  <c r="AK435" i="1" a="1"/>
  <c r="AK435" i="1" s="1"/>
  <c r="AK436" i="1" a="1"/>
  <c r="AK436" i="1" s="1"/>
  <c r="AK437" i="1" a="1"/>
  <c r="AK437" i="1" s="1"/>
  <c r="AK438" i="1" a="1"/>
  <c r="AK438" i="1" s="1"/>
  <c r="AK439" i="1" a="1"/>
  <c r="AK439" i="1" s="1"/>
  <c r="AK440" i="1" a="1"/>
  <c r="AK440" i="1" s="1"/>
  <c r="AK441" i="1" a="1"/>
  <c r="AK441" i="1" s="1"/>
  <c r="AK442" i="1" a="1"/>
  <c r="AK442" i="1" s="1"/>
  <c r="AK443" i="1" a="1"/>
  <c r="AK443" i="1" s="1"/>
  <c r="AK444" i="1" a="1"/>
  <c r="AK444" i="1" s="1"/>
  <c r="AK445" i="1" a="1"/>
  <c r="AK445" i="1" s="1"/>
  <c r="AK446" i="1" a="1"/>
  <c r="AK446" i="1" s="1"/>
  <c r="AK447" i="1" a="1"/>
  <c r="AK447" i="1" s="1"/>
  <c r="AK448" i="1" a="1"/>
  <c r="AK448" i="1" s="1"/>
  <c r="AK449" i="1" a="1"/>
  <c r="AK449" i="1" s="1"/>
  <c r="AK450" i="1" a="1"/>
  <c r="AK450" i="1" s="1"/>
  <c r="AK451" i="1" a="1"/>
  <c r="AK451" i="1" s="1"/>
  <c r="AK452" i="1" a="1"/>
  <c r="AK452" i="1" s="1"/>
  <c r="AK453" i="1" a="1"/>
  <c r="AK453" i="1" s="1"/>
  <c r="AK454" i="1" a="1"/>
  <c r="AK454" i="1" s="1"/>
  <c r="AK455" i="1" a="1"/>
  <c r="AK455" i="1" s="1"/>
  <c r="AK456" i="1" a="1"/>
  <c r="AK456" i="1" s="1"/>
  <c r="AK457" i="1" a="1"/>
  <c r="AK457" i="1" s="1"/>
  <c r="AK458" i="1" a="1"/>
  <c r="AK458" i="1" s="1"/>
  <c r="AK459" i="1" a="1"/>
  <c r="AK459" i="1" s="1"/>
  <c r="AK460" i="1" a="1"/>
  <c r="AK460" i="1" s="1"/>
  <c r="AK461" i="1" a="1"/>
  <c r="AK461" i="1" s="1"/>
  <c r="AK462" i="1" a="1"/>
  <c r="AK462" i="1" s="1"/>
  <c r="AK463" i="1" a="1"/>
  <c r="AK463" i="1" s="1"/>
  <c r="AK464" i="1" a="1"/>
  <c r="AK464" i="1" s="1"/>
  <c r="AK465" i="1" a="1"/>
  <c r="AK465" i="1" s="1"/>
  <c r="AK466" i="1" a="1"/>
  <c r="AK466" i="1" s="1"/>
  <c r="AK467" i="1" a="1"/>
  <c r="AK467" i="1" s="1"/>
  <c r="AK468" i="1" a="1"/>
  <c r="AK468" i="1" s="1"/>
  <c r="AK469" i="1" a="1"/>
  <c r="AK469" i="1" s="1"/>
  <c r="AK470" i="1" a="1"/>
  <c r="AK470" i="1" s="1"/>
  <c r="AK471" i="1" a="1"/>
  <c r="AK471" i="1" s="1"/>
  <c r="AK472" i="1" a="1"/>
  <c r="AK472" i="1" s="1"/>
  <c r="AK473" i="1" a="1"/>
  <c r="AK473" i="1" s="1"/>
  <c r="AK474" i="1" a="1"/>
  <c r="AK474" i="1" s="1"/>
  <c r="AK475" i="1" a="1"/>
  <c r="AK475" i="1" s="1"/>
  <c r="AK476" i="1" a="1"/>
  <c r="AK476" i="1" s="1"/>
  <c r="AK477" i="1" a="1"/>
  <c r="AK477" i="1" s="1"/>
  <c r="AK478" i="1" a="1"/>
  <c r="AK478" i="1" s="1"/>
  <c r="AK479" i="1" a="1"/>
  <c r="AK479" i="1" s="1"/>
  <c r="AK480" i="1" a="1"/>
  <c r="AK480" i="1" s="1"/>
  <c r="AK481" i="1" a="1"/>
  <c r="AK481" i="1" s="1"/>
  <c r="AK482" i="1" a="1"/>
  <c r="AK482" i="1" s="1"/>
  <c r="AK483" i="1" a="1"/>
  <c r="AK483" i="1" s="1"/>
  <c r="AK484" i="1" a="1"/>
  <c r="AK484" i="1" s="1"/>
  <c r="AK485" i="1" a="1"/>
  <c r="AK485" i="1" s="1"/>
  <c r="AK486" i="1" a="1"/>
  <c r="AK486" i="1" s="1"/>
  <c r="AK487" i="1" a="1"/>
  <c r="AK487" i="1" s="1"/>
  <c r="AK488" i="1" a="1"/>
  <c r="AK488" i="1" s="1"/>
  <c r="AK489" i="1" a="1"/>
  <c r="AK489" i="1" s="1"/>
  <c r="AK490" i="1" a="1"/>
  <c r="AK490" i="1" s="1"/>
  <c r="AK491" i="1" a="1"/>
  <c r="AK491" i="1" s="1"/>
  <c r="AK492" i="1" a="1"/>
  <c r="AK492" i="1" s="1"/>
  <c r="AK493" i="1" a="1"/>
  <c r="AK493" i="1" s="1"/>
  <c r="AK494" i="1" a="1"/>
  <c r="AK494" i="1" s="1"/>
  <c r="AK495" i="1" a="1"/>
  <c r="AK495" i="1" s="1"/>
  <c r="AK496" i="1" a="1"/>
  <c r="AK496" i="1" s="1"/>
  <c r="AK497" i="1" a="1"/>
  <c r="AK497" i="1" s="1"/>
  <c r="AK498" i="1" a="1"/>
  <c r="AK498" i="1" s="1"/>
  <c r="AK499" i="1" a="1"/>
  <c r="AK499" i="1" s="1"/>
  <c r="AK500" i="1" a="1"/>
  <c r="AK500" i="1" s="1"/>
  <c r="AK501" i="1" a="1"/>
  <c r="AK501" i="1" s="1"/>
  <c r="AK502" i="1" a="1"/>
  <c r="AK502" i="1" s="1"/>
  <c r="AK503" i="1" a="1"/>
  <c r="AK503" i="1" s="1"/>
  <c r="AK504" i="1" a="1"/>
  <c r="AK504" i="1" s="1"/>
  <c r="AK505" i="1" a="1"/>
  <c r="AK505" i="1" s="1"/>
  <c r="AK506" i="1" a="1"/>
  <c r="AK506" i="1" s="1"/>
  <c r="AK507" i="1" a="1"/>
  <c r="AK507" i="1" s="1"/>
  <c r="AK508" i="1" a="1"/>
  <c r="AK508" i="1" s="1"/>
  <c r="AK509" i="1" a="1"/>
  <c r="AK509" i="1" s="1"/>
  <c r="AK510" i="1" a="1"/>
  <c r="AK510" i="1" s="1"/>
  <c r="AK511" i="1" a="1"/>
  <c r="AK511" i="1" s="1"/>
  <c r="AK512" i="1" a="1"/>
  <c r="AK512" i="1" s="1"/>
  <c r="AK513" i="1" a="1"/>
  <c r="AK513" i="1" s="1"/>
  <c r="AK514" i="1" a="1"/>
  <c r="AK514" i="1" s="1"/>
  <c r="AK515" i="1" a="1"/>
  <c r="AK515" i="1" s="1"/>
  <c r="AK516" i="1" a="1"/>
  <c r="AK516" i="1" s="1"/>
  <c r="AK517" i="1" a="1"/>
  <c r="AK517" i="1" s="1"/>
  <c r="AK518" i="1" a="1"/>
  <c r="AK518" i="1" s="1"/>
  <c r="AK519" i="1" a="1"/>
  <c r="AK519" i="1" s="1"/>
  <c r="AK520" i="1" a="1"/>
  <c r="AK520" i="1" s="1"/>
  <c r="AK521" i="1" a="1"/>
  <c r="AK521" i="1" s="1"/>
  <c r="AK522" i="1" a="1"/>
  <c r="AK522" i="1" s="1"/>
  <c r="AK523" i="1" a="1"/>
  <c r="AK523" i="1" s="1"/>
  <c r="AK524" i="1" a="1"/>
  <c r="AK524" i="1" s="1"/>
  <c r="AK525" i="1" a="1"/>
  <c r="AK525" i="1" s="1"/>
  <c r="AK526" i="1" a="1"/>
  <c r="AK526" i="1" s="1"/>
  <c r="AK527" i="1" a="1"/>
  <c r="AK527" i="1" s="1"/>
  <c r="AK528" i="1" a="1"/>
  <c r="AK528" i="1" s="1"/>
  <c r="AK529" i="1" a="1"/>
  <c r="AK529" i="1" s="1"/>
  <c r="AK530" i="1" a="1"/>
  <c r="AK530" i="1" s="1"/>
  <c r="AK531" i="1" a="1"/>
  <c r="AK531" i="1" s="1"/>
  <c r="AK532" i="1" a="1"/>
  <c r="AK532" i="1" s="1"/>
  <c r="AK533" i="1" a="1"/>
  <c r="AK533" i="1" s="1"/>
  <c r="AK534" i="1" a="1"/>
  <c r="AK534" i="1" s="1"/>
  <c r="AK535" i="1" a="1"/>
  <c r="AK535" i="1" s="1"/>
  <c r="AK536" i="1" a="1"/>
  <c r="AK536" i="1" s="1"/>
  <c r="AK537" i="1" a="1"/>
  <c r="AK537" i="1" s="1"/>
  <c r="AK538" i="1" a="1"/>
  <c r="AK538" i="1" s="1"/>
  <c r="AK539" i="1" a="1"/>
  <c r="AK539" i="1" s="1"/>
  <c r="AK540" i="1" a="1"/>
  <c r="AK540" i="1" s="1"/>
  <c r="AK541" i="1" a="1"/>
  <c r="AK541" i="1" s="1"/>
  <c r="AK542" i="1" a="1"/>
  <c r="AK542" i="1" s="1"/>
  <c r="AK543" i="1" a="1"/>
  <c r="AK543" i="1" s="1"/>
  <c r="AK544" i="1" a="1"/>
  <c r="AK544" i="1" s="1"/>
  <c r="AK545" i="1" a="1"/>
  <c r="AK545" i="1" s="1"/>
  <c r="AK546" i="1" a="1"/>
  <c r="AK546" i="1" s="1"/>
  <c r="AK547" i="1" a="1"/>
  <c r="AK547" i="1" s="1"/>
  <c r="AK548" i="1" a="1"/>
  <c r="AK548" i="1" s="1"/>
  <c r="AK549" i="1" a="1"/>
  <c r="AK549" i="1" s="1"/>
  <c r="AK550" i="1" a="1"/>
  <c r="AK550" i="1" s="1"/>
  <c r="AK551" i="1" a="1"/>
  <c r="AK551" i="1" s="1"/>
  <c r="AK552" i="1" a="1"/>
  <c r="AK552" i="1" s="1"/>
  <c r="AK553" i="1" a="1"/>
  <c r="AK553" i="1" s="1"/>
  <c r="AK554" i="1" a="1"/>
  <c r="AK554" i="1" s="1"/>
  <c r="AK555" i="1" a="1"/>
  <c r="AK555" i="1" s="1"/>
  <c r="AK556" i="1" a="1"/>
  <c r="AK556" i="1" s="1"/>
  <c r="AK557" i="1" a="1"/>
  <c r="AK557" i="1" s="1"/>
  <c r="AK558" i="1" a="1"/>
  <c r="AK558" i="1" s="1"/>
  <c r="AK559" i="1" a="1"/>
  <c r="AK559" i="1" s="1"/>
  <c r="AK560" i="1" a="1"/>
  <c r="AK560" i="1" s="1"/>
  <c r="AK561" i="1" a="1"/>
  <c r="AK561" i="1" s="1"/>
  <c r="AK562" i="1" a="1"/>
  <c r="AK562" i="1" s="1"/>
  <c r="AK563" i="1" a="1"/>
  <c r="AK563" i="1" s="1"/>
  <c r="AK564" i="1" a="1"/>
  <c r="AK564" i="1" s="1"/>
  <c r="AK565" i="1" a="1"/>
  <c r="AK565" i="1" s="1"/>
  <c r="AK566" i="1" a="1"/>
  <c r="AK566" i="1" s="1"/>
  <c r="AK567" i="1" a="1"/>
  <c r="AK567" i="1" s="1"/>
  <c r="AK568" i="1" a="1"/>
  <c r="AK568" i="1" s="1"/>
  <c r="AK569" i="1" a="1"/>
  <c r="AK569" i="1" s="1"/>
  <c r="AK570" i="1" a="1"/>
  <c r="AK570" i="1" s="1"/>
  <c r="AK571" i="1" a="1"/>
  <c r="AK571" i="1" s="1"/>
  <c r="AK572" i="1" a="1"/>
  <c r="AK572" i="1" s="1"/>
  <c r="AK573" i="1" a="1"/>
  <c r="AK573" i="1" s="1"/>
  <c r="AK574" i="1" a="1"/>
  <c r="AK574" i="1" s="1"/>
  <c r="AK575" i="1" a="1"/>
  <c r="AK575" i="1" s="1"/>
  <c r="AK576" i="1" a="1"/>
  <c r="AK576" i="1" s="1"/>
  <c r="AK577" i="1" a="1"/>
  <c r="AK577" i="1" s="1"/>
  <c r="AK578" i="1" a="1"/>
  <c r="AK578" i="1" s="1"/>
  <c r="AK579" i="1" a="1"/>
  <c r="AK579" i="1" s="1"/>
  <c r="AK580" i="1" a="1"/>
  <c r="AK580" i="1" s="1"/>
  <c r="AK581" i="1" a="1"/>
  <c r="AK581" i="1" s="1"/>
  <c r="AK582" i="1" a="1"/>
  <c r="AK582" i="1" s="1"/>
  <c r="AK583" i="1" a="1"/>
  <c r="AK583" i="1" s="1"/>
  <c r="AK584" i="1" a="1"/>
  <c r="AK584" i="1" s="1"/>
  <c r="AK585" i="1" a="1"/>
  <c r="AK585" i="1" s="1"/>
  <c r="AK586" i="1" a="1"/>
  <c r="AK586" i="1" s="1"/>
  <c r="AK587" i="1" a="1"/>
  <c r="AK587" i="1" s="1"/>
  <c r="AK588" i="1" a="1"/>
  <c r="AK588" i="1" s="1"/>
  <c r="AK589" i="1" a="1"/>
  <c r="AK589" i="1" s="1"/>
  <c r="AK590" i="1" a="1"/>
  <c r="AK590" i="1" s="1"/>
  <c r="AK591" i="1" a="1"/>
  <c r="AK591" i="1" s="1"/>
  <c r="AK592" i="1" a="1"/>
  <c r="AK592" i="1" s="1"/>
  <c r="AK593" i="1" a="1"/>
  <c r="AK593" i="1" s="1"/>
  <c r="AK594" i="1" a="1"/>
  <c r="AK594" i="1" s="1"/>
  <c r="AK595" i="1" a="1"/>
  <c r="AK595" i="1" s="1"/>
  <c r="AK596" i="1" a="1"/>
  <c r="AK596" i="1" s="1"/>
  <c r="AK597" i="1" a="1"/>
  <c r="AK597" i="1" s="1"/>
  <c r="AK598" i="1" a="1"/>
  <c r="AK598" i="1" s="1"/>
  <c r="AK599" i="1" a="1"/>
  <c r="AK599" i="1" s="1"/>
  <c r="AK600" i="1" a="1"/>
  <c r="AK600" i="1" s="1"/>
  <c r="AK601" i="1" a="1"/>
  <c r="AK601" i="1" s="1"/>
  <c r="AK602" i="1" a="1"/>
  <c r="AK602" i="1" s="1"/>
  <c r="AK603" i="1" a="1"/>
  <c r="AK603" i="1" s="1"/>
  <c r="AK604" i="1" a="1"/>
  <c r="AK604" i="1" s="1"/>
  <c r="AK605" i="1" a="1"/>
  <c r="AK605" i="1" s="1"/>
  <c r="AK606" i="1" a="1"/>
  <c r="AK606" i="1" s="1"/>
  <c r="AK607" i="1" a="1"/>
  <c r="AK607" i="1" s="1"/>
  <c r="AK608" i="1" a="1"/>
  <c r="AK608" i="1" s="1"/>
  <c r="AK609" i="1" a="1"/>
  <c r="AK609" i="1" s="1"/>
  <c r="AK610" i="1" a="1"/>
  <c r="AK610" i="1" s="1"/>
  <c r="AK611" i="1" a="1"/>
  <c r="AK611" i="1" s="1"/>
  <c r="AK612" i="1" a="1"/>
  <c r="AK612" i="1" s="1"/>
  <c r="AK613" i="1" a="1"/>
  <c r="AK613" i="1" s="1"/>
  <c r="AK614" i="1" a="1"/>
  <c r="AK614" i="1" s="1"/>
  <c r="AK615" i="1" a="1"/>
  <c r="AK615" i="1" s="1"/>
  <c r="AK616" i="1" a="1"/>
  <c r="AK616" i="1" s="1"/>
  <c r="AK617" i="1" a="1"/>
  <c r="AK617" i="1" s="1"/>
  <c r="AK618" i="1" a="1"/>
  <c r="AK618" i="1" s="1"/>
  <c r="AK619" i="1" a="1"/>
  <c r="AK619" i="1" s="1"/>
  <c r="AK620" i="1" a="1"/>
  <c r="AK620" i="1" s="1"/>
  <c r="AK621" i="1" a="1"/>
  <c r="AK621" i="1" s="1"/>
  <c r="AK622" i="1" a="1"/>
  <c r="AK622" i="1" s="1"/>
  <c r="AK623" i="1" a="1"/>
  <c r="AK623" i="1" s="1"/>
  <c r="AK624" i="1" a="1"/>
  <c r="AK624" i="1" s="1"/>
  <c r="AK625" i="1" a="1"/>
  <c r="AK625" i="1" s="1"/>
  <c r="AK626" i="1" a="1"/>
  <c r="AK626" i="1" s="1"/>
  <c r="AK627" i="1" a="1"/>
  <c r="AK627" i="1" s="1"/>
  <c r="AK628" i="1" a="1"/>
  <c r="AK628" i="1" s="1"/>
  <c r="AK629" i="1" a="1"/>
  <c r="AK629" i="1" s="1"/>
  <c r="AK630" i="1" a="1"/>
  <c r="AK630" i="1" s="1"/>
  <c r="AK631" i="1" a="1"/>
  <c r="AK631" i="1" s="1"/>
  <c r="AK632" i="1" a="1"/>
  <c r="AK632" i="1" s="1"/>
  <c r="AK633" i="1" a="1"/>
  <c r="AK633" i="1" s="1"/>
  <c r="AK634" i="1" a="1"/>
  <c r="AK634" i="1" s="1"/>
  <c r="AK635" i="1" a="1"/>
  <c r="AK635" i="1" s="1"/>
  <c r="AK636" i="1" a="1"/>
  <c r="AK636" i="1" s="1"/>
  <c r="AK637" i="1" a="1"/>
  <c r="AK637" i="1" s="1"/>
  <c r="AK638" i="1" a="1"/>
  <c r="AK638" i="1" s="1"/>
  <c r="AK639" i="1" a="1"/>
  <c r="AK639" i="1" s="1"/>
  <c r="AK640" i="1" a="1"/>
  <c r="AK640" i="1" s="1"/>
  <c r="AK641" i="1" a="1"/>
  <c r="AK641" i="1" s="1"/>
  <c r="AK642" i="1" a="1"/>
  <c r="AK642" i="1" s="1"/>
  <c r="AK643" i="1" a="1"/>
  <c r="AK643" i="1" s="1"/>
  <c r="AK644" i="1" a="1"/>
  <c r="AK644" i="1" s="1"/>
  <c r="AK645" i="1" a="1"/>
  <c r="AK645" i="1" s="1"/>
  <c r="AK646" i="1" a="1"/>
  <c r="AK646" i="1" s="1"/>
  <c r="AK647" i="1" a="1"/>
  <c r="AK647" i="1" s="1"/>
  <c r="AK648" i="1" a="1"/>
  <c r="AK648" i="1" s="1"/>
  <c r="AK649" i="1" a="1"/>
  <c r="AK649" i="1" s="1"/>
  <c r="AK650" i="1" a="1"/>
  <c r="AK650" i="1" s="1"/>
  <c r="AK651" i="1" a="1"/>
  <c r="AK651" i="1" s="1"/>
  <c r="AK652" i="1" a="1"/>
  <c r="AK652" i="1" s="1"/>
  <c r="AK653" i="1" a="1"/>
  <c r="AK653" i="1" s="1"/>
  <c r="AK654" i="1" a="1"/>
  <c r="AK654" i="1" s="1"/>
  <c r="AK655" i="1" a="1"/>
  <c r="AK655" i="1" s="1"/>
  <c r="AK656" i="1" a="1"/>
  <c r="AK656" i="1" s="1"/>
  <c r="AK657" i="1" a="1"/>
  <c r="AK657" i="1" s="1"/>
  <c r="AK658" i="1" a="1"/>
  <c r="AK658" i="1" s="1"/>
  <c r="AK659" i="1" a="1"/>
  <c r="AK659" i="1" s="1"/>
  <c r="AK660" i="1" a="1"/>
  <c r="AK660" i="1" s="1"/>
  <c r="AK661" i="1" a="1"/>
  <c r="AK661" i="1" s="1"/>
  <c r="AK662" i="1" a="1"/>
  <c r="AK662" i="1" s="1"/>
  <c r="AK663" i="1" a="1"/>
  <c r="AK663" i="1" s="1"/>
  <c r="AK664" i="1" a="1"/>
  <c r="AK664" i="1" s="1"/>
  <c r="AK665" i="1" a="1"/>
  <c r="AK665" i="1" s="1"/>
  <c r="AK666" i="1" a="1"/>
  <c r="AK666" i="1" s="1"/>
  <c r="AK667" i="1" a="1"/>
  <c r="AK667" i="1" s="1"/>
  <c r="AK668" i="1" a="1"/>
  <c r="AK668" i="1" s="1"/>
  <c r="AK669" i="1" a="1"/>
  <c r="AK669" i="1" s="1"/>
  <c r="AK670" i="1" a="1"/>
  <c r="AK670" i="1" s="1"/>
  <c r="AK671" i="1" a="1"/>
  <c r="AK671" i="1" s="1"/>
  <c r="AK672" i="1" a="1"/>
  <c r="AK672" i="1" s="1"/>
  <c r="AK673" i="1" a="1"/>
  <c r="AK673" i="1" s="1"/>
  <c r="AK674" i="1" a="1"/>
  <c r="AK674" i="1" s="1"/>
  <c r="AK675" i="1" a="1"/>
  <c r="AK675" i="1" s="1"/>
  <c r="AK676" i="1" a="1"/>
  <c r="AK676" i="1" s="1"/>
  <c r="AK677" i="1" a="1"/>
  <c r="AK677" i="1" s="1"/>
  <c r="AK678" i="1" a="1"/>
  <c r="AK678" i="1" s="1"/>
  <c r="AK679" i="1" a="1"/>
  <c r="AK679" i="1" s="1"/>
  <c r="AK680" i="1" a="1"/>
  <c r="AK680" i="1" s="1"/>
  <c r="AK681" i="1" a="1"/>
  <c r="AK681" i="1" s="1"/>
  <c r="AK682" i="1" a="1"/>
  <c r="AK682" i="1" s="1"/>
  <c r="AK683" i="1" a="1"/>
  <c r="AK683" i="1" s="1"/>
  <c r="AK684" i="1" a="1"/>
  <c r="AK684" i="1" s="1"/>
  <c r="AK685" i="1" a="1"/>
  <c r="AK685" i="1" s="1"/>
  <c r="AK686" i="1" a="1"/>
  <c r="AK686" i="1" s="1"/>
  <c r="AK687" i="1" a="1"/>
  <c r="AK687" i="1" s="1"/>
  <c r="AK688" i="1" a="1"/>
  <c r="AK688" i="1" s="1"/>
  <c r="AK689" i="1" a="1"/>
  <c r="AK689" i="1" s="1"/>
  <c r="AK690" i="1" a="1"/>
  <c r="AK690" i="1" s="1"/>
  <c r="AK691" i="1" a="1"/>
  <c r="AK691" i="1" s="1"/>
  <c r="AK692" i="1" a="1"/>
  <c r="AK692" i="1" s="1"/>
  <c r="AK693" i="1" a="1"/>
  <c r="AK693" i="1" s="1"/>
  <c r="AK694" i="1" a="1"/>
  <c r="AK694" i="1" s="1"/>
  <c r="AK695" i="1" a="1"/>
  <c r="AK695" i="1" s="1"/>
  <c r="AK696" i="1" a="1"/>
  <c r="AK696" i="1" s="1"/>
  <c r="AK697" i="1" a="1"/>
  <c r="AK697" i="1" s="1"/>
  <c r="AK698" i="1" a="1"/>
  <c r="AK698" i="1" s="1"/>
  <c r="AK699" i="1" a="1"/>
  <c r="AK699" i="1" s="1"/>
  <c r="AK700" i="1" a="1"/>
  <c r="AK700" i="1" s="1"/>
  <c r="AK701" i="1" a="1"/>
  <c r="AK701" i="1" s="1"/>
  <c r="AK702" i="1" a="1"/>
  <c r="AK702" i="1" s="1"/>
  <c r="AK703" i="1" a="1"/>
  <c r="AK703" i="1" s="1"/>
  <c r="AK704" i="1" a="1"/>
  <c r="AK704" i="1" s="1"/>
  <c r="AK705" i="1" a="1"/>
  <c r="AK705" i="1" s="1"/>
  <c r="AK706" i="1" a="1"/>
  <c r="AK706" i="1" s="1"/>
  <c r="AK707" i="1" a="1"/>
  <c r="AK707" i="1" s="1"/>
  <c r="AK708" i="1" a="1"/>
  <c r="AK708" i="1" s="1"/>
  <c r="AK709" i="1" a="1"/>
  <c r="AK709" i="1" s="1"/>
  <c r="AK710" i="1" a="1"/>
  <c r="AK710" i="1" s="1"/>
  <c r="AK711" i="1" a="1"/>
  <c r="AK711" i="1" s="1"/>
  <c r="AK712" i="1" a="1"/>
  <c r="AK712" i="1" s="1"/>
  <c r="AK713" i="1" a="1"/>
  <c r="AK713" i="1" s="1"/>
  <c r="AK714" i="1" a="1"/>
  <c r="AK714" i="1" s="1"/>
  <c r="AK715" i="1" a="1"/>
  <c r="AK715" i="1" s="1"/>
  <c r="AK716" i="1" a="1"/>
  <c r="AK716" i="1" s="1"/>
  <c r="AK717" i="1" a="1"/>
  <c r="AK717" i="1" s="1"/>
  <c r="AK718" i="1" a="1"/>
  <c r="AK718" i="1" s="1"/>
  <c r="AK719" i="1" a="1"/>
  <c r="AK719" i="1" s="1"/>
  <c r="AK720" i="1" a="1"/>
  <c r="AK720" i="1" s="1"/>
  <c r="AK721" i="1" a="1"/>
  <c r="AK721" i="1" s="1"/>
  <c r="AK722" i="1" a="1"/>
  <c r="AK722" i="1" s="1"/>
  <c r="AK723" i="1" a="1"/>
  <c r="AK723" i="1" s="1"/>
  <c r="AK724" i="1" a="1"/>
  <c r="AK724" i="1" s="1"/>
  <c r="AK725" i="1" a="1"/>
  <c r="AK725" i="1" s="1"/>
  <c r="AK726" i="1" a="1"/>
  <c r="AK726" i="1" s="1"/>
  <c r="AK727" i="1" a="1"/>
  <c r="AK727" i="1" s="1"/>
  <c r="AK728" i="1" a="1"/>
  <c r="AK728" i="1" s="1"/>
  <c r="AK729" i="1" a="1"/>
  <c r="AK729" i="1" s="1"/>
  <c r="AK730" i="1" a="1"/>
  <c r="AK730" i="1" s="1"/>
  <c r="AK731" i="1" a="1"/>
  <c r="AK731" i="1" s="1"/>
  <c r="AK732" i="1" a="1"/>
  <c r="AK732" i="1" s="1"/>
  <c r="AK733" i="1" a="1"/>
  <c r="AK733" i="1" s="1"/>
  <c r="AK734" i="1" a="1"/>
  <c r="AK734" i="1" s="1"/>
  <c r="AK735" i="1" a="1"/>
  <c r="AK735" i="1" s="1"/>
  <c r="AK736" i="1" a="1"/>
  <c r="AK736" i="1" s="1"/>
  <c r="AK737" i="1" a="1"/>
  <c r="AK737" i="1" s="1"/>
  <c r="AK738" i="1" a="1"/>
  <c r="AK738" i="1" s="1"/>
  <c r="AK739" i="1" a="1"/>
  <c r="AK739" i="1" s="1"/>
  <c r="AK740" i="1" a="1"/>
  <c r="AK740" i="1" s="1"/>
  <c r="AK741" i="1" a="1"/>
  <c r="AK741" i="1" s="1"/>
  <c r="AK742" i="1" a="1"/>
  <c r="AK742" i="1" s="1"/>
  <c r="AK743" i="1" a="1"/>
  <c r="AK743" i="1" s="1"/>
  <c r="AK744" i="1" a="1"/>
  <c r="AK744" i="1" s="1"/>
  <c r="AK745" i="1" a="1"/>
  <c r="AK745" i="1" s="1"/>
  <c r="AK746" i="1" a="1"/>
  <c r="AK746" i="1" s="1"/>
  <c r="AK747" i="1" a="1"/>
  <c r="AK747" i="1" s="1"/>
  <c r="AK748" i="1" a="1"/>
  <c r="AK748" i="1" s="1"/>
  <c r="AK749" i="1" a="1"/>
  <c r="AK749" i="1" s="1"/>
  <c r="AK750" i="1" a="1"/>
  <c r="AK750" i="1" s="1"/>
  <c r="AK751" i="1" a="1"/>
  <c r="AK751" i="1" s="1"/>
  <c r="AK752" i="1" a="1"/>
  <c r="AK752" i="1" s="1"/>
  <c r="AK753" i="1" a="1"/>
  <c r="AK753" i="1" s="1"/>
  <c r="AK754" i="1" a="1"/>
  <c r="AK754" i="1" s="1"/>
  <c r="AK755" i="1" a="1"/>
  <c r="AK755" i="1" s="1"/>
  <c r="AK756" i="1" a="1"/>
  <c r="AK756" i="1" s="1"/>
  <c r="AK757" i="1" a="1"/>
  <c r="AK757" i="1" s="1"/>
  <c r="AK758" i="1" a="1"/>
  <c r="AK758" i="1" s="1"/>
  <c r="AK759" i="1" a="1"/>
  <c r="AK759" i="1" s="1"/>
  <c r="AK760" i="1" a="1"/>
  <c r="AK760" i="1" s="1"/>
  <c r="AK761" i="1" a="1"/>
  <c r="AK761" i="1" s="1"/>
  <c r="AK762" i="1" a="1"/>
  <c r="AK762" i="1" s="1"/>
  <c r="AK763" i="1" a="1"/>
  <c r="AK763" i="1" s="1"/>
  <c r="AK764" i="1" a="1"/>
  <c r="AK764" i="1" s="1"/>
  <c r="AK765" i="1" a="1"/>
  <c r="AK765" i="1" s="1"/>
  <c r="AK766" i="1" a="1"/>
  <c r="AK766" i="1" s="1"/>
  <c r="AK767" i="1" a="1"/>
  <c r="AK767" i="1" s="1"/>
  <c r="AK768" i="1" a="1"/>
  <c r="AK768" i="1" s="1"/>
  <c r="AK769" i="1" a="1"/>
  <c r="AK769" i="1" s="1"/>
  <c r="AK770" i="1" a="1"/>
  <c r="AK770" i="1" s="1"/>
  <c r="AK771" i="1" a="1"/>
  <c r="AK771" i="1" s="1"/>
  <c r="AK772" i="1" a="1"/>
  <c r="AK772" i="1" s="1"/>
  <c r="AK773" i="1" a="1"/>
  <c r="AK773" i="1" s="1"/>
  <c r="AK774" i="1" a="1"/>
  <c r="AK774" i="1" s="1"/>
  <c r="AK775" i="1" a="1"/>
  <c r="AK775" i="1" s="1"/>
  <c r="AK776" i="1" a="1"/>
  <c r="AK776" i="1" s="1"/>
  <c r="AK777" i="1" a="1"/>
  <c r="AK777" i="1" s="1"/>
  <c r="AK778" i="1" a="1"/>
  <c r="AK778" i="1" s="1"/>
  <c r="AK779" i="1" a="1"/>
  <c r="AK779" i="1" s="1"/>
  <c r="AK780" i="1" a="1"/>
  <c r="AK780" i="1" s="1"/>
  <c r="AK781" i="1" a="1"/>
  <c r="AK781" i="1" s="1"/>
  <c r="AK782" i="1" a="1"/>
  <c r="AK782" i="1" s="1"/>
  <c r="AK783" i="1" a="1"/>
  <c r="AK783" i="1" s="1"/>
  <c r="AK784" i="1" a="1"/>
  <c r="AK784" i="1" s="1"/>
  <c r="AK785" i="1" a="1"/>
  <c r="AK785" i="1" s="1"/>
  <c r="AK786" i="1" a="1"/>
  <c r="AK786" i="1" s="1"/>
  <c r="AK787" i="1" a="1"/>
  <c r="AK787" i="1" s="1"/>
  <c r="AK788" i="1" a="1"/>
  <c r="AK788" i="1" s="1"/>
  <c r="AK789" i="1" a="1"/>
  <c r="AK789" i="1" s="1"/>
  <c r="AK790" i="1" a="1"/>
  <c r="AK790" i="1" s="1"/>
  <c r="AK791" i="1" a="1"/>
  <c r="AK791" i="1" s="1"/>
  <c r="AK792" i="1" a="1"/>
  <c r="AK792" i="1" s="1"/>
  <c r="AK793" i="1" a="1"/>
  <c r="AK793" i="1" s="1"/>
  <c r="AK794" i="1" a="1"/>
  <c r="AK794" i="1" s="1"/>
  <c r="AK795" i="1" a="1"/>
  <c r="AK795" i="1" s="1"/>
  <c r="AK796" i="1" a="1"/>
  <c r="AK796" i="1" s="1"/>
  <c r="AK797" i="1" a="1"/>
  <c r="AK797" i="1" s="1"/>
  <c r="AK798" i="1" a="1"/>
  <c r="AK798" i="1"/>
  <c r="AK799" i="1" a="1"/>
  <c r="AK799" i="1" s="1"/>
  <c r="AK800" i="1" a="1"/>
  <c r="AK800" i="1" s="1"/>
  <c r="AK801" i="1" a="1"/>
  <c r="AK801" i="1" s="1"/>
  <c r="AK802" i="1" a="1"/>
  <c r="AK802" i="1" s="1"/>
  <c r="AK803" i="1" a="1"/>
  <c r="AK803" i="1" s="1"/>
  <c r="AK804" i="1" a="1"/>
  <c r="AK804" i="1" s="1"/>
  <c r="AK805" i="1" a="1"/>
  <c r="AK805" i="1" s="1"/>
  <c r="AK806" i="1" a="1"/>
  <c r="AK806" i="1" s="1"/>
  <c r="AK807" i="1" a="1"/>
  <c r="AK807" i="1" s="1"/>
  <c r="AK808" i="1" a="1"/>
  <c r="AK808" i="1" s="1"/>
  <c r="AK809" i="1" a="1"/>
  <c r="AK809" i="1"/>
  <c r="AK810" i="1" a="1"/>
  <c r="AK810" i="1" s="1"/>
  <c r="AK811" i="1" a="1"/>
  <c r="AK811" i="1" s="1"/>
  <c r="AK812" i="1" a="1"/>
  <c r="AK812" i="1" s="1"/>
  <c r="AK813" i="1" a="1"/>
  <c r="AK813" i="1" s="1"/>
  <c r="AK814" i="1" a="1"/>
  <c r="AK814" i="1" s="1"/>
  <c r="AK815" i="1" a="1"/>
  <c r="AK815" i="1" s="1"/>
  <c r="AK816" i="1" a="1"/>
  <c r="AK816" i="1" s="1"/>
  <c r="AK817" i="1" a="1"/>
  <c r="AK817" i="1" s="1"/>
  <c r="AK818" i="1" a="1"/>
  <c r="AK818" i="1" s="1"/>
  <c r="AK819" i="1" a="1"/>
  <c r="AK819" i="1" s="1"/>
  <c r="AK820" i="1" a="1"/>
  <c r="AK820" i="1"/>
  <c r="AK821" i="1" a="1"/>
  <c r="AK821" i="1" s="1"/>
  <c r="AK822" i="1" a="1"/>
  <c r="AK822" i="1" s="1"/>
  <c r="AK823" i="1" a="1"/>
  <c r="AK823" i="1" s="1"/>
  <c r="AK824" i="1" a="1"/>
  <c r="AK824" i="1" s="1"/>
  <c r="AK825" i="1" a="1"/>
  <c r="AK825" i="1" s="1"/>
  <c r="AK826" i="1" a="1"/>
  <c r="AK826" i="1" s="1"/>
  <c r="AK827" i="1" a="1"/>
  <c r="AK827" i="1" s="1"/>
  <c r="AK828" i="1" a="1"/>
  <c r="AK828" i="1" s="1"/>
  <c r="AK829" i="1" a="1"/>
  <c r="AK829" i="1" s="1"/>
  <c r="AK830" i="1" a="1"/>
  <c r="AK830" i="1" s="1"/>
  <c r="AK831" i="1" a="1"/>
  <c r="AK831" i="1" s="1"/>
  <c r="AK832" i="1" a="1"/>
  <c r="AK832" i="1" s="1"/>
  <c r="AK833" i="1" a="1"/>
  <c r="AK833" i="1" s="1"/>
  <c r="AK834" i="1" a="1"/>
  <c r="AK834" i="1" s="1"/>
  <c r="AK835" i="1" a="1"/>
  <c r="AK835" i="1" s="1"/>
  <c r="AK836" i="1" a="1"/>
  <c r="AK836" i="1" s="1"/>
  <c r="AK837" i="1" a="1"/>
  <c r="AK837" i="1" s="1"/>
  <c r="AK838" i="1" a="1"/>
  <c r="AK838" i="1" s="1"/>
  <c r="AK839" i="1" a="1"/>
  <c r="AK839" i="1" s="1"/>
  <c r="AK840" i="1" a="1"/>
  <c r="AK840" i="1" s="1"/>
  <c r="AK841" i="1" a="1"/>
  <c r="AK841" i="1" s="1"/>
  <c r="AK842" i="1" a="1"/>
  <c r="AK842" i="1" s="1"/>
  <c r="AK843" i="1" a="1"/>
  <c r="AK843" i="1" s="1"/>
  <c r="AK844" i="1" a="1"/>
  <c r="AK844" i="1" s="1"/>
  <c r="AK845" i="1" a="1"/>
  <c r="AK845" i="1" s="1"/>
  <c r="AK846" i="1" a="1"/>
  <c r="AK846" i="1" s="1"/>
  <c r="AK847" i="1" a="1"/>
  <c r="AK847" i="1" s="1"/>
  <c r="AK848" i="1" a="1"/>
  <c r="AK848" i="1" s="1"/>
  <c r="AK849" i="1" a="1"/>
  <c r="AK849" i="1" s="1"/>
  <c r="AK850" i="1" a="1"/>
  <c r="AK850" i="1" s="1"/>
  <c r="AK851" i="1" a="1"/>
  <c r="AK851" i="1" s="1"/>
  <c r="AK852" i="1" a="1"/>
  <c r="AK852" i="1" s="1"/>
  <c r="AK853" i="1" a="1"/>
  <c r="AK853" i="1" s="1"/>
  <c r="AK854" i="1" a="1"/>
  <c r="AK854" i="1" s="1"/>
  <c r="AK855" i="1" a="1"/>
  <c r="AK855" i="1" s="1"/>
  <c r="AK856" i="1" a="1"/>
  <c r="AK856" i="1" s="1"/>
  <c r="AK857" i="1" a="1"/>
  <c r="AK857" i="1" s="1"/>
  <c r="AK858" i="1" a="1"/>
  <c r="AK858" i="1" s="1"/>
  <c r="AK859" i="1" a="1"/>
  <c r="AK859" i="1" s="1"/>
  <c r="AK860" i="1" a="1"/>
  <c r="AK860" i="1" s="1"/>
  <c r="AK861" i="1" a="1"/>
  <c r="AK861" i="1" s="1"/>
  <c r="AK862" i="1" a="1"/>
  <c r="AK862" i="1" s="1"/>
  <c r="AK863" i="1" a="1"/>
  <c r="AK863" i="1" s="1"/>
  <c r="AK864" i="1" a="1"/>
  <c r="AK864" i="1" s="1"/>
  <c r="AK865" i="1" a="1"/>
  <c r="AK865" i="1" s="1"/>
  <c r="AK866" i="1" a="1"/>
  <c r="AK866" i="1" s="1"/>
  <c r="AK867" i="1" a="1"/>
  <c r="AK867" i="1" s="1"/>
  <c r="AK868" i="1" a="1"/>
  <c r="AK868" i="1" s="1"/>
  <c r="AK869" i="1" a="1"/>
  <c r="AK869" i="1" s="1"/>
  <c r="AK870" i="1" a="1"/>
  <c r="AK870" i="1" s="1"/>
  <c r="AK871" i="1" a="1"/>
  <c r="AK871" i="1" s="1"/>
  <c r="AK872" i="1" a="1"/>
  <c r="AK872" i="1" s="1"/>
  <c r="AK873" i="1" a="1"/>
  <c r="AK873" i="1" s="1"/>
  <c r="AK874" i="1" a="1"/>
  <c r="AK874" i="1" s="1"/>
  <c r="AK875" i="1" a="1"/>
  <c r="AK875" i="1" s="1"/>
  <c r="AK876" i="1" a="1"/>
  <c r="AK876" i="1" s="1"/>
  <c r="AK877" i="1" a="1"/>
  <c r="AK877" i="1" s="1"/>
  <c r="AK878" i="1" a="1"/>
  <c r="AK878" i="1" s="1"/>
  <c r="AK879" i="1" a="1"/>
  <c r="AK879" i="1" s="1"/>
  <c r="AK880" i="1" a="1"/>
  <c r="AK880" i="1" s="1"/>
  <c r="AK881" i="1" a="1"/>
  <c r="AK881" i="1" s="1"/>
  <c r="AK882" i="1" a="1"/>
  <c r="AK882" i="1" s="1"/>
  <c r="AK883" i="1" a="1"/>
  <c r="AK883" i="1" s="1"/>
  <c r="AK884" i="1" a="1"/>
  <c r="AK884" i="1" s="1"/>
  <c r="AK885" i="1" a="1"/>
  <c r="AK885" i="1" s="1"/>
  <c r="AK886" i="1" a="1"/>
  <c r="AK886" i="1" s="1"/>
  <c r="AK887" i="1" a="1"/>
  <c r="AK887" i="1" s="1"/>
  <c r="AK888" i="1" a="1"/>
  <c r="AK888" i="1" s="1"/>
  <c r="AK889" i="1" a="1"/>
  <c r="AK889" i="1" s="1"/>
  <c r="AK890" i="1" a="1"/>
  <c r="AK890" i="1" s="1"/>
  <c r="AK891" i="1" a="1"/>
  <c r="AK891" i="1" s="1"/>
  <c r="AK892" i="1" a="1"/>
  <c r="AK892" i="1" s="1"/>
  <c r="AK893" i="1" a="1"/>
  <c r="AK893" i="1" s="1"/>
  <c r="AK894" i="1" a="1"/>
  <c r="AK894" i="1" s="1"/>
  <c r="AK895" i="1" a="1"/>
  <c r="AK895" i="1" s="1"/>
  <c r="AK896" i="1" a="1"/>
  <c r="AK896" i="1" s="1"/>
  <c r="AK897" i="1" a="1"/>
  <c r="AK897" i="1" s="1"/>
  <c r="AK898" i="1" a="1"/>
  <c r="AK898" i="1" s="1"/>
  <c r="AK899" i="1" a="1"/>
  <c r="AK899" i="1" s="1"/>
  <c r="AK900" i="1" a="1"/>
  <c r="AK900" i="1" s="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s="1"/>
  <c r="AK914" i="1" a="1"/>
  <c r="AK914" i="1" s="1"/>
  <c r="AK915" i="1" a="1"/>
  <c r="AK915" i="1" s="1"/>
  <c r="AK916" i="1" a="1"/>
  <c r="AK916" i="1" s="1"/>
  <c r="AK917" i="1" a="1"/>
  <c r="AK917" i="1" s="1"/>
  <c r="AK918" i="1" a="1"/>
  <c r="AK918" i="1" s="1"/>
  <c r="AK919" i="1" a="1"/>
  <c r="AK919" i="1" s="1"/>
  <c r="AK920" i="1" a="1"/>
  <c r="AK920" i="1" s="1"/>
  <c r="AK921" i="1" a="1"/>
  <c r="AK921" i="1" s="1"/>
  <c r="AK922" i="1" a="1"/>
  <c r="AK922" i="1" s="1"/>
  <c r="AK923" i="1" a="1"/>
  <c r="AK923" i="1" s="1"/>
  <c r="AK924" i="1" a="1"/>
  <c r="AK924" i="1" s="1"/>
  <c r="AK925" i="1" a="1"/>
  <c r="AK925" i="1" s="1"/>
  <c r="AK926" i="1" a="1"/>
  <c r="AK926" i="1" s="1"/>
  <c r="AK927" i="1" a="1"/>
  <c r="AK927" i="1" s="1"/>
  <c r="AK928" i="1" a="1"/>
  <c r="AK928" i="1" s="1"/>
  <c r="AK929" i="1" a="1"/>
  <c r="AK929" i="1" s="1"/>
  <c r="AK930" i="1" a="1"/>
  <c r="AK930" i="1" s="1"/>
  <c r="AK931" i="1" a="1"/>
  <c r="AK931" i="1" s="1"/>
  <c r="AK932" i="1" a="1"/>
  <c r="AK932" i="1" s="1"/>
  <c r="AK933" i="1" a="1"/>
  <c r="AK933" i="1" s="1"/>
  <c r="AK934" i="1" a="1"/>
  <c r="AK934" i="1" s="1"/>
  <c r="AK935" i="1" a="1"/>
  <c r="AK935" i="1" s="1"/>
  <c r="AK936" i="1" a="1"/>
  <c r="AK936" i="1" s="1"/>
  <c r="AK937" i="1" a="1"/>
  <c r="AK937" i="1" s="1"/>
  <c r="AK938" i="1" a="1"/>
  <c r="AK938" i="1" s="1"/>
  <c r="AK939" i="1" a="1"/>
  <c r="AK939" i="1" s="1"/>
  <c r="AK940" i="1" a="1"/>
  <c r="AK940" i="1" s="1"/>
  <c r="AK941" i="1" a="1"/>
  <c r="AK941" i="1" s="1"/>
  <c r="AK942" i="1" a="1"/>
  <c r="AK942" i="1" s="1"/>
  <c r="AK943" i="1" a="1"/>
  <c r="AK943" i="1" s="1"/>
  <c r="AK944" i="1" a="1"/>
  <c r="AK944" i="1" s="1"/>
  <c r="AK945" i="1" a="1"/>
  <c r="AK945" i="1" s="1"/>
  <c r="AK946" i="1" a="1"/>
  <c r="AK946" i="1" s="1"/>
  <c r="AK947" i="1" a="1"/>
  <c r="AK947" i="1" s="1"/>
  <c r="AK948" i="1" a="1"/>
  <c r="AK948" i="1" s="1"/>
  <c r="AK949" i="1" a="1"/>
  <c r="AK949" i="1" s="1"/>
  <c r="AK950" i="1" a="1"/>
  <c r="AK950" i="1" s="1"/>
  <c r="AK951" i="1" a="1"/>
  <c r="AK951" i="1" s="1"/>
  <c r="AK952" i="1" a="1"/>
  <c r="AK952" i="1" s="1"/>
  <c r="AK953" i="1" a="1"/>
  <c r="AK953" i="1" s="1"/>
  <c r="AK954" i="1" a="1"/>
  <c r="AK954" i="1" s="1"/>
  <c r="AK955" i="1" a="1"/>
  <c r="AK955" i="1" s="1"/>
  <c r="AK956" i="1" a="1"/>
  <c r="AK956" i="1" s="1"/>
  <c r="AK957" i="1" a="1"/>
  <c r="AK957" i="1" s="1"/>
  <c r="AK958" i="1" a="1"/>
  <c r="AK958" i="1" s="1"/>
  <c r="AK959" i="1" a="1"/>
  <c r="AK959" i="1" s="1"/>
  <c r="AK960" i="1" a="1"/>
  <c r="AK960" i="1" s="1"/>
  <c r="AK961" i="1" a="1"/>
  <c r="AK961" i="1" s="1"/>
  <c r="AK962" i="1" a="1"/>
  <c r="AK962" i="1" s="1"/>
  <c r="AK963" i="1" a="1"/>
  <c r="AK963" i="1" s="1"/>
  <c r="AK964" i="1" a="1"/>
  <c r="AK964" i="1" s="1"/>
  <c r="AK965" i="1" a="1"/>
  <c r="AK965" i="1" s="1"/>
  <c r="AK966" i="1" a="1"/>
  <c r="AK966" i="1" s="1"/>
  <c r="AK967" i="1" a="1"/>
  <c r="AK967" i="1" s="1"/>
  <c r="AK968" i="1" a="1"/>
  <c r="AK968" i="1" s="1"/>
  <c r="AK969" i="1" a="1"/>
  <c r="AK969" i="1" s="1"/>
  <c r="AK970" i="1" a="1"/>
  <c r="AK970" i="1" s="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s="1"/>
  <c r="AK983" i="1" a="1"/>
  <c r="AK983" i="1" s="1"/>
  <c r="AK984" i="1" a="1"/>
  <c r="AK984" i="1" s="1"/>
  <c r="AK985" i="1" a="1"/>
  <c r="AK985" i="1" s="1"/>
  <c r="AK986" i="1" a="1"/>
  <c r="AK986" i="1" s="1"/>
  <c r="AK987" i="1" a="1"/>
  <c r="AK987" i="1" s="1"/>
  <c r="AK988" i="1" a="1"/>
  <c r="AK988" i="1" s="1"/>
  <c r="AK989" i="1" a="1"/>
  <c r="AK989" i="1" s="1"/>
  <c r="AK990" i="1" a="1"/>
  <c r="AK990" i="1" s="1"/>
  <c r="AK991" i="1" a="1"/>
  <c r="AK991" i="1" s="1"/>
  <c r="AK992" i="1" a="1"/>
  <c r="AK992" i="1" s="1"/>
  <c r="AK993" i="1" a="1"/>
  <c r="AK993" i="1" s="1"/>
  <c r="AK994" i="1" a="1"/>
  <c r="AK994" i="1" s="1"/>
  <c r="AK995" i="1" a="1"/>
  <c r="AK995" i="1" s="1"/>
  <c r="AK996" i="1" a="1"/>
  <c r="AK996" i="1" s="1"/>
  <c r="AK997" i="1" a="1"/>
  <c r="AK997" i="1" s="1"/>
  <c r="AK998" i="1" a="1"/>
  <c r="AK998"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s="1"/>
  <c r="AK1015" i="1" a="1"/>
  <c r="AK1015" i="1" s="1"/>
  <c r="AK1016" i="1" a="1"/>
  <c r="AK1016" i="1" s="1"/>
  <c r="AK1017" i="1" a="1"/>
  <c r="AK1017" i="1" s="1"/>
  <c r="AK1018" i="1" a="1"/>
  <c r="AK1018" i="1" s="1"/>
  <c r="AK1019" i="1" a="1"/>
  <c r="AK1019" i="1" s="1"/>
  <c r="AK1020" i="1" a="1"/>
  <c r="AK1020" i="1" s="1"/>
  <c r="AK1021" i="1" a="1"/>
  <c r="AK1021" i="1" s="1"/>
  <c r="AK1022" i="1" a="1"/>
  <c r="AK1022" i="1" s="1"/>
  <c r="AK1023" i="1" a="1"/>
  <c r="AK1023" i="1" s="1"/>
  <c r="AK1024" i="1" a="1"/>
  <c r="AK1024" i="1" s="1"/>
  <c r="AK1025" i="1" a="1"/>
  <c r="AK1025" i="1" s="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s="1"/>
  <c r="AK1035" i="1" a="1"/>
  <c r="AK1035" i="1" s="1"/>
  <c r="AK1036" i="1" a="1"/>
  <c r="AK1036" i="1" s="1"/>
  <c r="AK1037" i="1" a="1"/>
  <c r="AK1037" i="1" s="1"/>
  <c r="AK1038" i="1" a="1"/>
  <c r="AK1038" i="1" s="1"/>
  <c r="AK1039" i="1" a="1"/>
  <c r="AK1039" i="1" s="1"/>
  <c r="AK1040" i="1" a="1"/>
  <c r="AK1040" i="1" s="1"/>
  <c r="AK1041" i="1" a="1"/>
  <c r="AK1041" i="1" s="1"/>
  <c r="AK1042" i="1" a="1"/>
  <c r="AK1042" i="1" s="1"/>
  <c r="AK1043" i="1" a="1"/>
  <c r="AK1043" i="1" s="1"/>
  <c r="AK1044" i="1" a="1"/>
  <c r="AK1044" i="1" s="1"/>
  <c r="AK1045" i="1" a="1"/>
  <c r="AK1045" i="1" s="1"/>
  <c r="AK1046" i="1" a="1"/>
  <c r="AK1046" i="1" s="1"/>
  <c r="AK1047" i="1" a="1"/>
  <c r="AK1047" i="1" s="1"/>
  <c r="AK1048" i="1" a="1"/>
  <c r="AK1048" i="1" s="1"/>
  <c r="AK1049" i="1" a="1"/>
  <c r="AK1049" i="1" s="1"/>
  <c r="AK1050" i="1" a="1"/>
  <c r="AK1050" i="1" s="1"/>
  <c r="AK1051" i="1" a="1"/>
  <c r="AK1051" i="1" s="1"/>
  <c r="AK1052" i="1" a="1"/>
  <c r="AK1052" i="1" s="1"/>
  <c r="AK1053" i="1" a="1"/>
  <c r="AK1053" i="1" s="1"/>
  <c r="AK1054" i="1" a="1"/>
  <c r="AK1054" i="1" s="1"/>
  <c r="AK1055" i="1" a="1"/>
  <c r="AK1055" i="1" s="1"/>
  <c r="AK1056" i="1" a="1"/>
  <c r="AK1056" i="1" s="1"/>
  <c r="AK1057" i="1" a="1"/>
  <c r="AK1057" i="1" s="1"/>
  <c r="AK1058" i="1" a="1"/>
  <c r="AK1058" i="1" s="1"/>
  <c r="AK1059" i="1" a="1"/>
  <c r="AK1059" i="1" s="1"/>
  <c r="AK1060" i="1" a="1"/>
  <c r="AK1060" i="1" s="1"/>
  <c r="AK1061" i="1" a="1"/>
  <c r="AK1061" i="1" s="1"/>
  <c r="AK1062" i="1" a="1"/>
  <c r="AK1062" i="1" s="1"/>
  <c r="AK1063" i="1" a="1"/>
  <c r="AK1063" i="1" s="1"/>
  <c r="AK1064" i="1" a="1"/>
  <c r="AK1064" i="1" s="1"/>
  <c r="AK1065" i="1" a="1"/>
  <c r="AK1065" i="1" s="1"/>
  <c r="AK1066" i="1" a="1"/>
  <c r="AK1066" i="1" s="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s="1"/>
  <c r="AK1087" i="1" a="1"/>
  <c r="AK1087" i="1" s="1"/>
  <c r="AK1088" i="1" a="1"/>
  <c r="AK1088" i="1" s="1"/>
  <c r="AK1089" i="1" a="1"/>
  <c r="AK1089" i="1" s="1"/>
  <c r="AK1090" i="1" a="1"/>
  <c r="AK1090" i="1" s="1"/>
  <c r="AK1091" i="1" a="1"/>
  <c r="AK1091" i="1" s="1"/>
  <c r="AK1092" i="1" a="1"/>
  <c r="AK1092" i="1" s="1"/>
  <c r="AK1093" i="1" a="1"/>
  <c r="AK1093" i="1" s="1"/>
  <c r="AK1094" i="1" a="1"/>
  <c r="AK1094" i="1" s="1"/>
  <c r="AK1095" i="1" a="1"/>
  <c r="AK1095" i="1" s="1"/>
  <c r="AK1096" i="1" a="1"/>
  <c r="AK1096" i="1" s="1"/>
  <c r="AK1097" i="1" a="1"/>
  <c r="AK1097" i="1" s="1"/>
  <c r="AK1098" i="1" a="1"/>
  <c r="AK1098" i="1" s="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s="1"/>
  <c r="AK1109" i="1" a="1"/>
  <c r="AK1109" i="1" s="1"/>
  <c r="AK1110" i="1" a="1"/>
  <c r="AK1110" i="1" s="1"/>
  <c r="AK1111" i="1" a="1"/>
  <c r="AK1111" i="1" s="1"/>
  <c r="AK1112" i="1" a="1"/>
  <c r="AK1112" i="1" s="1"/>
  <c r="AK1113" i="1" a="1"/>
  <c r="AK1113" i="1" s="1"/>
  <c r="AK1114" i="1" a="1"/>
  <c r="AK1114" i="1" s="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134" i="1" a="1"/>
  <c r="AK1134" i="1" s="1"/>
  <c r="AK1135" i="1" a="1"/>
  <c r="AK1135" i="1" s="1"/>
  <c r="AK1136" i="1" a="1"/>
  <c r="AK1136" i="1" s="1"/>
  <c r="AK1137" i="1" a="1"/>
  <c r="AK1137" i="1" s="1"/>
  <c r="AK1138" i="1" a="1"/>
  <c r="AK1138" i="1" s="1"/>
  <c r="AK1139" i="1" a="1"/>
  <c r="AK1139" i="1" s="1"/>
  <c r="AK1140" i="1" a="1"/>
  <c r="AK1140" i="1" s="1"/>
  <c r="AK1141" i="1" a="1"/>
  <c r="AK1141" i="1" s="1"/>
  <c r="AK1142" i="1" a="1"/>
  <c r="AK1142" i="1" s="1"/>
  <c r="AK1143" i="1" a="1"/>
  <c r="AK1143" i="1" s="1"/>
  <c r="AK1144" i="1" a="1"/>
  <c r="AK1144" i="1" s="1"/>
  <c r="AK1145" i="1" a="1"/>
  <c r="AK1145" i="1" s="1"/>
  <c r="AK1146" i="1" a="1"/>
  <c r="AK1146" i="1" s="1"/>
  <c r="AK1147" i="1" a="1"/>
  <c r="AK1147" i="1" s="1"/>
  <c r="AK1148" i="1" a="1"/>
  <c r="AK1148" i="1" s="1"/>
  <c r="AK1149" i="1" a="1"/>
  <c r="AK1149" i="1" s="1"/>
  <c r="AK1150" i="1" a="1"/>
  <c r="AK1150" i="1" s="1"/>
  <c r="AK1151" i="1" a="1"/>
  <c r="AK1151" i="1" s="1"/>
  <c r="AK1152" i="1" a="1"/>
  <c r="AK1152" i="1" s="1"/>
  <c r="AK1153" i="1" a="1"/>
  <c r="AK1153" i="1" s="1"/>
  <c r="AK1154" i="1" a="1"/>
  <c r="AK1154" i="1" s="1"/>
  <c r="AK1155" i="1" a="1"/>
  <c r="AK1155" i="1" s="1"/>
  <c r="AK1156" i="1" a="1"/>
  <c r="AK1156" i="1" s="1"/>
  <c r="AK1157" i="1" a="1"/>
  <c r="AK1157" i="1" s="1"/>
  <c r="AK1158" i="1" a="1"/>
  <c r="AK1158" i="1" s="1"/>
  <c r="AK1159" i="1" a="1"/>
  <c r="AK1159" i="1" s="1"/>
  <c r="AK1160" i="1" a="1"/>
  <c r="AK1160" i="1"/>
  <c r="AK1161" i="1" a="1"/>
  <c r="AK1161" i="1" s="1"/>
  <c r="AK1162" i="1" a="1"/>
  <c r="AK1162" i="1" s="1"/>
  <c r="AK1163" i="1" a="1"/>
  <c r="AK1163" i="1" s="1"/>
  <c r="AK1164" i="1" a="1"/>
  <c r="AK1164" i="1" s="1"/>
  <c r="AK1165" i="1" a="1"/>
  <c r="AK1165" i="1" s="1"/>
  <c r="AK1166" i="1" a="1"/>
  <c r="AK1166" i="1" s="1"/>
  <c r="AK1167" i="1" a="1"/>
  <c r="AK1167" i="1" s="1"/>
  <c r="AK1168" i="1" a="1"/>
  <c r="AK1168"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1181" i="1" a="1"/>
  <c r="AK1181" i="1" s="1"/>
  <c r="AK1182" i="1" a="1"/>
  <c r="AK1182" i="1" s="1"/>
  <c r="AK1183" i="1" a="1"/>
  <c r="AK1183" i="1" s="1"/>
  <c r="AK1184" i="1" a="1"/>
  <c r="AK1184" i="1" s="1"/>
  <c r="AK1185" i="1" a="1"/>
  <c r="AK1185" i="1" s="1"/>
  <c r="AK1186" i="1" a="1"/>
  <c r="AK1186" i="1" s="1"/>
  <c r="AK1187" i="1" a="1"/>
  <c r="AK1187" i="1" s="1"/>
  <c r="AK1188" i="1" a="1"/>
  <c r="AK1188" i="1" s="1"/>
  <c r="AK1189" i="1" a="1"/>
  <c r="AK1189" i="1" s="1"/>
  <c r="AK1190" i="1" a="1"/>
  <c r="AK1190" i="1" s="1"/>
  <c r="AK1191" i="1" a="1"/>
  <c r="AK1191" i="1" s="1"/>
  <c r="AK1192" i="1" a="1"/>
  <c r="AK1192" i="1" s="1"/>
  <c r="AK1193" i="1" a="1"/>
  <c r="AK1193" i="1" s="1"/>
  <c r="AK1194" i="1" a="1"/>
  <c r="AK1194" i="1" s="1"/>
  <c r="AK1195" i="1" a="1"/>
  <c r="AK1195" i="1" s="1"/>
  <c r="AK1196" i="1" a="1"/>
  <c r="AK1196" i="1" s="1"/>
  <c r="AK1197" i="1" a="1"/>
  <c r="AK1197" i="1" s="1"/>
  <c r="AK1198" i="1" a="1"/>
  <c r="AK1198" i="1" s="1"/>
  <c r="AK1199" i="1" a="1"/>
  <c r="AK1199" i="1" s="1"/>
  <c r="AK1200" i="1" a="1"/>
  <c r="AK1200" i="1" s="1"/>
  <c r="AK1201" i="1" a="1"/>
  <c r="AK1201" i="1" s="1"/>
  <c r="AK1202" i="1" a="1"/>
  <c r="AK1202" i="1" s="1"/>
  <c r="AK1203" i="1" a="1"/>
  <c r="AK1203" i="1" s="1"/>
  <c r="AK1204" i="1" a="1"/>
  <c r="AK1204" i="1" s="1"/>
  <c r="AK1205" i="1" a="1"/>
  <c r="AK1205" i="1" s="1"/>
  <c r="AK1206" i="1" a="1"/>
  <c r="AK1206" i="1" s="1"/>
  <c r="AK1207" i="1" a="1"/>
  <c r="AK1207" i="1" s="1"/>
  <c r="AK1208" i="1" a="1"/>
  <c r="AK1208" i="1" s="1"/>
  <c r="AK1209" i="1" a="1"/>
  <c r="AK1209" i="1" s="1"/>
  <c r="AK1210" i="1" a="1"/>
  <c r="AK1210" i="1" s="1"/>
  <c r="AK1211" i="1" a="1"/>
  <c r="AK1211" i="1" s="1"/>
  <c r="AK1212" i="1" a="1"/>
  <c r="AK1212" i="1" s="1"/>
  <c r="AK1213" i="1" a="1"/>
  <c r="AK1213" i="1" s="1"/>
  <c r="AK1214" i="1" a="1"/>
  <c r="AK1214" i="1" s="1"/>
  <c r="AK1215" i="1" a="1"/>
  <c r="AK1215" i="1" s="1"/>
  <c r="AK1216" i="1" a="1"/>
  <c r="AK1216" i="1" s="1"/>
  <c r="AK1217" i="1" a="1"/>
  <c r="AK1217" i="1" s="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s="1"/>
  <c r="AK1231" i="1" a="1"/>
  <c r="AK1231" i="1" s="1"/>
  <c r="AK1232" i="1" a="1"/>
  <c r="AK1232" i="1" s="1"/>
  <c r="AK1233" i="1" a="1"/>
  <c r="AK1233" i="1" s="1"/>
  <c r="AK1234" i="1" a="1"/>
  <c r="AK1234" i="1" s="1"/>
  <c r="AK1235" i="1" a="1"/>
  <c r="AK1235" i="1" s="1"/>
  <c r="AK1236" i="1" a="1"/>
  <c r="AK1236" i="1" s="1"/>
  <c r="AK1237" i="1" a="1"/>
  <c r="AK1237" i="1" s="1"/>
  <c r="AK1238" i="1" a="1"/>
  <c r="AK1238" i="1" s="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s="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s="1"/>
  <c r="AK1275" i="1" a="1"/>
  <c r="AK1275" i="1" s="1"/>
  <c r="AK1276" i="1" a="1"/>
  <c r="AK1276" i="1" s="1"/>
  <c r="AK1277" i="1" a="1"/>
  <c r="AK1277" i="1" s="1"/>
  <c r="AK1278" i="1" a="1"/>
  <c r="AK1278" i="1" s="1"/>
  <c r="AK1279" i="1" a="1"/>
  <c r="AK1279" i="1" s="1"/>
  <c r="AK1280" i="1" a="1"/>
  <c r="AK1280" i="1" s="1"/>
  <c r="AK1281" i="1" a="1"/>
  <c r="AK1281" i="1" s="1"/>
  <c r="AK1282" i="1" a="1"/>
  <c r="AK1282" i="1" s="1"/>
  <c r="AK1283" i="1" a="1"/>
  <c r="AK1283" i="1" s="1"/>
  <c r="AK1284" i="1" a="1"/>
  <c r="AK1284" i="1" s="1"/>
  <c r="AK1285" i="1" a="1"/>
  <c r="AK1285" i="1" s="1"/>
  <c r="AK1286" i="1" a="1"/>
  <c r="AK1286" i="1" s="1"/>
  <c r="AK1287" i="1" a="1"/>
  <c r="AK1287" i="1" s="1"/>
  <c r="AK1288" i="1" a="1"/>
  <c r="AK1288" i="1" s="1"/>
  <c r="AK1289" i="1" a="1"/>
  <c r="AK1289" i="1" s="1"/>
  <c r="AK1290" i="1" a="1"/>
  <c r="AK1290" i="1" s="1"/>
  <c r="AK1291" i="1" a="1"/>
  <c r="AK1291" i="1" s="1"/>
  <c r="AK1292" i="1" a="1"/>
  <c r="AK1292" i="1" s="1"/>
  <c r="AK1293" i="1" a="1"/>
  <c r="AK1293" i="1" s="1"/>
  <c r="AK1294" i="1" a="1"/>
  <c r="AK1294" i="1" s="1"/>
  <c r="AK1295" i="1" a="1"/>
  <c r="AK1295" i="1" s="1"/>
  <c r="AK1296" i="1" a="1"/>
  <c r="AK1296" i="1" s="1"/>
  <c r="AK1297" i="1" a="1"/>
  <c r="AK1297" i="1" s="1"/>
  <c r="AK1298" i="1" a="1"/>
  <c r="AK1298" i="1" s="1"/>
  <c r="AK1299" i="1" a="1"/>
  <c r="AK1299" i="1" s="1"/>
  <c r="AK1300" i="1" a="1"/>
  <c r="AK1300" i="1" s="1"/>
  <c r="AK1301" i="1" a="1"/>
  <c r="AK1301" i="1" s="1"/>
  <c r="AK1302" i="1" a="1"/>
  <c r="AK1302" i="1" s="1"/>
  <c r="AK1303" i="1" a="1"/>
  <c r="AK1303" i="1" s="1"/>
  <c r="AK1304" i="1" a="1"/>
  <c r="AK1304" i="1" s="1"/>
  <c r="AK1305" i="1" a="1"/>
  <c r="AK1305" i="1" s="1"/>
  <c r="AK1306" i="1" a="1"/>
  <c r="AK1306" i="1" s="1"/>
  <c r="AK1307" i="1" a="1"/>
  <c r="AK1307" i="1" s="1"/>
  <c r="AK1308" i="1" a="1"/>
  <c r="AK1308" i="1" s="1"/>
  <c r="AK1309" i="1" a="1"/>
  <c r="AK1309" i="1" s="1"/>
  <c r="AK1310" i="1" a="1"/>
  <c r="AK1310" i="1" s="1"/>
  <c r="AK1311" i="1" a="1"/>
  <c r="AK1311" i="1" s="1"/>
  <c r="AK1312" i="1" a="1"/>
  <c r="AK1312" i="1" s="1"/>
  <c r="AK1313" i="1" a="1"/>
  <c r="AK1313" i="1" s="1"/>
  <c r="AK1314" i="1" a="1"/>
  <c r="AK1314" i="1" s="1"/>
  <c r="AK1315" i="1" a="1"/>
  <c r="AK1315" i="1" s="1"/>
  <c r="AK1316" i="1" a="1"/>
  <c r="AK1316" i="1" s="1"/>
  <c r="AK1317" i="1" a="1"/>
  <c r="AK1317" i="1" s="1"/>
  <c r="AK1318" i="1" a="1"/>
  <c r="AK1318" i="1" s="1"/>
  <c r="AK1319" i="1" a="1"/>
  <c r="AK1319" i="1" s="1"/>
  <c r="AK1320" i="1" a="1"/>
  <c r="AK1320" i="1"/>
  <c r="AK1321" i="1" a="1"/>
  <c r="AK1321" i="1" s="1"/>
  <c r="AK1322" i="1" a="1"/>
  <c r="AK1322" i="1" s="1"/>
  <c r="AK1323" i="1" a="1"/>
  <c r="AK1323" i="1" s="1"/>
  <c r="AK1324" i="1" a="1"/>
  <c r="AK1324" i="1" s="1"/>
  <c r="AK1325" i="1" a="1"/>
  <c r="AK1325" i="1" s="1"/>
  <c r="AK1326" i="1" a="1"/>
  <c r="AK1326" i="1" s="1"/>
  <c r="AK1327" i="1" a="1"/>
  <c r="AK1327" i="1" s="1"/>
  <c r="AK1328" i="1" a="1"/>
  <c r="AK1328" i="1" s="1"/>
  <c r="AK1329" i="1" a="1"/>
  <c r="AK1329" i="1" s="1"/>
  <c r="AK1330" i="1" a="1"/>
  <c r="AK1330" i="1" s="1"/>
  <c r="AK1331" i="1" a="1"/>
  <c r="AK1331" i="1" s="1"/>
  <c r="AK1332" i="1" a="1"/>
  <c r="AK1332" i="1" s="1"/>
  <c r="AK1333" i="1" a="1"/>
  <c r="AK1333" i="1" s="1"/>
  <c r="AK1334" i="1" a="1"/>
  <c r="AK1334" i="1" s="1"/>
  <c r="AK1335" i="1" a="1"/>
  <c r="AK1335" i="1" s="1"/>
  <c r="AK1336" i="1" a="1"/>
  <c r="AK1336" i="1" s="1"/>
  <c r="AK1337" i="1" a="1"/>
  <c r="AK1337" i="1" s="1"/>
  <c r="AK1338" i="1" a="1"/>
  <c r="AK1338" i="1" s="1"/>
  <c r="AK1339" i="1" a="1"/>
  <c r="AK1339" i="1" s="1"/>
  <c r="AK1340" i="1" a="1"/>
  <c r="AK1340" i="1" s="1"/>
  <c r="AK1341" i="1" a="1"/>
  <c r="AK1341" i="1" s="1"/>
  <c r="AK1342" i="1" a="1"/>
  <c r="AK1342" i="1" s="1"/>
  <c r="AK1343" i="1" a="1"/>
  <c r="AK1343" i="1" s="1"/>
  <c r="AK1344" i="1" a="1"/>
  <c r="AK1344" i="1" s="1"/>
  <c r="AK1345" i="1" a="1"/>
  <c r="AK1345" i="1" s="1"/>
  <c r="AK1346" i="1" a="1"/>
  <c r="AK1346" i="1" s="1"/>
  <c r="AK1347" i="1" a="1"/>
  <c r="AK1347" i="1" s="1"/>
  <c r="AK1348" i="1" a="1"/>
  <c r="AK1348" i="1" s="1"/>
  <c r="AK1349" i="1" a="1"/>
  <c r="AK1349" i="1" s="1"/>
  <c r="AK1350" i="1" a="1"/>
  <c r="AK1350" i="1" s="1"/>
  <c r="AK1351" i="1" a="1"/>
  <c r="AK1351" i="1" s="1"/>
  <c r="AK1352" i="1" a="1"/>
  <c r="AK1352" i="1" s="1"/>
  <c r="AK1353" i="1" a="1"/>
  <c r="AK1353" i="1" s="1"/>
  <c r="AK1354" i="1" a="1"/>
  <c r="AK1354" i="1" s="1"/>
  <c r="AK1355" i="1" a="1"/>
  <c r="AK1355" i="1" s="1"/>
  <c r="AK1356" i="1" a="1"/>
  <c r="AK1356" i="1" s="1"/>
  <c r="AK1357" i="1" a="1"/>
  <c r="AK1357" i="1" s="1"/>
  <c r="AK1358" i="1" a="1"/>
  <c r="AK1358" i="1" s="1"/>
  <c r="AK1359" i="1" a="1"/>
  <c r="AK1359" i="1" s="1"/>
  <c r="AK1360" i="1" a="1"/>
  <c r="AK1360" i="1" s="1"/>
  <c r="AK1361" i="1" a="1"/>
  <c r="AK1361" i="1" s="1"/>
  <c r="AK1362" i="1" a="1"/>
  <c r="AK1362" i="1"/>
  <c r="AK1363" i="1" a="1"/>
  <c r="AK1363" i="1" s="1"/>
  <c r="AK1364" i="1" a="1"/>
  <c r="AK1364" i="1" s="1"/>
  <c r="AK1365" i="1" a="1"/>
  <c r="AK1365" i="1" s="1"/>
  <c r="AK1366" i="1" a="1"/>
  <c r="AK1366" i="1" s="1"/>
  <c r="AK1367" i="1" a="1"/>
  <c r="AK1367" i="1" s="1"/>
  <c r="AK1368" i="1" a="1"/>
  <c r="AK1368" i="1" s="1"/>
  <c r="AK1369" i="1" a="1"/>
  <c r="AK1369" i="1" s="1"/>
  <c r="AK1370" i="1" a="1"/>
  <c r="AK1370" i="1" s="1"/>
  <c r="AK1371" i="1" a="1"/>
  <c r="AK1371" i="1" s="1"/>
  <c r="AK1372" i="1" a="1"/>
  <c r="AK1372" i="1" s="1"/>
  <c r="AK1373" i="1" a="1"/>
  <c r="AK1373" i="1" s="1"/>
  <c r="AK1374" i="1" a="1"/>
  <c r="AK1374" i="1" s="1"/>
  <c r="AK1375" i="1" a="1"/>
  <c r="AK1375" i="1" s="1"/>
  <c r="AK1376" i="1" a="1"/>
  <c r="AK1376" i="1" s="1"/>
  <c r="AK1377" i="1" a="1"/>
  <c r="AK1377" i="1" s="1"/>
  <c r="AK1378" i="1" a="1"/>
  <c r="AK1378" i="1" s="1"/>
  <c r="AK1379" i="1" a="1"/>
  <c r="AK1379" i="1" s="1"/>
  <c r="AK1380" i="1" a="1"/>
  <c r="AK1380" i="1" s="1"/>
  <c r="AK1381" i="1" a="1"/>
  <c r="AK1381" i="1" s="1"/>
  <c r="AK1382" i="1" a="1"/>
  <c r="AK1382" i="1" s="1"/>
  <c r="AK1383" i="1" a="1"/>
  <c r="AK1383" i="1" s="1"/>
  <c r="AK1384" i="1" a="1"/>
  <c r="AK1384" i="1" s="1"/>
  <c r="AK1385" i="1" a="1"/>
  <c r="AK1385" i="1" s="1"/>
  <c r="AK1386" i="1" a="1"/>
  <c r="AK1386" i="1" s="1"/>
  <c r="AK1387" i="1" a="1"/>
  <c r="AK1387" i="1" s="1"/>
  <c r="AK1388" i="1" a="1"/>
  <c r="AK1388" i="1" s="1"/>
  <c r="AK1389" i="1" a="1"/>
  <c r="AK1389" i="1" s="1"/>
  <c r="AK1390" i="1" a="1"/>
  <c r="AK1390" i="1" s="1"/>
  <c r="AK1391" i="1" a="1"/>
  <c r="AK1391" i="1" s="1"/>
  <c r="AK1392" i="1" a="1"/>
  <c r="AK1392" i="1" s="1"/>
  <c r="AK1393" i="1" a="1"/>
  <c r="AK1393" i="1" s="1"/>
  <c r="AK1394" i="1" a="1"/>
  <c r="AK1394" i="1" s="1"/>
  <c r="AK1395" i="1" a="1"/>
  <c r="AK1395" i="1" s="1"/>
  <c r="AK1396" i="1" a="1"/>
  <c r="AK1396" i="1" s="1"/>
  <c r="AK1397" i="1" a="1"/>
  <c r="AK1397" i="1" s="1"/>
  <c r="AK1398" i="1" a="1"/>
  <c r="AK1398" i="1" s="1"/>
  <c r="AK1399" i="1" a="1"/>
  <c r="AK1399" i="1" s="1"/>
  <c r="AK1400" i="1" a="1"/>
  <c r="AK1400" i="1" s="1"/>
  <c r="AK1401" i="1" a="1"/>
  <c r="AK1401" i="1" s="1"/>
  <c r="AK1402" i="1" a="1"/>
  <c r="AK1402" i="1" s="1"/>
  <c r="AK1403" i="1" a="1"/>
  <c r="AK1403" i="1" s="1"/>
  <c r="AK1404" i="1" a="1"/>
  <c r="AK1404" i="1" s="1"/>
  <c r="AK1405" i="1" a="1"/>
  <c r="AK1405" i="1" s="1"/>
  <c r="AK1406" i="1" a="1"/>
  <c r="AK1406" i="1" s="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467" i="1" a="1"/>
  <c r="AK1467" i="1" s="1"/>
  <c r="AK1468" i="1" a="1"/>
  <c r="AK1468" i="1" s="1"/>
  <c r="AK1469" i="1" a="1"/>
  <c r="AK1469" i="1" s="1"/>
  <c r="AK1470" i="1" a="1"/>
  <c r="AK1470" i="1" s="1"/>
  <c r="AK1471" i="1" a="1"/>
  <c r="AK1471" i="1" s="1"/>
  <c r="AJ2" i="1" a="1"/>
  <c r="AJ2" i="1" s="1"/>
  <c r="AJ3" i="1" a="1"/>
  <c r="AJ3"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s="1"/>
  <c r="AJ195" i="1" a="1"/>
  <c r="AJ195" i="1" s="1"/>
  <c r="AJ196" i="1" a="1"/>
  <c r="AJ196" i="1" s="1"/>
  <c r="AJ197" i="1" a="1"/>
  <c r="AJ197" i="1" s="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s="1"/>
  <c r="AJ776" i="1" a="1"/>
  <c r="AJ776" i="1" s="1"/>
  <c r="AJ777" i="1" a="1"/>
  <c r="AJ777" i="1" s="1"/>
  <c r="AJ778" i="1" a="1"/>
  <c r="AJ778" i="1" s="1"/>
  <c r="AJ779" i="1" a="1"/>
  <c r="AJ779" i="1" s="1"/>
  <c r="AJ780" i="1" a="1"/>
  <c r="AJ780" i="1" s="1"/>
  <c r="AJ781" i="1" a="1"/>
  <c r="AJ781" i="1" s="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s="1"/>
  <c r="AJ796" i="1" a="1"/>
  <c r="AJ796" i="1" s="1"/>
  <c r="AJ797" i="1" a="1"/>
  <c r="AJ797" i="1" s="1"/>
  <c r="AJ798" i="1" a="1"/>
  <c r="AJ798" i="1" s="1"/>
  <c r="AJ799" i="1" a="1"/>
  <c r="AJ799" i="1" s="1"/>
  <c r="AJ800" i="1" a="1"/>
  <c r="AJ800" i="1" s="1"/>
  <c r="AJ801" i="1" a="1"/>
  <c r="AJ801" i="1" s="1"/>
  <c r="AJ802" i="1" a="1"/>
  <c r="AJ802" i="1" s="1"/>
  <c r="AJ803" i="1" a="1"/>
  <c r="AJ803" i="1" s="1"/>
  <c r="AJ804" i="1" a="1"/>
  <c r="AJ804" i="1" s="1"/>
  <c r="AJ805" i="1" a="1"/>
  <c r="AJ805" i="1" s="1"/>
  <c r="AJ806" i="1" a="1"/>
  <c r="AJ806" i="1" s="1"/>
  <c r="AJ807" i="1" a="1"/>
  <c r="AJ807" i="1" s="1"/>
  <c r="AJ808" i="1" a="1"/>
  <c r="AJ808" i="1" s="1"/>
  <c r="AJ809" i="1" a="1"/>
  <c r="AJ809" i="1" s="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c r="AJ873" i="1" a="1"/>
  <c r="AJ873" i="1" s="1"/>
  <c r="AJ874" i="1" a="1"/>
  <c r="AJ874" i="1" s="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s="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s="1"/>
  <c r="AJ963" i="1" a="1"/>
  <c r="AJ963" i="1" s="1"/>
  <c r="AJ964" i="1" a="1"/>
  <c r="AJ964" i="1" s="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s="1"/>
  <c r="AJ1088" i="1" a="1"/>
  <c r="AJ1088" i="1" s="1"/>
  <c r="AJ1089" i="1" a="1"/>
  <c r="AJ1089" i="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s="1"/>
  <c r="AJ1135" i="1" a="1"/>
  <c r="AJ1135" i="1" s="1"/>
  <c r="AJ1136" i="1" a="1"/>
  <c r="AJ1136"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s="1"/>
  <c r="AJ1157" i="1" a="1"/>
  <c r="AJ1157"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s="1"/>
  <c r="AJ1199" i="1" a="1"/>
  <c r="AJ1199" i="1" s="1"/>
  <c r="AJ1200" i="1" a="1"/>
  <c r="AJ1200" i="1" s="1"/>
  <c r="AJ1201" i="1" a="1"/>
  <c r="AJ1201" i="1" s="1"/>
  <c r="AJ1202" i="1" a="1"/>
  <c r="AJ1202" i="1" s="1"/>
  <c r="AJ1203" i="1" a="1"/>
  <c r="AJ1203" i="1"/>
  <c r="AJ1204" i="1" a="1"/>
  <c r="AJ1204"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s="1"/>
  <c r="AJ1224" i="1" a="1"/>
  <c r="AJ1224" i="1" s="1"/>
  <c r="AJ1225" i="1" a="1"/>
  <c r="AJ1225" i="1" s="1"/>
  <c r="AJ1226" i="1" a="1"/>
  <c r="AJ1226" i="1" s="1"/>
  <c r="AJ1227" i="1" a="1"/>
  <c r="AJ1227" i="1" s="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s="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c r="AJ1342" i="1" a="1"/>
  <c r="AJ1342" i="1" s="1"/>
  <c r="AJ1343" i="1" a="1"/>
  <c r="AJ1343" i="1" s="1"/>
  <c r="AJ1344" i="1" a="1"/>
  <c r="AJ1344" i="1" s="1"/>
  <c r="AJ1345" i="1" a="1"/>
  <c r="AJ1345" i="1" s="1"/>
  <c r="AJ1346" i="1" a="1"/>
  <c r="AJ1346" i="1" s="1"/>
  <c r="AJ1347" i="1" a="1"/>
  <c r="AJ1347" i="1" s="1"/>
  <c r="AJ1348" i="1" a="1"/>
  <c r="AJ1348" i="1" s="1"/>
  <c r="AJ1349" i="1" a="1"/>
  <c r="AJ1349" i="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s="1"/>
  <c r="AJ1366" i="1" a="1"/>
  <c r="AJ1366" i="1" s="1"/>
  <c r="AJ1367" i="1" a="1"/>
  <c r="AJ1367" i="1" s="1"/>
  <c r="AJ1368" i="1" a="1"/>
  <c r="AJ1368" i="1"/>
  <c r="AJ1369" i="1" a="1"/>
  <c r="AJ1369" i="1" s="1"/>
  <c r="AJ1370" i="1" a="1"/>
  <c r="AJ1370" i="1" s="1"/>
  <c r="AJ1371" i="1" a="1"/>
  <c r="AJ1371" i="1" s="1"/>
  <c r="AJ1372" i="1" a="1"/>
  <c r="AJ1372" i="1" s="1"/>
  <c r="AJ1373" i="1" a="1"/>
  <c r="AJ1373" i="1" s="1"/>
  <c r="AJ1374" i="1" a="1"/>
  <c r="AJ1374" i="1" s="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s="1"/>
  <c r="AJ1402" i="1" a="1"/>
  <c r="AJ1402" i="1"/>
  <c r="AJ1403" i="1" a="1"/>
  <c r="AJ1403" i="1" s="1"/>
  <c r="AJ1404" i="1" a="1"/>
  <c r="AJ1404" i="1" s="1"/>
  <c r="AJ1405" i="1" a="1"/>
  <c r="AJ1405" i="1" s="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c r="AJ1420" i="1" a="1"/>
  <c r="AJ1420" i="1" s="1"/>
  <c r="AJ1421" i="1" a="1"/>
  <c r="AJ1421" i="1" s="1"/>
  <c r="AJ1422" i="1" a="1"/>
  <c r="AJ1422" i="1" s="1"/>
  <c r="AJ1423" i="1" a="1"/>
  <c r="AJ1423" i="1"/>
  <c r="AJ1424" i="1" a="1"/>
  <c r="AJ1424" i="1" s="1"/>
  <c r="AJ1425" i="1" a="1"/>
  <c r="AJ1425" i="1" s="1"/>
  <c r="AJ1426" i="1" a="1"/>
  <c r="AJ1426" i="1" s="1"/>
  <c r="AJ1427" i="1" a="1"/>
  <c r="AJ1427" i="1" s="1"/>
  <c r="AJ1428" i="1" a="1"/>
  <c r="AJ1428" i="1" s="1"/>
  <c r="AJ1429" i="1" a="1"/>
  <c r="AJ1429" i="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s="1"/>
  <c r="AJ1439" i="1" a="1"/>
  <c r="AJ1439" i="1"/>
  <c r="AJ1440" i="1" a="1"/>
  <c r="AJ1440" i="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s="1"/>
  <c r="AJ1456" i="1" a="1"/>
  <c r="AJ1456" i="1" s="1"/>
  <c r="AJ1457" i="1" a="1"/>
  <c r="AJ1457" i="1" s="1"/>
  <c r="AJ1458" i="1" a="1"/>
  <c r="AJ1458"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I6" i="3"/>
  <c r="I8" i="3"/>
  <c r="I7" i="3"/>
  <c r="E46" i="4" l="1"/>
  <c r="F46" i="4" s="1"/>
  <c r="I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<sst xmlns="http://schemas.openxmlformats.org/spreadsheetml/2006/main" count="26613" uniqueCount="99">
  <si>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</si>
  <si>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</si>
  <si>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</si>
  <si>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</si>
  <si>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</si>
  <si>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</si>
  <si>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</si>
  <si>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</si>
  <si>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</si>
  <si>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</si>
  <si>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</si>
  <si>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</si>
  <si>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</si>
  <si>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</si>
  <si>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</si>
  <si>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</si>
  <si>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</si>
  <si>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</si>
  <si>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</si>
  <si>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</si>
  <si>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</si>
  <si>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</si>
  <si>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</si>
  <si>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</si>
  <si>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</si>
  <si>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</si>
  <si>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</si>
  <si>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</si>
  <si>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</si>
  <si>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</si>
  <si>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</si>
  <si>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</si>
  <si>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</si>
  <si>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</si>
  <si>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</si>
  <si>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</si>
  <si>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</si>
  <si>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</si>
  <si>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</si>
  <si>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</si>
  <si>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</si>
  <si>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</si>
  <si>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</si>
  <si>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</si>
  <si>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</si>
  <si>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</si>
  <si>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</si>
  <si>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</si>
  <si>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</si>
  <si>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</si>
  <si>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</si>
  <si>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</si>
  <si>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</si>
  <si>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</si>
  <si>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</si>
  <si>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</si>
  <si>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</si>
  <si>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</si>
  <si>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</si>
  <si>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</si>
  <si>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</si>
  <si>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</si>
  <si>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Non Travel</t>
  </si>
  <si>
    <t>Travel Frequently</t>
  </si>
  <si>
    <t>Travel Rarely</t>
  </si>
  <si>
    <t>Age Group</t>
  </si>
  <si>
    <t>Income Category</t>
  </si>
  <si>
    <t>Attrition Status</t>
  </si>
  <si>
    <t>Row Labels</t>
  </si>
  <si>
    <t>Grand Total</t>
  </si>
  <si>
    <t>Adult</t>
  </si>
  <si>
    <t>Senior</t>
  </si>
  <si>
    <t>Young</t>
  </si>
  <si>
    <t>Count of Attrition</t>
  </si>
  <si>
    <t>High</t>
  </si>
  <si>
    <t>Low</t>
  </si>
  <si>
    <t>Medium</t>
  </si>
  <si>
    <t>Years at Company Group</t>
  </si>
  <si>
    <t>&gt;5 Years</t>
  </si>
  <si>
    <t>0-1 Year</t>
  </si>
  <si>
    <t>1-2 Years</t>
  </si>
  <si>
    <t>2-3 Years</t>
  </si>
  <si>
    <t>3-4 Years</t>
  </si>
  <si>
    <t>4-5 Years</t>
  </si>
  <si>
    <t>ATTRITION RATE</t>
  </si>
  <si>
    <t>ACTIVE EMPLOYEE</t>
  </si>
  <si>
    <t>HR EMPLOYEE ATTRITION DASHBORD</t>
  </si>
  <si>
    <t>DETAIL ATTRITION</t>
  </si>
  <si>
    <t>DEPARTEMEN</t>
  </si>
  <si>
    <t>TOTAL EMPLOYEE</t>
  </si>
  <si>
    <t>AVG AGE</t>
  </si>
  <si>
    <t>Count of EmployeeNumber</t>
  </si>
  <si>
    <t>total employee</t>
  </si>
  <si>
    <t>resigned</t>
  </si>
  <si>
    <t>active</t>
  </si>
  <si>
    <t>attrition rate</t>
  </si>
  <si>
    <t>RESIGNED EMPLOYEES</t>
  </si>
  <si>
    <t>AVG MONTLY INCOME</t>
  </si>
  <si>
    <t>AVG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</si>
</sst>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1"/>
      <name val="Calibri"/>
      <family val="2"/>
      <scheme val="minor"/>
    </font>
    <font>
      <sz val="18"/>
      <color theme="1"/>
      <name val="Calibri"/>
      <family val="2"/>
      <scheme val="minor"/>
    </font>
    <font>
      <b/>
      <sz val="22"/>
      <color theme="0"/>
      <name val="Calibri"/>
      <family val="2"/>
      <scheme val="minor"/>
    </font>
    <font>
      <sz val="12"/>
      <color theme="1"/>
      <name val="Calibri"/>
      <family val="2"/>
      <scheme val="minor"/>
    </font>
    <font>
      <sz val="14"/>
      <color theme="0"/>
      <name val="Calibri"/>
      <family val="2"/>
      <scheme val="minor"/>
    </font>
    <font>
      <sz val="14"/>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9" fontId="0" fillId="0" borderId="0" xfId="1" applyFont="1"/>
    <xf numFmtId="0" fontId="4" fillId="0" borderId="1" xfId="0" applyFont="1" applyBorder="1"/>
    <xf numFmtId="0" fontId="6" fillId="3" borderId="1" xfId="0" applyFont="1" applyFill="1" applyBorder="1" applyAlignment="1">
      <alignment horizontal="center"/>
    </xf>
    <xf numFmtId="0" fontId="6" fillId="0" borderId="1" xfId="0" applyFont="1" applyBorder="1"/>
    <xf numFmtId="0" fontId="6" fillId="0" borderId="1" xfId="0" applyFont="1" applyBorder="1" applyAlignment="1">
      <alignment horizontal="center"/>
    </xf>
    <xf numFmtId="9" fontId="6" fillId="0" borderId="1" xfId="1" applyFont="1" applyBorder="1" applyAlignment="1">
      <alignment horizontal="center"/>
    </xf>
    <xf numFmtId="164" fontId="6" fillId="0" borderId="1" xfId="0" applyNumberFormat="1" applyFont="1" applyBorder="1" applyAlignment="1">
      <alignment horizontal="center"/>
    </xf>
    <xf numFmtId="2" fontId="6" fillId="0" borderId="1" xfId="0" applyNumberFormat="1" applyFont="1" applyBorder="1" applyAlignment="1">
      <alignment horizontal="center"/>
    </xf>
    <xf numFmtId="0" fontId="6" fillId="3" borderId="1" xfId="0" applyFont="1" applyFill="1" applyBorder="1"/>
    <xf numFmtId="9" fontId="6" fillId="3" borderId="1" xfId="1" applyFont="1" applyFill="1" applyBorder="1" applyAlignment="1">
      <alignment horizontal="center"/>
    </xf>
    <xf numFmtId="164" fontId="6" fillId="3" borderId="1" xfId="0" applyNumberFormat="1" applyFont="1" applyFill="1" applyBorder="1" applyAlignment="1">
      <alignment horizontal="center"/>
    </xf>
    <xf numFmtId="2" fontId="6" fillId="3" borderId="1" xfId="0" applyNumberFormat="1" applyFont="1" applyFill="1" applyBorder="1" applyAlignment="1">
      <alignment horizontal="center"/>
    </xf>
    <xf numFmtId="0" fontId="0" fillId="3" borderId="1" xfId="0" applyFill="1" applyBorder="1" applyAlignment="1">
      <alignment horizontal="center"/>
    </xf>
    <xf numFmtId="0" fontId="3" fillId="2" borderId="0" xfId="0" applyFont="1" applyFill="1" applyAlignment="1">
      <alignment horizontal="center" vertical="center"/>
    </xf>
    <xf numFmtId="0" fontId="5" fillId="2" borderId="1" xfId="0" applyFont="1" applyFill="1" applyBorder="1" applyAlignment="1">
      <alignment horizontal="center"/>
    </xf>
    <xf numFmtId="0" fontId="6" fillId="2" borderId="1" xfId="0" applyFont="1" applyFill="1" applyBorder="1" applyAlignment="1">
      <alignment horizontal="center"/>
    </xf>
    <xf numFmtId="0" fontId="2" fillId="0" borderId="0" xfId="0" applyFont="1" applyAlignment="1">
      <alignment horizontal="center" vertical="center"/>
    </xf>
    <xf numFmtId="0" fontId="2" fillId="0" borderId="0" xfId="1" applyNumberFormat="1" applyFont="1" applyBorder="1" applyAlignment="1">
      <alignment horizontal="center" vertical="center"/>
    </xf>
    <xf numFmtId="0" fontId="0" fillId="0" borderId="0" xfId="0" applyAlignment="1">
      <alignment horizontal="center"/>
    </xf>
  </cellXfs>
  <cellStyles count="2">
    <cellStyle name="Normal" xfId="0" builtinId="0"/>
    <cellStyle name="Percent" xfId="1" builtinId="5"/>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Excel.xlsx]Analysis!gender</c:name>
    <c:fmtId val="8"/>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ATTRITION BY GENDER</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0070C0"/>
          </a:solidFill>
          <a:ln>
            <a:noFill/>
          </a:ln>
          <a:effectLst/>
        </c:spPr>
      </c:pivotFmt>
    </c:pivotFmts>
    <c:plotArea>
      <c:layout/>
      <c:doughnutChart>
        <c:varyColors val="1"/>
        <c:ser>
          <c:idx val="0"/>
          <c:order val="0"/>
          <c:tx>
            <c:strRef>
              <c:f>Analysis!$C$43</c:f>
              <c:strCache>
                <c:ptCount val="1"/>
                <c:pt idx="0">
                  <c:v>Total</c:v>
                </c:pt>
              </c:strCache>
            </c:strRef>
          </c:tx>
          <c:dPt>
            <c:idx val="0"/>
            <c:bubble3D val="0"/>
            <c:spPr>
              <a:solidFill>
                <a:srgbClr val="FF0000"/>
              </a:solidFill>
              <a:ln>
                <a:noFill/>
              </a:ln>
              <a:effectLst/>
            </c:spPr>
            <c:extLst>
              <c:ext xmlns:c16="http://schemas.microsoft.com/office/drawing/2014/chart" uri="{C3380CC4-5D6E-409C-BE32-E72D297353CC}">
                <c16:uniqueId val="{00000001-9AF1-40D8-A2B2-FAF932C5E3D7}"/>
              </c:ext>
            </c:extLst>
          </c:dPt>
          <c:dPt>
            <c:idx val="1"/>
            <c:bubble3D val="0"/>
            <c:spPr>
              <a:solidFill>
                <a:srgbClr val="0070C0"/>
              </a:solidFill>
              <a:ln>
                <a:noFill/>
              </a:ln>
              <a:effectLst/>
            </c:spPr>
            <c:extLst>
              <c:ext xmlns:c16="http://schemas.microsoft.com/office/drawing/2014/chart" uri="{C3380CC4-5D6E-409C-BE32-E72D297353CC}">
                <c16:uniqueId val="{00000003-9AF1-40D8-A2B2-FAF932C5E3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Analysis!$B$44:$B$46</c:f>
              <c:strCache>
                <c:ptCount val="2"/>
                <c:pt idx="0">
                  <c:v>Female</c:v>
                </c:pt>
                <c:pt idx="1">
                  <c:v>Male</c:v>
                </c:pt>
              </c:strCache>
            </c:strRef>
          </c:cat>
          <c:val>
            <c:numRef>
              <c:f>Analysis!$C$44:$C$46</c:f>
              <c:numCache>
                <c:formatCode>General</c:formatCode>
                <c:ptCount val="2"/>
                <c:pt idx="0">
                  <c:v>87</c:v>
                </c:pt>
                <c:pt idx="1">
                  <c:v>150</c:v>
                </c:pt>
              </c:numCache>
            </c:numRef>
          </c:val>
          <c:extLst>
            <c:ext xmlns:c16="http://schemas.microsoft.com/office/drawing/2014/chart" uri="{C3380CC4-5D6E-409C-BE32-E72D297353CC}">
              <c16:uniqueId val="{00000004-9AF1-40D8-A2B2-FAF932C5E3D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Excel.xlsx]Analysis!departemen</c:name>
    <c:fmtId val="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ATTRITION</a:t>
            </a:r>
            <a:r>
              <a:rPr lang="en-US" sz="1300" b="1" baseline="0"/>
              <a:t> BY DEPARTEMENT</a:t>
            </a:r>
            <a:endParaRPr lang="en-US" sz="1300" b="1"/>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Analysis!$B$24:$B$27</c:f>
              <c:strCache>
                <c:ptCount val="3"/>
                <c:pt idx="0">
                  <c:v>Human Resources</c:v>
                </c:pt>
                <c:pt idx="1">
                  <c:v>Research &amp; Development</c:v>
                </c:pt>
                <c:pt idx="2">
                  <c:v>Sales</c:v>
                </c:pt>
              </c:strCache>
            </c:strRef>
          </c:cat>
          <c:val>
            <c:numRef>
              <c:f>Analysis!$C$24:$C$27</c:f>
              <c:numCache>
                <c:formatCode>General</c:formatCode>
                <c:ptCount val="3"/>
                <c:pt idx="0">
                  <c:v>12</c:v>
                </c:pt>
                <c:pt idx="1">
                  <c:v>133</c:v>
                </c:pt>
                <c:pt idx="2">
                  <c:v>92</c:v>
                </c:pt>
              </c:numCache>
            </c:numRef>
          </c:val>
          <c:extLst>
            <c:ext xmlns:c16="http://schemas.microsoft.com/office/drawing/2014/chart" uri="{C3380CC4-5D6E-409C-BE32-E72D297353CC}">
              <c16:uniqueId val="{00000000-CE84-4886-BA94-5F480FB2AD31}"/>
            </c:ext>
          </c:extLst>
        </c:ser>
        <c:dLbls>
          <c:dLblPos val="outEnd"/>
          <c:showLegendKey val="0"/>
          <c:showVal val="1"/>
          <c:showCatName val="0"/>
          <c:showSerName val="0"/>
          <c:showPercent val="0"/>
          <c:showBubbleSize val="0"/>
        </c:dLbls>
        <c:gapWidth val="219"/>
        <c:axId val="690471920"/>
        <c:axId val="690472880"/>
      </c:barChart>
      <c:catAx>
        <c:axId val="69047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72880"/>
        <c:crosses val="autoZero"/>
        <c:auto val="1"/>
        <c:lblAlgn val="ctr"/>
        <c:lblOffset val="100"/>
        <c:noMultiLvlLbl val="0"/>
      </c:catAx>
      <c:valAx>
        <c:axId val="690472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7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Excel.xlsx]Analysis!job role</c:name>
    <c:fmtId val="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ATTRITION BY JOB ROLE</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Analysis!$B$51:$B$60</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Analysis!$C$51:$C$60</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7B7B-4AC9-BF5A-7CA232E56E01}"/>
            </c:ext>
          </c:extLst>
        </c:ser>
        <c:dLbls>
          <c:dLblPos val="outEnd"/>
          <c:showLegendKey val="0"/>
          <c:showVal val="1"/>
          <c:showCatName val="0"/>
          <c:showSerName val="0"/>
          <c:showPercent val="0"/>
          <c:showBubbleSize val="0"/>
        </c:dLbls>
        <c:gapWidth val="219"/>
        <c:axId val="1359534096"/>
        <c:axId val="1294484944"/>
      </c:barChart>
      <c:catAx>
        <c:axId val="13595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484944"/>
        <c:crosses val="autoZero"/>
        <c:auto val="1"/>
        <c:lblAlgn val="ctr"/>
        <c:lblOffset val="100"/>
        <c:noMultiLvlLbl val="0"/>
      </c:catAx>
      <c:valAx>
        <c:axId val="129448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Excel.xlsx]Analysis!yeras at company</c:name>
    <c:fmtId val="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ATTRITION BY YEARS AT COMPANY</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Analysis!$B$33:$B$39</c:f>
              <c:strCache>
                <c:ptCount val="6"/>
                <c:pt idx="0">
                  <c:v>&gt;5 Years</c:v>
                </c:pt>
                <c:pt idx="1">
                  <c:v>0-1 Year</c:v>
                </c:pt>
                <c:pt idx="2">
                  <c:v>1-2 Years</c:v>
                </c:pt>
                <c:pt idx="3">
                  <c:v>2-3 Years</c:v>
                </c:pt>
                <c:pt idx="4">
                  <c:v>3-4 Years</c:v>
                </c:pt>
                <c:pt idx="5">
                  <c:v>4-5 Years</c:v>
                </c:pt>
              </c:strCache>
            </c:strRef>
          </c:cat>
          <c:val>
            <c:numRef>
              <c:f>Analysis!$C$33:$C$39</c:f>
              <c:numCache>
                <c:formatCode>General</c:formatCode>
                <c:ptCount val="6"/>
                <c:pt idx="0">
                  <c:v>75</c:v>
                </c:pt>
                <c:pt idx="1">
                  <c:v>75</c:v>
                </c:pt>
                <c:pt idx="2">
                  <c:v>27</c:v>
                </c:pt>
                <c:pt idx="3">
                  <c:v>20</c:v>
                </c:pt>
                <c:pt idx="4">
                  <c:v>19</c:v>
                </c:pt>
                <c:pt idx="5">
                  <c:v>21</c:v>
                </c:pt>
              </c:numCache>
            </c:numRef>
          </c:val>
          <c:extLst>
            <c:ext xmlns:c16="http://schemas.microsoft.com/office/drawing/2014/chart" uri="{C3380CC4-5D6E-409C-BE32-E72D297353CC}">
              <c16:uniqueId val="{00000000-2661-48F5-809F-8C61ADD77359}"/>
            </c:ext>
          </c:extLst>
        </c:ser>
        <c:dLbls>
          <c:dLblPos val="outEnd"/>
          <c:showLegendKey val="0"/>
          <c:showVal val="1"/>
          <c:showCatName val="0"/>
          <c:showSerName val="0"/>
          <c:showPercent val="0"/>
          <c:showBubbleSize val="0"/>
        </c:dLbls>
        <c:gapWidth val="219"/>
        <c:overlap val="-27"/>
        <c:axId val="557679632"/>
        <c:axId val="557680112"/>
      </c:barChart>
      <c:catAx>
        <c:axId val="55767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80112"/>
        <c:crosses val="autoZero"/>
        <c:auto val="1"/>
        <c:lblAlgn val="ctr"/>
        <c:lblOffset val="100"/>
        <c:noMultiLvlLbl val="0"/>
      </c:catAx>
      <c:valAx>
        <c:axId val="55768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7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Excel.xlsx]Analysis!income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ATTRITION BY INCOME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C0000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70C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0070C0"/>
          </a:solidFill>
          <a:ln>
            <a:noFill/>
          </a:ln>
          <a:effectLst/>
        </c:spPr>
      </c:pivotFmt>
      <c:pivotFmt>
        <c:idx val="11"/>
        <c:spPr>
          <a:solidFill>
            <a:srgbClr val="C00000"/>
          </a:solidFill>
          <a:ln>
            <a:noFill/>
          </a:ln>
          <a:effectLst/>
        </c:spPr>
      </c:pivotFmt>
    </c:pivotFmts>
    <c:plotArea>
      <c:layout/>
      <c:barChart>
        <c:barDir val="bar"/>
        <c:grouping val="clustered"/>
        <c:varyColors val="0"/>
        <c:ser>
          <c:idx val="0"/>
          <c:order val="0"/>
          <c:tx>
            <c:strRef>
              <c:f>Analysis!$C$14</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0C52-4027-BAD1-A85C417DFFB4}"/>
              </c:ext>
            </c:extLst>
          </c:dPt>
          <c:dPt>
            <c:idx val="1"/>
            <c:invertIfNegative val="0"/>
            <c:bubble3D val="0"/>
            <c:spPr>
              <a:solidFill>
                <a:srgbClr val="0070C0"/>
              </a:solidFill>
              <a:ln>
                <a:noFill/>
              </a:ln>
              <a:effectLst/>
            </c:spPr>
            <c:extLst>
              <c:ext xmlns:c16="http://schemas.microsoft.com/office/drawing/2014/chart" uri="{C3380CC4-5D6E-409C-BE32-E72D297353CC}">
                <c16:uniqueId val="{00000003-0C52-4027-BAD1-A85C417DFFB4}"/>
              </c:ext>
            </c:extLst>
          </c:dPt>
          <c:dPt>
            <c:idx val="2"/>
            <c:invertIfNegative val="0"/>
            <c:bubble3D val="0"/>
            <c:spPr>
              <a:solidFill>
                <a:srgbClr val="C00000"/>
              </a:solidFill>
              <a:ln>
                <a:noFill/>
              </a:ln>
              <a:effectLst/>
            </c:spPr>
            <c:extLst>
              <c:ext xmlns:c16="http://schemas.microsoft.com/office/drawing/2014/chart" uri="{C3380CC4-5D6E-409C-BE32-E72D297353CC}">
                <c16:uniqueId val="{00000005-0C52-4027-BAD1-A85C417DFF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Analysis!$B$15:$B$18</c:f>
              <c:strCache>
                <c:ptCount val="3"/>
                <c:pt idx="0">
                  <c:v>High</c:v>
                </c:pt>
                <c:pt idx="1">
                  <c:v>Low</c:v>
                </c:pt>
                <c:pt idx="2">
                  <c:v>Medium</c:v>
                </c:pt>
              </c:strCache>
            </c:strRef>
          </c:cat>
          <c:val>
            <c:numRef>
              <c:f>Analysis!$C$15:$C$18</c:f>
              <c:numCache>
                <c:formatCode>General</c:formatCode>
                <c:ptCount val="3"/>
                <c:pt idx="0">
                  <c:v>25</c:v>
                </c:pt>
                <c:pt idx="1">
                  <c:v>163</c:v>
                </c:pt>
                <c:pt idx="2">
                  <c:v>49</c:v>
                </c:pt>
              </c:numCache>
            </c:numRef>
          </c:val>
          <c:extLst>
            <c:ext xmlns:c16="http://schemas.microsoft.com/office/drawing/2014/chart" uri="{C3380CC4-5D6E-409C-BE32-E72D297353CC}">
              <c16:uniqueId val="{00000006-0C52-4027-BAD1-A85C417DFFB4}"/>
            </c:ext>
          </c:extLst>
        </c:ser>
        <c:dLbls>
          <c:dLblPos val="outEnd"/>
          <c:showLegendKey val="0"/>
          <c:showVal val="1"/>
          <c:showCatName val="0"/>
          <c:showSerName val="0"/>
          <c:showPercent val="0"/>
          <c:showBubbleSize val="0"/>
        </c:dLbls>
        <c:gapWidth val="100"/>
        <c:axId val="1149294975"/>
        <c:axId val="1149278655"/>
      </c:barChart>
      <c:catAx>
        <c:axId val="1149294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78655"/>
        <c:crosses val="autoZero"/>
        <c:auto val="1"/>
        <c:lblAlgn val="ctr"/>
        <c:lblOffset val="100"/>
        <c:noMultiLvlLbl val="0"/>
      </c:catAx>
      <c:valAx>
        <c:axId val="11492786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9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Excel.xlsx]Analysis!age group</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ATTRITION BY</a:t>
            </a:r>
            <a:r>
              <a:rPr lang="en-US" sz="1300" b="1" baseline="0"/>
              <a:t>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556B1E-2B53-4CB4-9CE4-01EACF141BC9}"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8A9008-F39A-444F-83A2-80941C6E8CCD}"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556B1E-2B53-4CB4-9CE4-01EACF141BC9}"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00B050"/>
          </a:solidFill>
          <a:ln>
            <a:noFill/>
          </a:ln>
          <a:effectLst/>
        </c:spPr>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8A9008-F39A-444F-83A2-80941C6E8CCD}"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FF0000"/>
          </a:solidFill>
          <a:ln>
            <a:noFill/>
          </a:ln>
          <a:effectLst/>
        </c:spPr>
      </c:pivotFmt>
      <c:pivotFmt>
        <c:idx val="22"/>
        <c:spPr>
          <a:solidFill>
            <a:srgbClr val="00B050"/>
          </a:solidFill>
          <a:ln>
            <a:noFill/>
          </a:ln>
          <a:effectLst/>
        </c:spPr>
      </c:pivotFmt>
      <c:pivotFmt>
        <c:idx val="23"/>
        <c:spPr>
          <a:solidFill>
            <a:srgbClr val="0070C0"/>
          </a:solidFill>
          <a:ln>
            <a:noFill/>
          </a:ln>
          <a:effectLst/>
        </c:spPr>
      </c:pivotFmt>
    </c:pivotFmts>
    <c:plotArea>
      <c:layout/>
      <c:doughnutChart>
        <c:varyColors val="1"/>
        <c:ser>
          <c:idx val="0"/>
          <c:order val="0"/>
          <c:tx>
            <c:strRef>
              <c:f>Analysis!$C$3</c:f>
              <c:strCache>
                <c:ptCount val="1"/>
                <c:pt idx="0">
                  <c:v>Total</c:v>
                </c:pt>
              </c:strCache>
            </c:strRef>
          </c:tx>
          <c:dPt>
            <c:idx val="0"/>
            <c:bubble3D val="0"/>
            <c:spPr>
              <a:solidFill>
                <a:srgbClr val="FF0000"/>
              </a:solidFill>
              <a:ln>
                <a:noFill/>
              </a:ln>
              <a:effectLst/>
            </c:spPr>
            <c:extLst>
              <c:ext xmlns:c16="http://schemas.microsoft.com/office/drawing/2014/chart" uri="{C3380CC4-5D6E-409C-BE32-E72D297353CC}">
                <c16:uniqueId val="{00000001-1E7D-47BA-8F77-CADFA6E63E9F}"/>
              </c:ext>
            </c:extLst>
          </c:dPt>
          <c:dPt>
            <c:idx val="1"/>
            <c:bubble3D val="0"/>
            <c:spPr>
              <a:solidFill>
                <a:srgbClr val="00B050"/>
              </a:solidFill>
              <a:ln>
                <a:noFill/>
              </a:ln>
              <a:effectLst/>
            </c:spPr>
            <c:extLst>
              <c:ext xmlns:c16="http://schemas.microsoft.com/office/drawing/2014/chart" uri="{C3380CC4-5D6E-409C-BE32-E72D297353CC}">
                <c16:uniqueId val="{00000003-1E7D-47BA-8F77-CADFA6E63E9F}"/>
              </c:ext>
            </c:extLst>
          </c:dPt>
          <c:dPt>
            <c:idx val="2"/>
            <c:bubble3D val="0"/>
            <c:spPr>
              <a:solidFill>
                <a:srgbClr val="0070C0"/>
              </a:solidFill>
              <a:ln>
                <a:noFill/>
              </a:ln>
              <a:effectLst/>
            </c:spPr>
            <c:extLst>
              <c:ext xmlns:c16="http://schemas.microsoft.com/office/drawing/2014/chart" uri="{C3380CC4-5D6E-409C-BE32-E72D297353CC}">
                <c16:uniqueId val="{00000005-1E7D-47BA-8F77-CADFA6E63E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Analysis!$B$4:$B$7</c:f>
              <c:strCache>
                <c:ptCount val="3"/>
                <c:pt idx="0">
                  <c:v>Adult</c:v>
                </c:pt>
                <c:pt idx="1">
                  <c:v>Senior</c:v>
                </c:pt>
                <c:pt idx="2">
                  <c:v>Young</c:v>
                </c:pt>
              </c:strCache>
            </c:strRef>
          </c:cat>
          <c:val>
            <c:numRef>
              <c:f>Analysis!$C$4:$C$7</c:f>
              <c:numCache>
                <c:formatCode>General</c:formatCode>
                <c:ptCount val="3"/>
                <c:pt idx="0">
                  <c:v>94</c:v>
                </c:pt>
                <c:pt idx="1">
                  <c:v>52</c:v>
                </c:pt>
                <c:pt idx="2">
                  <c:v>91</c:v>
                </c:pt>
              </c:numCache>
            </c:numRef>
          </c:val>
          <c:extLst>
            <c:ext xmlns:c16="http://schemas.microsoft.com/office/drawing/2014/chart" uri="{C3380CC4-5D6E-409C-BE32-E72D297353CC}">
              <c16:uniqueId val="{00000006-1E7D-47BA-8F77-CADFA6E63E9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61912</xdr:colOff>
      <xdr:row>2</xdr:row>
      <xdr:rowOff>19049</xdr:rowOff>
    </xdr:from>
    <xdr:to>
      <xdr:col>1</xdr:col>
      <xdr:colOff>1537607</xdr:colOff>
      <xdr:row>6</xdr:row>
      <xdr:rowOff>92074</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5A67DAD-656A-4AF0-980A-4E42042B40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912" y="773112"/>
              <a:ext cx="212657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7</xdr:row>
      <xdr:rowOff>119062</xdr:rowOff>
    </xdr:from>
    <xdr:to>
      <xdr:col>1</xdr:col>
      <xdr:colOff>1554616</xdr:colOff>
      <xdr:row>14</xdr:row>
      <xdr:rowOff>80963</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EA2F60B-FD34-4C1E-B82B-635A1E3253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5" y="1878765"/>
              <a:ext cx="2152754" cy="1204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14</xdr:row>
      <xdr:rowOff>161925</xdr:rowOff>
    </xdr:from>
    <xdr:to>
      <xdr:col>2</xdr:col>
      <xdr:colOff>6185</xdr:colOff>
      <xdr:row>30</xdr:row>
      <xdr:rowOff>90488</xdr:rowOff>
    </xdr:to>
    <mc:AlternateContent xmlns:mc="http://schemas.openxmlformats.org/markup-compatibility/2006" xmlns:a14="http://schemas.microsoft.com/office/drawing/2010/main">
      <mc:Choice Requires="a14">
        <xdr:graphicFrame macro="">
          <xdr:nvGraphicFramePr>
            <xdr:cNvPr id="4" name="JobRole">
              <a:extLst>
                <a:ext uri="{FF2B5EF4-FFF2-40B4-BE49-F238E27FC236}">
                  <a16:creationId xmlns:a16="http://schemas.microsoft.com/office/drawing/2014/main" id="{13C7FAF6-4BE6-4F11-A6B2-C6C2BBB4719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57151" y="3185077"/>
              <a:ext cx="1831009" cy="2799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31</xdr:row>
      <xdr:rowOff>19050</xdr:rowOff>
    </xdr:from>
    <xdr:to>
      <xdr:col>1</xdr:col>
      <xdr:colOff>1575027</xdr:colOff>
      <xdr:row>37</xdr:row>
      <xdr:rowOff>115980</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3BA8B155-EE84-4F65-84BA-7BCEDB09AEF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150" y="6092963"/>
              <a:ext cx="1831009" cy="1173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12723</xdr:colOff>
      <xdr:row>6</xdr:row>
      <xdr:rowOff>42676</xdr:rowOff>
    </xdr:from>
    <xdr:to>
      <xdr:col>9</xdr:col>
      <xdr:colOff>439615</xdr:colOff>
      <xdr:row>21</xdr:row>
      <xdr:rowOff>145645</xdr:rowOff>
    </xdr:to>
    <xdr:graphicFrame macro="">
      <xdr:nvGraphicFramePr>
        <xdr:cNvPr id="9" name="Chart 8">
          <a:extLst>
            <a:ext uri="{FF2B5EF4-FFF2-40B4-BE49-F238E27FC236}">
              <a16:creationId xmlns:a16="http://schemas.microsoft.com/office/drawing/2014/main" id="{5FBC252F-A5D2-490F-9CA1-FF714068C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558099</xdr:colOff>
      <xdr:row>6</xdr:row>
      <xdr:rowOff>43398</xdr:rowOff>
    </xdr:from>
    <xdr:to>
      <xdr:col>15</xdr:col>
      <xdr:colOff>462314</xdr:colOff>
      <xdr:row>21</xdr:row>
      <xdr:rowOff>165401</xdr:rowOff>
    </xdr:to>
    <xdr:graphicFrame macro="">
      <xdr:nvGraphicFramePr>
        <xdr:cNvPr id="10" name="Chart 9">
          <a:extLst>
            <a:ext uri="{FF2B5EF4-FFF2-40B4-BE49-F238E27FC236}">
              <a16:creationId xmlns:a16="http://schemas.microsoft.com/office/drawing/2014/main" id="{398651A2-F515-45C7-A5F7-9EEEC2C44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373356</xdr:colOff>
      <xdr:row>22</xdr:row>
      <xdr:rowOff>167090</xdr:rowOff>
    </xdr:from>
    <xdr:to>
      <xdr:col>5</xdr:col>
      <xdr:colOff>879273</xdr:colOff>
      <xdr:row>38</xdr:row>
      <xdr:rowOff>120866</xdr:rowOff>
    </xdr:to>
    <xdr:graphicFrame macro="">
      <xdr:nvGraphicFramePr>
        <xdr:cNvPr id="11" name="Chart 10">
          <a:extLst>
            <a:ext uri="{FF2B5EF4-FFF2-40B4-BE49-F238E27FC236}">
              <a16:creationId xmlns:a16="http://schemas.microsoft.com/office/drawing/2014/main" id="{CC7FA988-67F2-4C2E-BCC0-377128A4F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82973</xdr:colOff>
      <xdr:row>22</xdr:row>
      <xdr:rowOff>139306</xdr:rowOff>
    </xdr:from>
    <xdr:to>
      <xdr:col>9</xdr:col>
      <xdr:colOff>594474</xdr:colOff>
      <xdr:row>38</xdr:row>
      <xdr:rowOff>111173</xdr:rowOff>
    </xdr:to>
    <xdr:graphicFrame macro="">
      <xdr:nvGraphicFramePr>
        <xdr:cNvPr id="12" name="Chart 11">
          <a:extLst>
            <a:ext uri="{FF2B5EF4-FFF2-40B4-BE49-F238E27FC236}">
              <a16:creationId xmlns:a16="http://schemas.microsoft.com/office/drawing/2014/main" id="{DE945DCE-E5F7-4D46-B0F7-4ABCEADC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133992</xdr:colOff>
      <xdr:row>22</xdr:row>
      <xdr:rowOff>143188</xdr:rowOff>
    </xdr:from>
    <xdr:to>
      <xdr:col>15</xdr:col>
      <xdr:colOff>437486</xdr:colOff>
      <xdr:row>38</xdr:row>
      <xdr:rowOff>112853</xdr:rowOff>
    </xdr:to>
    <xdr:graphicFrame macro="">
      <xdr:nvGraphicFramePr>
        <xdr:cNvPr id="13" name="Chart 12">
          <a:extLst>
            <a:ext uri="{FF2B5EF4-FFF2-40B4-BE49-F238E27FC236}">
              <a16:creationId xmlns:a16="http://schemas.microsoft.com/office/drawing/2014/main" id="{690AB6C8-000F-41F2-9980-9E6FD12F4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312459</xdr:colOff>
      <xdr:row>6</xdr:row>
      <xdr:rowOff>30823</xdr:rowOff>
    </xdr:from>
    <xdr:to>
      <xdr:col>5</xdr:col>
      <xdr:colOff>920474</xdr:colOff>
      <xdr:row>21</xdr:row>
      <xdr:rowOff>127480</xdr:rowOff>
    </xdr:to>
    <xdr:grpSp>
      <xdr:nvGrpSpPr>
        <xdr:cNvPr id="49" name="Group 48">
          <a:extLst>
            <a:ext uri="{FF2B5EF4-FFF2-40B4-BE49-F238E27FC236}">
              <a16:creationId xmlns:a16="http://schemas.microsoft.com/office/drawing/2014/main" id="{3D397BA5-1ABF-BA48-EE64-2EB8E116CF5F}"/>
            </a:ext>
          </a:extLst>
        </xdr:cNvPr>
        <xdr:cNvGrpSpPr/>
      </xdr:nvGrpSpPr>
      <xdr:grpSpPr>
        <a:xfrm>
          <a:off x="2545907" y="1623797"/>
          <a:ext cx="4196314" cy="2806355"/>
          <a:chOff x="2167568" y="1543302"/>
          <a:chExt cx="4182753" cy="2811270"/>
        </a:xfrm>
      </xdr:grpSpPr>
      <xdr:grpSp>
        <xdr:nvGrpSpPr>
          <xdr:cNvPr id="6" name="Group 5">
            <a:extLst>
              <a:ext uri="{FF2B5EF4-FFF2-40B4-BE49-F238E27FC236}">
                <a16:creationId xmlns:a16="http://schemas.microsoft.com/office/drawing/2014/main" id="{4DD54870-8D37-451C-9934-FBB3F08ABAF1}"/>
              </a:ext>
            </a:extLst>
          </xdr:cNvPr>
          <xdr:cNvGrpSpPr/>
        </xdr:nvGrpSpPr>
        <xdr:grpSpPr>
          <a:xfrm>
            <a:off x="2167568" y="1543302"/>
            <a:ext cx="4182753" cy="2811270"/>
            <a:chOff x="4689560" y="-1241602"/>
            <a:chExt cx="3514376" cy="2761836"/>
          </a:xfrm>
        </xdr:grpSpPr>
        <xdr:graphicFrame macro="">
          <xdr:nvGraphicFramePr>
            <xdr:cNvPr id="7" name="Chart 6">
              <a:extLst>
                <a:ext uri="{FF2B5EF4-FFF2-40B4-BE49-F238E27FC236}">
                  <a16:creationId xmlns:a16="http://schemas.microsoft.com/office/drawing/2014/main" id="{BEACC35B-3FFA-DBB3-1F56-B0B596BA1BCD}"/>
                </a:ext>
              </a:extLst>
            </xdr:cNvPr>
            <xdr:cNvGraphicFramePr/>
          </xdr:nvGraphicFramePr>
          <xdr:xfrm>
            <a:off x="4689560" y="-1241602"/>
            <a:ext cx="3514376" cy="276183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 name="TextBox 7">
              <a:extLst>
                <a:ext uri="{FF2B5EF4-FFF2-40B4-BE49-F238E27FC236}">
                  <a16:creationId xmlns:a16="http://schemas.microsoft.com/office/drawing/2014/main" id="{D8C83503-8EEE-D756-DB2C-7340EC34638B}"/>
                </a:ext>
              </a:extLst>
            </xdr:cNvPr>
            <xdr:cNvSpPr txBox="1"/>
          </xdr:nvSpPr>
          <xdr:spPr>
            <a:xfrm>
              <a:off x="7481327" y="-230938"/>
              <a:ext cx="666710" cy="951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&lt; 30 (Young)</a:t>
              </a:r>
            </a:p>
            <a:p>
              <a:r>
                <a:rPr lang="en-US" sz="900" baseline="0"/>
                <a:t>   91 (38 %)</a:t>
              </a:r>
            </a:p>
            <a:p>
              <a:r>
                <a:rPr lang="en-US" sz="900" baseline="0"/>
                <a:t>30-40 (Adult)</a:t>
              </a:r>
            </a:p>
            <a:p>
              <a:r>
                <a:rPr lang="en-US" sz="900" baseline="0"/>
                <a:t>   94 (40%)</a:t>
              </a:r>
            </a:p>
            <a:p>
              <a:r>
                <a:rPr lang="en-US" sz="900" baseline="0"/>
                <a:t>&gt;40 (Senior)</a:t>
              </a:r>
              <a:endParaRPr lang="en-US" sz="900"/>
            </a:p>
            <a:p>
              <a:r>
                <a:rPr lang="en-US" sz="900"/>
                <a:t>   52</a:t>
              </a:r>
              <a:r>
                <a:rPr lang="en-US" sz="900" baseline="0"/>
                <a:t> (22 %)</a:t>
              </a:r>
              <a:endParaRPr lang="en-US" sz="900"/>
            </a:p>
          </xdr:txBody>
        </xdr:sp>
      </xdr:grpSp>
      <xdr:sp macro="" textlink="">
        <xdr:nvSpPr>
          <xdr:cNvPr id="20" name="Flowchart: Connector 19">
            <a:extLst>
              <a:ext uri="{FF2B5EF4-FFF2-40B4-BE49-F238E27FC236}">
                <a16:creationId xmlns:a16="http://schemas.microsoft.com/office/drawing/2014/main" id="{2348D2B1-9652-45F3-A03E-AE0FCB613880}"/>
              </a:ext>
            </a:extLst>
          </xdr:cNvPr>
          <xdr:cNvSpPr/>
        </xdr:nvSpPr>
        <xdr:spPr>
          <a:xfrm>
            <a:off x="5460005" y="2653175"/>
            <a:ext cx="79772" cy="77391"/>
          </a:xfrm>
          <a:prstGeom prst="flowChartConnector">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Flowchart: Connector 20">
            <a:extLst>
              <a:ext uri="{FF2B5EF4-FFF2-40B4-BE49-F238E27FC236}">
                <a16:creationId xmlns:a16="http://schemas.microsoft.com/office/drawing/2014/main" id="{DE525AF2-8A02-440B-89D8-9CA51587E45A}"/>
              </a:ext>
            </a:extLst>
          </xdr:cNvPr>
          <xdr:cNvSpPr/>
        </xdr:nvSpPr>
        <xdr:spPr>
          <a:xfrm>
            <a:off x="5466021" y="2941357"/>
            <a:ext cx="79772" cy="80111"/>
          </a:xfrm>
          <a:prstGeom prst="flowChartConnector">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Flowchart: Connector 21">
            <a:extLst>
              <a:ext uri="{FF2B5EF4-FFF2-40B4-BE49-F238E27FC236}">
                <a16:creationId xmlns:a16="http://schemas.microsoft.com/office/drawing/2014/main" id="{F557E84A-1F20-47EC-89E1-8023AD20210C}"/>
              </a:ext>
            </a:extLst>
          </xdr:cNvPr>
          <xdr:cNvSpPr/>
        </xdr:nvSpPr>
        <xdr:spPr>
          <a:xfrm>
            <a:off x="5476236" y="3209948"/>
            <a:ext cx="79772" cy="74908"/>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339255</xdr:colOff>
      <xdr:row>2</xdr:row>
      <xdr:rowOff>54763</xdr:rowOff>
    </xdr:from>
    <xdr:to>
      <xdr:col>4</xdr:col>
      <xdr:colOff>199282</xdr:colOff>
      <xdr:row>5</xdr:row>
      <xdr:rowOff>50783</xdr:rowOff>
    </xdr:to>
    <xdr:sp macro="" textlink="">
      <xdr:nvSpPr>
        <xdr:cNvPr id="27" name="Rectangle: Rounded Corners 26">
          <a:extLst>
            <a:ext uri="{FF2B5EF4-FFF2-40B4-BE49-F238E27FC236}">
              <a16:creationId xmlns:a16="http://schemas.microsoft.com/office/drawing/2014/main" id="{456FCC3C-F3AA-B81F-F6C1-0A6D49206DF9}"/>
            </a:ext>
          </a:extLst>
        </xdr:cNvPr>
        <xdr:cNvSpPr/>
      </xdr:nvSpPr>
      <xdr:spPr>
        <a:xfrm>
          <a:off x="2567635" y="807356"/>
          <a:ext cx="2072727" cy="6525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459904</xdr:colOff>
      <xdr:row>2</xdr:row>
      <xdr:rowOff>140213</xdr:rowOff>
    </xdr:from>
    <xdr:to>
      <xdr:col>2</xdr:col>
      <xdr:colOff>966051</xdr:colOff>
      <xdr:row>4</xdr:row>
      <xdr:rowOff>170326</xdr:rowOff>
    </xdr:to>
    <xdr:pic>
      <xdr:nvPicPr>
        <xdr:cNvPr id="16" name="Picture 15" descr="Other Usps Icon Images - Many Employees Icon Png - (710x576) Png Clipart  Download">
          <a:extLst>
            <a:ext uri="{FF2B5EF4-FFF2-40B4-BE49-F238E27FC236}">
              <a16:creationId xmlns:a16="http://schemas.microsoft.com/office/drawing/2014/main" id="{19B43C2B-DCAE-4FDD-AD38-9F1A8597DCE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88284" y="892806"/>
          <a:ext cx="506147" cy="506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1050513</xdr:colOff>
      <xdr:row>2</xdr:row>
      <xdr:rowOff>85193</xdr:rowOff>
    </xdr:from>
    <xdr:to>
      <xdr:col>4</xdr:col>
      <xdr:colOff>105478</xdr:colOff>
      <xdr:row>3</xdr:row>
      <xdr:rowOff>141077</xdr:rowOff>
    </xdr:to>
    <xdr:sp macro="" textlink="">
      <xdr:nvSpPr>
        <xdr:cNvPr id="28" name="TextBox 27">
          <a:extLst>
            <a:ext uri="{FF2B5EF4-FFF2-40B4-BE49-F238E27FC236}">
              <a16:creationId xmlns:a16="http://schemas.microsoft.com/office/drawing/2014/main" id="{F3C72131-AFA5-8F11-443D-177561071D94}"/>
            </a:ext>
          </a:extLst>
        </xdr:cNvPr>
        <xdr:cNvSpPr txBox="1"/>
      </xdr:nvSpPr>
      <xdr:spPr>
        <a:xfrm>
          <a:off x="3278893" y="837786"/>
          <a:ext cx="1267665" cy="236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TOTAL EMPLOYEES</a:t>
          </a:r>
        </a:p>
      </xdr:txBody>
    </xdr:sp>
    <xdr:clientData/>
  </xdr:twoCellAnchor>
  <xdr:twoCellAnchor>
    <xdr:from>
      <xdr:col>3</xdr:col>
      <xdr:colOff>119582</xdr:colOff>
      <xdr:row>3</xdr:row>
      <xdr:rowOff>67757</xdr:rowOff>
    </xdr:from>
    <xdr:to>
      <xdr:col>3</xdr:col>
      <xdr:colOff>999813</xdr:colOff>
      <xdr:row>4</xdr:row>
      <xdr:rowOff>131719</xdr:rowOff>
    </xdr:to>
    <xdr:sp macro="" textlink="Analysis!I6">
      <xdr:nvSpPr>
        <xdr:cNvPr id="29" name="TextBox 28">
          <a:extLst>
            <a:ext uri="{FF2B5EF4-FFF2-40B4-BE49-F238E27FC236}">
              <a16:creationId xmlns:a16="http://schemas.microsoft.com/office/drawing/2014/main" id="{2CBA47A3-9C34-6672-A6BC-4EDBDD23D8C7}"/>
            </a:ext>
          </a:extLst>
        </xdr:cNvPr>
        <xdr:cNvSpPr txBox="1"/>
      </xdr:nvSpPr>
      <xdr:spPr>
        <a:xfrm>
          <a:off x="3437653" y="1000658"/>
          <a:ext cx="880231" cy="3599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C635F1-A71F-4DA8-8E06-24566DE9AFCC}" type="TxLink">
            <a:rPr lang="en-US" sz="2400" b="1" i="0" u="none" strike="noStrike">
              <a:solidFill>
                <a:srgbClr val="000000"/>
              </a:solidFill>
              <a:latin typeface="Calibri"/>
              <a:ea typeface="Calibri"/>
              <a:cs typeface="Calibri"/>
            </a:rPr>
            <a:pPr/>
            <a:t>1470</a:t>
          </a:fld>
          <a:endParaRPr lang="en-US" sz="3600" b="1"/>
        </a:p>
      </xdr:txBody>
    </xdr:sp>
    <xdr:clientData/>
  </xdr:twoCellAnchor>
  <xdr:twoCellAnchor>
    <xdr:from>
      <xdr:col>4</xdr:col>
      <xdr:colOff>503182</xdr:colOff>
      <xdr:row>2</xdr:row>
      <xdr:rowOff>105956</xdr:rowOff>
    </xdr:from>
    <xdr:to>
      <xdr:col>6</xdr:col>
      <xdr:colOff>213819</xdr:colOff>
      <xdr:row>5</xdr:row>
      <xdr:rowOff>113138</xdr:rowOff>
    </xdr:to>
    <xdr:grpSp>
      <xdr:nvGrpSpPr>
        <xdr:cNvPr id="46" name="Group 45">
          <a:extLst>
            <a:ext uri="{FF2B5EF4-FFF2-40B4-BE49-F238E27FC236}">
              <a16:creationId xmlns:a16="http://schemas.microsoft.com/office/drawing/2014/main" id="{C92528C6-8182-13EA-028A-8AA9C03DA011}"/>
            </a:ext>
          </a:extLst>
        </xdr:cNvPr>
        <xdr:cNvGrpSpPr/>
      </xdr:nvGrpSpPr>
      <xdr:grpSpPr>
        <a:xfrm>
          <a:off x="4953656" y="861387"/>
          <a:ext cx="2091887" cy="664079"/>
          <a:chOff x="5551580" y="773801"/>
          <a:chExt cx="2094128" cy="663084"/>
        </a:xfrm>
      </xdr:grpSpPr>
      <xdr:grpSp>
        <xdr:nvGrpSpPr>
          <xdr:cNvPr id="31" name="Group 30">
            <a:extLst>
              <a:ext uri="{FF2B5EF4-FFF2-40B4-BE49-F238E27FC236}">
                <a16:creationId xmlns:a16="http://schemas.microsoft.com/office/drawing/2014/main" id="{C41053AD-E0EC-4922-878A-8CD46E6B1C99}"/>
              </a:ext>
            </a:extLst>
          </xdr:cNvPr>
          <xdr:cNvGrpSpPr/>
        </xdr:nvGrpSpPr>
        <xdr:grpSpPr>
          <a:xfrm>
            <a:off x="5551580" y="773801"/>
            <a:ext cx="2094128" cy="663084"/>
            <a:chOff x="18038316" y="816086"/>
            <a:chExt cx="2088609" cy="664782"/>
          </a:xfrm>
        </xdr:grpSpPr>
        <xdr:sp macro="" textlink="">
          <xdr:nvSpPr>
            <xdr:cNvPr id="32" name="Rectangle: Rounded Corners 31">
              <a:extLst>
                <a:ext uri="{FF2B5EF4-FFF2-40B4-BE49-F238E27FC236}">
                  <a16:creationId xmlns:a16="http://schemas.microsoft.com/office/drawing/2014/main" id="{FE2FBB5F-DDE4-02E3-75F4-91AF0ECA174F}"/>
                </a:ext>
              </a:extLst>
            </xdr:cNvPr>
            <xdr:cNvSpPr/>
          </xdr:nvSpPr>
          <xdr:spPr>
            <a:xfrm>
              <a:off x="18038316" y="816086"/>
              <a:ext cx="2088609" cy="6647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96626C76-E7E3-FBE1-F0B6-38BA90984B0F}"/>
                </a:ext>
              </a:extLst>
            </xdr:cNvPr>
            <xdr:cNvSpPr txBox="1"/>
          </xdr:nvSpPr>
          <xdr:spPr>
            <a:xfrm>
              <a:off x="18752111" y="846978"/>
              <a:ext cx="1280376" cy="242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TOTAL RESIGNED</a:t>
              </a:r>
            </a:p>
          </xdr:txBody>
        </xdr:sp>
        <xdr:sp macro="" textlink="Analysis!I7">
          <xdr:nvSpPr>
            <xdr:cNvPr id="35" name="TextBox 34">
              <a:extLst>
                <a:ext uri="{FF2B5EF4-FFF2-40B4-BE49-F238E27FC236}">
                  <a16:creationId xmlns:a16="http://schemas.microsoft.com/office/drawing/2014/main" id="{54B36200-0C66-263E-D3BA-78C97E3235A0}"/>
                </a:ext>
              </a:extLst>
            </xdr:cNvPr>
            <xdr:cNvSpPr txBox="1"/>
          </xdr:nvSpPr>
          <xdr:spPr>
            <a:xfrm>
              <a:off x="18994991" y="1038049"/>
              <a:ext cx="783062" cy="3670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35C067-3072-4443-B442-2040B6E699A9}" type="TxLink">
                <a:rPr lang="en-US" sz="2400" b="1" i="0" u="none" strike="noStrike">
                  <a:solidFill>
                    <a:srgbClr val="000000"/>
                  </a:solidFill>
                  <a:latin typeface="Calibri"/>
                  <a:ea typeface="Calibri"/>
                  <a:cs typeface="Calibri"/>
                </a:rPr>
                <a:pPr/>
                <a:t>237</a:t>
              </a:fld>
              <a:endParaRPr lang="en-US" sz="4800" b="1"/>
            </a:p>
          </xdr:txBody>
        </xdr:sp>
      </xdr:grpSp>
      <xdr:pic>
        <xdr:nvPicPr>
          <xdr:cNvPr id="17" name="Picture 16" descr="Resign Icons - Free SVG &amp; PNG Resign Images - Noun Project">
            <a:extLst>
              <a:ext uri="{FF2B5EF4-FFF2-40B4-BE49-F238E27FC236}">
                <a16:creationId xmlns:a16="http://schemas.microsoft.com/office/drawing/2014/main" id="{0467E5D1-CCB1-070F-4FF9-726BCF213E1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90058" y="845311"/>
            <a:ext cx="520674" cy="52220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420679</xdr:colOff>
      <xdr:row>2</xdr:row>
      <xdr:rowOff>123053</xdr:rowOff>
    </xdr:from>
    <xdr:to>
      <xdr:col>8</xdr:col>
      <xdr:colOff>573492</xdr:colOff>
      <xdr:row>5</xdr:row>
      <xdr:rowOff>130235</xdr:rowOff>
    </xdr:to>
    <xdr:grpSp>
      <xdr:nvGrpSpPr>
        <xdr:cNvPr id="47" name="Group 46">
          <a:extLst>
            <a:ext uri="{FF2B5EF4-FFF2-40B4-BE49-F238E27FC236}">
              <a16:creationId xmlns:a16="http://schemas.microsoft.com/office/drawing/2014/main" id="{FBB1E306-0CC4-7741-11CD-5E253F3AD55F}"/>
            </a:ext>
          </a:extLst>
        </xdr:cNvPr>
        <xdr:cNvGrpSpPr/>
      </xdr:nvGrpSpPr>
      <xdr:grpSpPr>
        <a:xfrm>
          <a:off x="7252403" y="878484"/>
          <a:ext cx="2082448" cy="664079"/>
          <a:chOff x="8189723" y="783682"/>
          <a:chExt cx="2084689" cy="663084"/>
        </a:xfrm>
      </xdr:grpSpPr>
      <xdr:grpSp>
        <xdr:nvGrpSpPr>
          <xdr:cNvPr id="36" name="Group 35">
            <a:extLst>
              <a:ext uri="{FF2B5EF4-FFF2-40B4-BE49-F238E27FC236}">
                <a16:creationId xmlns:a16="http://schemas.microsoft.com/office/drawing/2014/main" id="{88150779-4D31-40E3-B8B0-496B3B751005}"/>
              </a:ext>
            </a:extLst>
          </xdr:cNvPr>
          <xdr:cNvGrpSpPr/>
        </xdr:nvGrpSpPr>
        <xdr:grpSpPr>
          <a:xfrm>
            <a:off x="8189723" y="783682"/>
            <a:ext cx="2084689" cy="663084"/>
            <a:chOff x="18038316" y="816086"/>
            <a:chExt cx="2088609" cy="664782"/>
          </a:xfrm>
        </xdr:grpSpPr>
        <xdr:sp macro="" textlink="">
          <xdr:nvSpPr>
            <xdr:cNvPr id="37" name="Rectangle: Rounded Corners 36">
              <a:extLst>
                <a:ext uri="{FF2B5EF4-FFF2-40B4-BE49-F238E27FC236}">
                  <a16:creationId xmlns:a16="http://schemas.microsoft.com/office/drawing/2014/main" id="{173669D9-00E4-FAEF-2350-3A7F0970124B}"/>
                </a:ext>
              </a:extLst>
            </xdr:cNvPr>
            <xdr:cNvSpPr/>
          </xdr:nvSpPr>
          <xdr:spPr>
            <a:xfrm>
              <a:off x="18038316" y="816086"/>
              <a:ext cx="2088609" cy="6647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E35ADF5F-1605-3E85-A151-BF40631C3020}"/>
                </a:ext>
              </a:extLst>
            </xdr:cNvPr>
            <xdr:cNvSpPr txBox="1"/>
          </xdr:nvSpPr>
          <xdr:spPr>
            <a:xfrm>
              <a:off x="18752111" y="846978"/>
              <a:ext cx="1280376" cy="242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ACTIVE</a:t>
              </a:r>
              <a:r>
                <a:rPr lang="en-US" sz="1000" b="1" baseline="0"/>
                <a:t> EMPLOYEE</a:t>
              </a:r>
              <a:endParaRPr lang="en-US" sz="1000" b="1"/>
            </a:p>
          </xdr:txBody>
        </xdr:sp>
        <xdr:sp macro="" textlink="Analysis!I8">
          <xdr:nvSpPr>
            <xdr:cNvPr id="40" name="TextBox 39">
              <a:extLst>
                <a:ext uri="{FF2B5EF4-FFF2-40B4-BE49-F238E27FC236}">
                  <a16:creationId xmlns:a16="http://schemas.microsoft.com/office/drawing/2014/main" id="{53A28488-ACBB-A0F7-D7B1-0B5C4FF1B6F3}"/>
                </a:ext>
              </a:extLst>
            </xdr:cNvPr>
            <xdr:cNvSpPr txBox="1"/>
          </xdr:nvSpPr>
          <xdr:spPr>
            <a:xfrm>
              <a:off x="18938704" y="1038049"/>
              <a:ext cx="858352" cy="3536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3F3582-D1A9-42B2-9961-B3847A8EB75F}" type="TxLink">
                <a:rPr lang="en-US" sz="2400" b="1" i="0" u="none" strike="noStrike">
                  <a:solidFill>
                    <a:srgbClr val="000000"/>
                  </a:solidFill>
                  <a:latin typeface="Calibri"/>
                  <a:ea typeface="Calibri"/>
                  <a:cs typeface="Calibri"/>
                </a:rPr>
                <a:pPr/>
                <a:t>1233</a:t>
              </a:fld>
              <a:endParaRPr lang="en-US" sz="4800" b="1"/>
            </a:p>
          </xdr:txBody>
        </xdr:sp>
      </xdr:grpSp>
      <xdr:pic>
        <xdr:nvPicPr>
          <xdr:cNvPr id="14" name="Picture 13" descr="Employee Icon PNG Images, Vectors Free Download - Pngtree">
            <a:extLst>
              <a:ext uri="{FF2B5EF4-FFF2-40B4-BE49-F238E27FC236}">
                <a16:creationId xmlns:a16="http://schemas.microsoft.com/office/drawing/2014/main" id="{2A48336D-073B-4ABD-C8EF-F820371DD8E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255591" y="810243"/>
            <a:ext cx="623176" cy="62499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865484</xdr:colOff>
      <xdr:row>2</xdr:row>
      <xdr:rowOff>124816</xdr:rowOff>
    </xdr:from>
    <xdr:to>
      <xdr:col>11</xdr:col>
      <xdr:colOff>127104</xdr:colOff>
      <xdr:row>5</xdr:row>
      <xdr:rowOff>131751</xdr:rowOff>
    </xdr:to>
    <xdr:grpSp>
      <xdr:nvGrpSpPr>
        <xdr:cNvPr id="48" name="Group 47">
          <a:extLst>
            <a:ext uri="{FF2B5EF4-FFF2-40B4-BE49-F238E27FC236}">
              <a16:creationId xmlns:a16="http://schemas.microsoft.com/office/drawing/2014/main" id="{BFE08C4B-500C-9798-E1F2-C973A6E148FF}"/>
            </a:ext>
          </a:extLst>
        </xdr:cNvPr>
        <xdr:cNvGrpSpPr/>
      </xdr:nvGrpSpPr>
      <xdr:grpSpPr>
        <a:xfrm>
          <a:off x="9626843" y="880247"/>
          <a:ext cx="2086275" cy="663832"/>
          <a:chOff x="10776163" y="775743"/>
          <a:chExt cx="2089262" cy="663084"/>
        </a:xfrm>
      </xdr:grpSpPr>
      <xdr:grpSp>
        <xdr:nvGrpSpPr>
          <xdr:cNvPr id="41" name="Group 40">
            <a:extLst>
              <a:ext uri="{FF2B5EF4-FFF2-40B4-BE49-F238E27FC236}">
                <a16:creationId xmlns:a16="http://schemas.microsoft.com/office/drawing/2014/main" id="{61DBBB76-4025-4E80-8997-039B6A3FB9D4}"/>
              </a:ext>
            </a:extLst>
          </xdr:cNvPr>
          <xdr:cNvGrpSpPr/>
        </xdr:nvGrpSpPr>
        <xdr:grpSpPr>
          <a:xfrm>
            <a:off x="10776163" y="775743"/>
            <a:ext cx="2089262" cy="663084"/>
            <a:chOff x="18038316" y="816086"/>
            <a:chExt cx="2088609" cy="664782"/>
          </a:xfrm>
        </xdr:grpSpPr>
        <xdr:sp macro="" textlink="">
          <xdr:nvSpPr>
            <xdr:cNvPr id="42" name="Rectangle: Rounded Corners 41">
              <a:extLst>
                <a:ext uri="{FF2B5EF4-FFF2-40B4-BE49-F238E27FC236}">
                  <a16:creationId xmlns:a16="http://schemas.microsoft.com/office/drawing/2014/main" id="{00DF8871-AAE0-C517-A64C-00490F008BFC}"/>
                </a:ext>
              </a:extLst>
            </xdr:cNvPr>
            <xdr:cNvSpPr/>
          </xdr:nvSpPr>
          <xdr:spPr>
            <a:xfrm>
              <a:off x="18038316" y="816086"/>
              <a:ext cx="2088609" cy="6647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A7BC3565-D07D-432B-A72A-AB60A8294080}"/>
                </a:ext>
              </a:extLst>
            </xdr:cNvPr>
            <xdr:cNvSpPr txBox="1"/>
          </xdr:nvSpPr>
          <xdr:spPr>
            <a:xfrm>
              <a:off x="18752111" y="846978"/>
              <a:ext cx="1280376" cy="242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ATTRITION RATE</a:t>
              </a:r>
            </a:p>
          </xdr:txBody>
        </xdr:sp>
        <xdr:sp macro="" textlink="Analysis!I9">
          <xdr:nvSpPr>
            <xdr:cNvPr id="45" name="TextBox 44">
              <a:extLst>
                <a:ext uri="{FF2B5EF4-FFF2-40B4-BE49-F238E27FC236}">
                  <a16:creationId xmlns:a16="http://schemas.microsoft.com/office/drawing/2014/main" id="{9613591E-3286-9F6E-2470-FD691E3E97DF}"/>
                </a:ext>
              </a:extLst>
            </xdr:cNvPr>
            <xdr:cNvSpPr txBox="1"/>
          </xdr:nvSpPr>
          <xdr:spPr>
            <a:xfrm>
              <a:off x="18957490" y="1041798"/>
              <a:ext cx="783062" cy="340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E4CDDE-5405-4E46-AB6E-108DAD393D05}" type="TxLink">
                <a:rPr lang="en-US" sz="2400" b="1" i="0" u="none" strike="noStrike">
                  <a:solidFill>
                    <a:srgbClr val="000000"/>
                  </a:solidFill>
                  <a:latin typeface="Calibri"/>
                  <a:ea typeface="Calibri"/>
                  <a:cs typeface="Calibri"/>
                </a:rPr>
                <a:pPr/>
                <a:t>16%</a:t>
              </a:fld>
              <a:endParaRPr lang="en-US" sz="4800" b="1"/>
            </a:p>
          </xdr:txBody>
        </xdr:sp>
      </xdr:grpSp>
      <xdr:pic>
        <xdr:nvPicPr>
          <xdr:cNvPr id="18" name="Picture 17" descr="Attrition Vector Icon Design 20710893 Vector Art at Vecteezy">
            <a:extLst>
              <a:ext uri="{FF2B5EF4-FFF2-40B4-BE49-F238E27FC236}">
                <a16:creationId xmlns:a16="http://schemas.microsoft.com/office/drawing/2014/main" id="{5715FEDC-764B-1F89-73C9-B6C357E82D8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894053" y="872166"/>
            <a:ext cx="485431" cy="48669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16</xdr:col>
      <xdr:colOff>23437</xdr:colOff>
      <xdr:row>2</xdr:row>
      <xdr:rowOff>100580</xdr:rowOff>
    </xdr:from>
    <xdr:to>
      <xdr:col>22</xdr:col>
      <xdr:colOff>155511</xdr:colOff>
      <xdr:row>21</xdr:row>
      <xdr:rowOff>128783</xdr:rowOff>
    </xdr:to>
    <xdr:grpSp>
      <xdr:nvGrpSpPr>
        <xdr:cNvPr id="19" name="Group 18">
          <a:extLst>
            <a:ext uri="{FF2B5EF4-FFF2-40B4-BE49-F238E27FC236}">
              <a16:creationId xmlns:a16="http://schemas.microsoft.com/office/drawing/2014/main" id="{638CE7F6-AD1B-967C-2E08-3E680DD4F9A8}"/>
            </a:ext>
          </a:extLst>
        </xdr:cNvPr>
        <xdr:cNvGrpSpPr/>
      </xdr:nvGrpSpPr>
      <xdr:grpSpPr>
        <a:xfrm>
          <a:off x="14852877" y="856011"/>
          <a:ext cx="4089875" cy="3575444"/>
          <a:chOff x="14819312" y="1206501"/>
          <a:chExt cx="4103688" cy="3619500"/>
        </a:xfrm>
      </xdr:grpSpPr>
      <xdr:grpSp>
        <xdr:nvGrpSpPr>
          <xdr:cNvPr id="58" name="Group 57">
            <a:extLst>
              <a:ext uri="{FF2B5EF4-FFF2-40B4-BE49-F238E27FC236}">
                <a16:creationId xmlns:a16="http://schemas.microsoft.com/office/drawing/2014/main" id="{3B69F4E8-D1B9-E747-99EE-84CCE0EE46F1}"/>
              </a:ext>
            </a:extLst>
          </xdr:cNvPr>
          <xdr:cNvGrpSpPr/>
        </xdr:nvGrpSpPr>
        <xdr:grpSpPr>
          <a:xfrm>
            <a:off x="14989001" y="1673067"/>
            <a:ext cx="3848609" cy="2622219"/>
            <a:chOff x="11009873" y="7628768"/>
            <a:chExt cx="3844488" cy="2624694"/>
          </a:xfrm>
        </xdr:grpSpPr>
        <xdr:sp macro="" textlink="">
          <xdr:nvSpPr>
            <xdr:cNvPr id="51" name="TextBox 50">
              <a:extLst>
                <a:ext uri="{FF2B5EF4-FFF2-40B4-BE49-F238E27FC236}">
                  <a16:creationId xmlns:a16="http://schemas.microsoft.com/office/drawing/2014/main" id="{1F20455F-1C47-818D-DF64-C9B09425A3F2}"/>
                </a:ext>
              </a:extLst>
            </xdr:cNvPr>
            <xdr:cNvSpPr txBox="1"/>
          </xdr:nvSpPr>
          <xdr:spPr>
            <a:xfrm>
              <a:off x="11244098" y="7628768"/>
              <a:ext cx="3610263" cy="2624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Adult employees (30-40 years) represented</a:t>
              </a:r>
              <a:r>
                <a:rPr lang="en-US" sz="1100" baseline="0"/>
                <a:t> the largest proportion of attrition.</a:t>
              </a:r>
            </a:p>
            <a:p>
              <a:endParaRPr lang="en-US" sz="1100" baseline="0"/>
            </a:p>
            <a:p>
              <a:r>
                <a:rPr lang="en-US" sz="1100" baseline="0"/>
                <a:t>Reserch &amp; Development recorded the highest number of employee resignations</a:t>
              </a:r>
            </a:p>
            <a:p>
              <a:endParaRPr lang="en-US" sz="1100" baseline="0"/>
            </a:p>
            <a:p>
              <a:r>
                <a:rPr lang="en-US" sz="1100" baseline="0"/>
                <a:t>Laboratory Technicians experienced the highest attrition among job roles</a:t>
              </a:r>
            </a:p>
            <a:p>
              <a:endParaRPr lang="en-US" sz="1100" baseline="0"/>
            </a:p>
            <a:p>
              <a:r>
                <a:rPr lang="en-US" sz="1100" baseline="0"/>
                <a:t>Most resignations came from employees in the low-income category</a:t>
              </a:r>
            </a:p>
            <a:p>
              <a:endParaRPr lang="en-US" sz="1100" baseline="0"/>
            </a:p>
            <a:p>
              <a:r>
                <a:rPr lang="en-US" sz="1100" baseline="0"/>
                <a:t>Employees with less than one year of tenure were more likely to leave the company</a:t>
              </a:r>
              <a:endParaRPr lang="en-US" sz="1100"/>
            </a:p>
          </xdr:txBody>
        </xdr:sp>
        <xdr:pic>
          <xdr:nvPicPr>
            <xdr:cNvPr id="53" name="Graphic 52" descr="Clipboard with solid fill">
              <a:extLst>
                <a:ext uri="{FF2B5EF4-FFF2-40B4-BE49-F238E27FC236}">
                  <a16:creationId xmlns:a16="http://schemas.microsoft.com/office/drawing/2014/main" id="{4DEA1373-193B-16FE-67BB-5FC66C5E63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09873" y="7677728"/>
              <a:ext cx="328725" cy="320570"/>
            </a:xfrm>
            <a:prstGeom prst="rect">
              <a:avLst/>
            </a:prstGeom>
          </xdr:spPr>
        </xdr:pic>
        <xdr:pic>
          <xdr:nvPicPr>
            <xdr:cNvPr id="54" name="Graphic 53" descr="Clipboard with solid fill">
              <a:extLst>
                <a:ext uri="{FF2B5EF4-FFF2-40B4-BE49-F238E27FC236}">
                  <a16:creationId xmlns:a16="http://schemas.microsoft.com/office/drawing/2014/main" id="{7A152E7D-5244-4326-89EA-61D3D8E9771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16288" y="8187651"/>
              <a:ext cx="328725" cy="320570"/>
            </a:xfrm>
            <a:prstGeom prst="rect">
              <a:avLst/>
            </a:prstGeom>
          </xdr:spPr>
        </xdr:pic>
        <xdr:pic>
          <xdr:nvPicPr>
            <xdr:cNvPr id="55" name="Graphic 54" descr="Clipboard with solid fill">
              <a:extLst>
                <a:ext uri="{FF2B5EF4-FFF2-40B4-BE49-F238E27FC236}">
                  <a16:creationId xmlns:a16="http://schemas.microsoft.com/office/drawing/2014/main" id="{1D461C37-A7DB-4B95-842D-6F6480982D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16288" y="8712007"/>
              <a:ext cx="328725" cy="320570"/>
            </a:xfrm>
            <a:prstGeom prst="rect">
              <a:avLst/>
            </a:prstGeom>
          </xdr:spPr>
        </xdr:pic>
        <xdr:pic>
          <xdr:nvPicPr>
            <xdr:cNvPr id="56" name="Graphic 55" descr="Clipboard with solid fill">
              <a:extLst>
                <a:ext uri="{FF2B5EF4-FFF2-40B4-BE49-F238E27FC236}">
                  <a16:creationId xmlns:a16="http://schemas.microsoft.com/office/drawing/2014/main" id="{1407506E-C512-4CC9-B7D1-FA3DA5D1326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21098" y="9207501"/>
              <a:ext cx="328725" cy="320570"/>
            </a:xfrm>
            <a:prstGeom prst="rect">
              <a:avLst/>
            </a:prstGeom>
          </xdr:spPr>
        </xdr:pic>
        <xdr:pic>
          <xdr:nvPicPr>
            <xdr:cNvPr id="57" name="Graphic 56" descr="Clipboard with solid fill">
              <a:extLst>
                <a:ext uri="{FF2B5EF4-FFF2-40B4-BE49-F238E27FC236}">
                  <a16:creationId xmlns:a16="http://schemas.microsoft.com/office/drawing/2014/main" id="{9F584187-6BE5-4B1F-A589-E24D1EF8253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21099" y="9727046"/>
              <a:ext cx="328725" cy="320570"/>
            </a:xfrm>
            <a:prstGeom prst="rect">
              <a:avLst/>
            </a:prstGeom>
          </xdr:spPr>
        </xdr:pic>
      </xdr:grpSp>
      <xdr:sp macro="" textlink="">
        <xdr:nvSpPr>
          <xdr:cNvPr id="15" name="Rectangle: Rounded Corners 14">
            <a:extLst>
              <a:ext uri="{FF2B5EF4-FFF2-40B4-BE49-F238E27FC236}">
                <a16:creationId xmlns:a16="http://schemas.microsoft.com/office/drawing/2014/main" id="{B65CC42F-491D-60DB-622D-BFBF5B54D3C3}"/>
              </a:ext>
            </a:extLst>
          </xdr:cNvPr>
          <xdr:cNvSpPr/>
        </xdr:nvSpPr>
        <xdr:spPr>
          <a:xfrm>
            <a:off x="14819312" y="1206501"/>
            <a:ext cx="4103688" cy="3619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0.82379</cdr:x>
      <cdr:y>0.41177</cdr:y>
    </cdr:from>
    <cdr:to>
      <cdr:x>1</cdr:x>
      <cdr:y>0.75276</cdr:y>
    </cdr:to>
    <cdr:sp macro="" textlink="">
      <cdr:nvSpPr>
        <cdr:cNvPr id="2" name="TextBox 7">
          <a:extLst xmlns:a="http://schemas.openxmlformats.org/drawingml/2006/main">
            <a:ext uri="{FF2B5EF4-FFF2-40B4-BE49-F238E27FC236}">
              <a16:creationId xmlns:a16="http://schemas.microsoft.com/office/drawing/2014/main" id="{D8C83503-8EEE-D756-DB2C-7340EC34638B}"/>
            </a:ext>
          </a:extLst>
        </cdr:cNvPr>
        <cdr:cNvSpPr txBox="1"/>
      </cdr:nvSpPr>
      <cdr:spPr>
        <a:xfrm xmlns:a="http://schemas.openxmlformats.org/drawingml/2006/main">
          <a:off x="2832574" y="1165549"/>
          <a:ext cx="605892" cy="9652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900"/>
            <a:t>Male</a:t>
          </a:r>
        </a:p>
        <a:p xmlns:a="http://schemas.openxmlformats.org/drawingml/2006/main">
          <a:r>
            <a:rPr lang="en-US" sz="900"/>
            <a:t>150</a:t>
          </a:r>
          <a:r>
            <a:rPr lang="en-US" sz="900" baseline="0"/>
            <a:t> (63%)</a:t>
          </a:r>
        </a:p>
        <a:p xmlns:a="http://schemas.openxmlformats.org/drawingml/2006/main">
          <a:r>
            <a:rPr lang="en-US" sz="900" baseline="0"/>
            <a:t>Female</a:t>
          </a:r>
        </a:p>
        <a:p xmlns:a="http://schemas.openxmlformats.org/drawingml/2006/main">
          <a:r>
            <a:rPr lang="en-US" sz="900" baseline="0"/>
            <a:t>87 (37%)</a:t>
          </a:r>
        </a:p>
      </cdr:txBody>
    </cdr:sp>
  </cdr:relSizeAnchor>
  <cdr:relSizeAnchor xmlns:cdr="http://schemas.openxmlformats.org/drawingml/2006/chartDrawing">
    <cdr:from>
      <cdr:x>0.81307</cdr:x>
      <cdr:y>0.43842</cdr:y>
    </cdr:from>
    <cdr:to>
      <cdr:x>0.83639</cdr:x>
      <cdr:y>0.46569</cdr:y>
    </cdr:to>
    <cdr:sp macro="" textlink="">
      <cdr:nvSpPr>
        <cdr:cNvPr id="3" name="Flowchart: Connector 2">
          <a:extLst xmlns:a="http://schemas.openxmlformats.org/drawingml/2006/main">
            <a:ext uri="{FF2B5EF4-FFF2-40B4-BE49-F238E27FC236}">
              <a16:creationId xmlns:a16="http://schemas.microsoft.com/office/drawing/2014/main" id="{2348D2B1-9652-45F3-A03E-AE0FCB613880}"/>
            </a:ext>
          </a:extLst>
        </cdr:cNvPr>
        <cdr:cNvSpPr/>
      </cdr:nvSpPr>
      <cdr:spPr>
        <a:xfrm xmlns:a="http://schemas.openxmlformats.org/drawingml/2006/main">
          <a:off x="3162219" y="1235291"/>
          <a:ext cx="90697" cy="76836"/>
        </a:xfrm>
        <a:prstGeom xmlns:a="http://schemas.openxmlformats.org/drawingml/2006/main" prst="flowChartConnector">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0.81396</cdr:x>
      <cdr:y>0.54026</cdr:y>
    </cdr:from>
    <cdr:to>
      <cdr:x>0.83728</cdr:x>
      <cdr:y>0.5685</cdr:y>
    </cdr:to>
    <cdr:sp macro="" textlink="">
      <cdr:nvSpPr>
        <cdr:cNvPr id="4" name="Flowchart: Connector 3">
          <a:extLst xmlns:a="http://schemas.openxmlformats.org/drawingml/2006/main">
            <a:ext uri="{FF2B5EF4-FFF2-40B4-BE49-F238E27FC236}">
              <a16:creationId xmlns:a16="http://schemas.microsoft.com/office/drawing/2014/main" id="{DE525AF2-8A02-440B-89D8-9CA51587E45A}"/>
            </a:ext>
          </a:extLst>
        </cdr:cNvPr>
        <cdr:cNvSpPr/>
      </cdr:nvSpPr>
      <cdr:spPr>
        <a:xfrm xmlns:a="http://schemas.openxmlformats.org/drawingml/2006/main">
          <a:off x="3165663" y="1522233"/>
          <a:ext cx="90697" cy="79569"/>
        </a:xfrm>
        <a:prstGeom xmlns:a="http://schemas.openxmlformats.org/drawingml/2006/main" prst="flowChartConnector">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8.450201388892" createdVersion="8" refreshedVersion="8" minRefreshableVersion="3" recordCount="1470" xr:uid="{275079DA-3931-46BC-A2EF-2F97A9911248}">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3">
        <s v="Senior"/>
        <s v="Adult"/>
        <s v="Young"/>
      </sharedItems>
    </cacheField>
    <cacheField name="Income Category" numFmtId="0">
      <sharedItems count="3">
        <s v="Medium"/>
        <s v="Low"/>
        <s v="High"/>
      </sharedItems>
    </cacheField>
    <cacheField name="Attrition Status" numFmtId="0">
      <sharedItems/>
    </cacheField>
    <cacheField name="Years at Company Group" numFmtId="0">
      <sharedItems count="6">
        <s v="&gt;5 Years"/>
        <s v="0-1 Year"/>
        <s v="1-2 Years"/>
        <s v="4-5 Years"/>
        <s v="3-4 Years"/>
        <s v="2-3 Years"/>
      </sharedItems>
    </cacheField>
  </cacheFields>
  <extLst>
    <ext xmlns:x14="http://schemas.microsoft.com/office/spreadsheetml/2009/9/main" uri="{725AE2AE-9491-48be-B2B4-4EB974FC3084}">
      <x14:pivotCacheDefinition pivotCacheId="114490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 Rarely"/>
    <n v="1102"/>
    <x v="0"/>
    <n v="1"/>
    <n v="2"/>
    <s v="Life Sciences"/>
    <n v="1"/>
    <x v="0"/>
    <n v="2"/>
    <x v="0"/>
    <n v="94"/>
    <n v="3"/>
    <n v="2"/>
    <x v="0"/>
    <n v="4"/>
    <s v="Single"/>
    <n v="5993"/>
    <n v="19479"/>
    <n v="8"/>
    <s v="Y"/>
    <s v="Yes"/>
    <n v="11"/>
    <n v="3"/>
    <n v="1"/>
    <n v="80"/>
    <n v="0"/>
    <n v="8"/>
    <n v="0"/>
    <n v="1"/>
    <x v="0"/>
    <n v="4"/>
    <n v="0"/>
    <n v="5"/>
    <x v="0"/>
    <x v="0"/>
    <s v="Resigned"/>
    <x v="0"/>
  </r>
  <r>
    <n v="49"/>
    <x v="1"/>
    <s v="Travel Frequently"/>
    <n v="279"/>
    <x v="1"/>
    <n v="8"/>
    <n v="1"/>
    <s v="Life Sciences"/>
    <n v="1"/>
    <x v="1"/>
    <n v="3"/>
    <x v="1"/>
    <n v="61"/>
    <n v="2"/>
    <n v="2"/>
    <x v="1"/>
    <n v="2"/>
    <s v="Married"/>
    <n v="5130"/>
    <n v="24907"/>
    <n v="1"/>
    <s v="Y"/>
    <s v="No"/>
    <n v="23"/>
    <n v="4"/>
    <n v="4"/>
    <n v="80"/>
    <n v="1"/>
    <n v="10"/>
    <n v="3"/>
    <n v="3"/>
    <x v="1"/>
    <n v="7"/>
    <n v="1"/>
    <n v="7"/>
    <x v="0"/>
    <x v="0"/>
    <s v="Active"/>
    <x v="0"/>
  </r>
  <r>
    <n v="37"/>
    <x v="0"/>
    <s v="Travel Rarely"/>
    <n v="1373"/>
    <x v="1"/>
    <n v="2"/>
    <n v="2"/>
    <s v="Other"/>
    <n v="1"/>
    <x v="2"/>
    <n v="4"/>
    <x v="1"/>
    <n v="92"/>
    <n v="2"/>
    <n v="1"/>
    <x v="2"/>
    <n v="3"/>
    <s v="Single"/>
    <n v="2090"/>
    <n v="2396"/>
    <n v="6"/>
    <s v="Y"/>
    <s v="Yes"/>
    <n v="15"/>
    <n v="3"/>
    <n v="2"/>
    <n v="80"/>
    <n v="0"/>
    <n v="7"/>
    <n v="3"/>
    <n v="3"/>
    <x v="2"/>
    <n v="0"/>
    <n v="0"/>
    <n v="0"/>
    <x v="1"/>
    <x v="1"/>
    <s v="Resigned"/>
    <x v="1"/>
  </r>
  <r>
    <n v="33"/>
    <x v="1"/>
    <s v="Travel Frequently"/>
    <n v="1392"/>
    <x v="1"/>
    <n v="3"/>
    <n v="4"/>
    <s v="Life Sciences"/>
    <n v="1"/>
    <x v="3"/>
    <n v="4"/>
    <x v="0"/>
    <n v="56"/>
    <n v="3"/>
    <n v="1"/>
    <x v="1"/>
    <n v="3"/>
    <s v="Married"/>
    <n v="2909"/>
    <n v="23159"/>
    <n v="1"/>
    <s v="Y"/>
    <s v="Yes"/>
    <n v="11"/>
    <n v="3"/>
    <n v="3"/>
    <n v="80"/>
    <n v="0"/>
    <n v="8"/>
    <n v="3"/>
    <n v="3"/>
    <x v="3"/>
    <n v="7"/>
    <n v="3"/>
    <n v="0"/>
    <x v="1"/>
    <x v="1"/>
    <s v="Active"/>
    <x v="0"/>
  </r>
  <r>
    <n v="27"/>
    <x v="1"/>
    <s v="Travel Rarely"/>
    <n v="591"/>
    <x v="1"/>
    <n v="2"/>
    <n v="1"/>
    <s v="Medical"/>
    <n v="1"/>
    <x v="4"/>
    <n v="1"/>
    <x v="1"/>
    <n v="40"/>
    <n v="3"/>
    <n v="1"/>
    <x v="2"/>
    <n v="2"/>
    <s v="Married"/>
    <n v="3468"/>
    <n v="16632"/>
    <n v="9"/>
    <s v="Y"/>
    <s v="No"/>
    <n v="12"/>
    <n v="3"/>
    <n v="4"/>
    <n v="80"/>
    <n v="1"/>
    <n v="6"/>
    <n v="3"/>
    <n v="3"/>
    <x v="4"/>
    <n v="2"/>
    <n v="2"/>
    <n v="2"/>
    <x v="2"/>
    <x v="1"/>
    <s v="Active"/>
    <x v="2"/>
  </r>
  <r>
    <n v="32"/>
    <x v="1"/>
    <s v="Travel Frequently"/>
    <n v="1005"/>
    <x v="1"/>
    <n v="2"/>
    <n v="2"/>
    <s v="Life Sciences"/>
    <n v="1"/>
    <x v="5"/>
    <n v="4"/>
    <x v="1"/>
    <n v="79"/>
    <n v="3"/>
    <n v="1"/>
    <x v="2"/>
    <n v="4"/>
    <s v="Single"/>
    <n v="3068"/>
    <n v="11864"/>
    <n v="0"/>
    <s v="Y"/>
    <s v="No"/>
    <n v="13"/>
    <n v="3"/>
    <n v="3"/>
    <n v="80"/>
    <n v="0"/>
    <n v="8"/>
    <n v="2"/>
    <n v="2"/>
    <x v="5"/>
    <n v="7"/>
    <n v="3"/>
    <n v="6"/>
    <x v="1"/>
    <x v="1"/>
    <s v="Active"/>
    <x v="0"/>
  </r>
  <r>
    <n v="59"/>
    <x v="1"/>
    <s v="Travel Rarely"/>
    <n v="1324"/>
    <x v="1"/>
    <n v="3"/>
    <n v="3"/>
    <s v="Medical"/>
    <n v="1"/>
    <x v="6"/>
    <n v="3"/>
    <x v="0"/>
    <n v="81"/>
    <n v="4"/>
    <n v="1"/>
    <x v="2"/>
    <n v="1"/>
    <s v="Married"/>
    <n v="2670"/>
    <n v="9964"/>
    <n v="4"/>
    <s v="Y"/>
    <s v="Yes"/>
    <n v="20"/>
    <n v="4"/>
    <n v="1"/>
    <n v="80"/>
    <n v="3"/>
    <n v="12"/>
    <n v="3"/>
    <n v="2"/>
    <x v="6"/>
    <n v="0"/>
    <n v="0"/>
    <n v="0"/>
    <x v="0"/>
    <x v="1"/>
    <s v="Active"/>
    <x v="1"/>
  </r>
  <r>
    <n v="30"/>
    <x v="1"/>
    <s v="Travel Rarely"/>
    <n v="1358"/>
    <x v="1"/>
    <n v="24"/>
    <n v="1"/>
    <s v="Life Sciences"/>
    <n v="1"/>
    <x v="7"/>
    <n v="4"/>
    <x v="1"/>
    <n v="67"/>
    <n v="3"/>
    <n v="1"/>
    <x v="2"/>
    <n v="3"/>
    <s v="Divorced"/>
    <n v="2693"/>
    <n v="13335"/>
    <n v="1"/>
    <s v="Y"/>
    <s v="No"/>
    <n v="22"/>
    <n v="4"/>
    <n v="2"/>
    <n v="80"/>
    <n v="1"/>
    <n v="1"/>
    <n v="2"/>
    <n v="3"/>
    <x v="6"/>
    <n v="0"/>
    <n v="0"/>
    <n v="0"/>
    <x v="1"/>
    <x v="1"/>
    <s v="Active"/>
    <x v="1"/>
  </r>
  <r>
    <n v="38"/>
    <x v="1"/>
    <s v="Travel Frequently"/>
    <n v="216"/>
    <x v="1"/>
    <n v="23"/>
    <n v="3"/>
    <s v="Life Sciences"/>
    <n v="1"/>
    <x v="8"/>
    <n v="4"/>
    <x v="1"/>
    <n v="44"/>
    <n v="2"/>
    <n v="3"/>
    <x v="3"/>
    <n v="3"/>
    <s v="Single"/>
    <n v="9526"/>
    <n v="8787"/>
    <n v="0"/>
    <s v="Y"/>
    <s v="No"/>
    <n v="21"/>
    <n v="4"/>
    <n v="2"/>
    <n v="80"/>
    <n v="0"/>
    <n v="10"/>
    <n v="2"/>
    <n v="3"/>
    <x v="7"/>
    <n v="7"/>
    <n v="1"/>
    <n v="8"/>
    <x v="1"/>
    <x v="0"/>
    <s v="Active"/>
    <x v="0"/>
  </r>
  <r>
    <n v="36"/>
    <x v="1"/>
    <s v="Travel Rarely"/>
    <n v="1299"/>
    <x v="1"/>
    <n v="27"/>
    <n v="3"/>
    <s v="Medical"/>
    <n v="1"/>
    <x v="9"/>
    <n v="3"/>
    <x v="1"/>
    <n v="94"/>
    <n v="3"/>
    <n v="2"/>
    <x v="4"/>
    <n v="3"/>
    <s v="Married"/>
    <n v="5237"/>
    <n v="16577"/>
    <n v="6"/>
    <s v="Y"/>
    <s v="No"/>
    <n v="13"/>
    <n v="3"/>
    <n v="2"/>
    <n v="80"/>
    <n v="2"/>
    <n v="17"/>
    <n v="3"/>
    <n v="2"/>
    <x v="5"/>
    <n v="7"/>
    <n v="7"/>
    <n v="7"/>
    <x v="1"/>
    <x v="0"/>
    <s v="Active"/>
    <x v="0"/>
  </r>
  <r>
    <n v="35"/>
    <x v="1"/>
    <s v="Travel Rarely"/>
    <n v="809"/>
    <x v="1"/>
    <n v="16"/>
    <n v="3"/>
    <s v="Medical"/>
    <n v="1"/>
    <x v="10"/>
    <n v="1"/>
    <x v="1"/>
    <n v="84"/>
    <n v="4"/>
    <n v="1"/>
    <x v="2"/>
    <n v="2"/>
    <s v="Married"/>
    <n v="2426"/>
    <n v="16479"/>
    <n v="0"/>
    <s v="Y"/>
    <s v="No"/>
    <n v="13"/>
    <n v="3"/>
    <n v="3"/>
    <n v="80"/>
    <n v="1"/>
    <n v="6"/>
    <n v="5"/>
    <n v="3"/>
    <x v="8"/>
    <n v="4"/>
    <n v="0"/>
    <n v="3"/>
    <x v="1"/>
    <x v="1"/>
    <s v="Active"/>
    <x v="3"/>
  </r>
  <r>
    <n v="29"/>
    <x v="1"/>
    <s v="Travel Rarely"/>
    <n v="153"/>
    <x v="1"/>
    <n v="15"/>
    <n v="2"/>
    <s v="Life Sciences"/>
    <n v="1"/>
    <x v="11"/>
    <n v="4"/>
    <x v="0"/>
    <n v="49"/>
    <n v="2"/>
    <n v="2"/>
    <x v="2"/>
    <n v="3"/>
    <s v="Single"/>
    <n v="4193"/>
    <n v="12682"/>
    <n v="0"/>
    <s v="Y"/>
    <s v="Yes"/>
    <n v="12"/>
    <n v="3"/>
    <n v="4"/>
    <n v="80"/>
    <n v="0"/>
    <n v="10"/>
    <n v="3"/>
    <n v="3"/>
    <x v="7"/>
    <n v="5"/>
    <n v="0"/>
    <n v="8"/>
    <x v="2"/>
    <x v="1"/>
    <s v="Active"/>
    <x v="0"/>
  </r>
  <r>
    <n v="31"/>
    <x v="1"/>
    <s v="Travel Rarely"/>
    <n v="670"/>
    <x v="1"/>
    <n v="26"/>
    <n v="1"/>
    <s v="Life Sciences"/>
    <n v="1"/>
    <x v="12"/>
    <n v="1"/>
    <x v="1"/>
    <n v="31"/>
    <n v="3"/>
    <n v="1"/>
    <x v="1"/>
    <n v="3"/>
    <s v="Divorced"/>
    <n v="2911"/>
    <n v="15170"/>
    <n v="1"/>
    <s v="Y"/>
    <s v="No"/>
    <n v="17"/>
    <n v="3"/>
    <n v="4"/>
    <n v="80"/>
    <n v="1"/>
    <n v="5"/>
    <n v="1"/>
    <n v="2"/>
    <x v="8"/>
    <n v="2"/>
    <n v="4"/>
    <n v="3"/>
    <x v="1"/>
    <x v="1"/>
    <s v="Active"/>
    <x v="3"/>
  </r>
  <r>
    <n v="34"/>
    <x v="1"/>
    <s v="Travel Rarely"/>
    <n v="1346"/>
    <x v="1"/>
    <n v="19"/>
    <n v="2"/>
    <s v="Medical"/>
    <n v="1"/>
    <x v="13"/>
    <n v="2"/>
    <x v="1"/>
    <n v="93"/>
    <n v="3"/>
    <n v="1"/>
    <x v="2"/>
    <n v="4"/>
    <s v="Divorced"/>
    <n v="2661"/>
    <n v="8758"/>
    <n v="0"/>
    <s v="Y"/>
    <s v="No"/>
    <n v="11"/>
    <n v="3"/>
    <n v="3"/>
    <n v="80"/>
    <n v="1"/>
    <n v="3"/>
    <n v="2"/>
    <n v="3"/>
    <x v="4"/>
    <n v="2"/>
    <n v="1"/>
    <n v="2"/>
    <x v="1"/>
    <x v="1"/>
    <s v="Active"/>
    <x v="2"/>
  </r>
  <r>
    <n v="28"/>
    <x v="0"/>
    <s v="Travel Rarely"/>
    <n v="103"/>
    <x v="1"/>
    <n v="24"/>
    <n v="3"/>
    <s v="Life Sciences"/>
    <n v="1"/>
    <x v="14"/>
    <n v="3"/>
    <x v="1"/>
    <n v="50"/>
    <n v="2"/>
    <n v="1"/>
    <x v="2"/>
    <n v="3"/>
    <s v="Single"/>
    <n v="2028"/>
    <n v="12947"/>
    <n v="5"/>
    <s v="Y"/>
    <s v="Yes"/>
    <n v="14"/>
    <n v="3"/>
    <n v="2"/>
    <n v="80"/>
    <n v="0"/>
    <n v="6"/>
    <n v="4"/>
    <n v="3"/>
    <x v="9"/>
    <n v="2"/>
    <n v="0"/>
    <n v="3"/>
    <x v="2"/>
    <x v="1"/>
    <s v="Resigned"/>
    <x v="4"/>
  </r>
  <r>
    <n v="29"/>
    <x v="1"/>
    <s v="Travel Rarely"/>
    <n v="1389"/>
    <x v="1"/>
    <n v="21"/>
    <n v="4"/>
    <s v="Life Sciences"/>
    <n v="1"/>
    <x v="15"/>
    <n v="2"/>
    <x v="0"/>
    <n v="51"/>
    <n v="4"/>
    <n v="3"/>
    <x v="3"/>
    <n v="1"/>
    <s v="Divorced"/>
    <n v="9980"/>
    <n v="10195"/>
    <n v="1"/>
    <s v="Y"/>
    <s v="No"/>
    <n v="11"/>
    <n v="3"/>
    <n v="3"/>
    <n v="80"/>
    <n v="1"/>
    <n v="10"/>
    <n v="1"/>
    <n v="3"/>
    <x v="1"/>
    <n v="9"/>
    <n v="8"/>
    <n v="8"/>
    <x v="2"/>
    <x v="0"/>
    <s v="Active"/>
    <x v="0"/>
  </r>
  <r>
    <n v="32"/>
    <x v="1"/>
    <s v="Travel Rarely"/>
    <n v="334"/>
    <x v="1"/>
    <n v="5"/>
    <n v="2"/>
    <s v="Life Sciences"/>
    <n v="1"/>
    <x v="16"/>
    <n v="1"/>
    <x v="1"/>
    <n v="80"/>
    <n v="4"/>
    <n v="1"/>
    <x v="1"/>
    <n v="2"/>
    <s v="Divorced"/>
    <n v="3298"/>
    <n v="15053"/>
    <n v="0"/>
    <s v="Y"/>
    <s v="Yes"/>
    <n v="12"/>
    <n v="3"/>
    <n v="4"/>
    <n v="80"/>
    <n v="2"/>
    <n v="7"/>
    <n v="5"/>
    <n v="2"/>
    <x v="0"/>
    <n v="2"/>
    <n v="0"/>
    <n v="5"/>
    <x v="1"/>
    <x v="1"/>
    <s v="Active"/>
    <x v="0"/>
  </r>
  <r>
    <n v="22"/>
    <x v="1"/>
    <s v="Non Travel"/>
    <n v="1123"/>
    <x v="1"/>
    <n v="16"/>
    <n v="2"/>
    <s v="Medical"/>
    <n v="1"/>
    <x v="17"/>
    <n v="4"/>
    <x v="1"/>
    <n v="96"/>
    <n v="4"/>
    <n v="1"/>
    <x v="2"/>
    <n v="4"/>
    <s v="Divorced"/>
    <n v="2935"/>
    <n v="7324"/>
    <n v="1"/>
    <s v="Y"/>
    <s v="Yes"/>
    <n v="13"/>
    <n v="3"/>
    <n v="2"/>
    <n v="80"/>
    <n v="2"/>
    <n v="1"/>
    <n v="2"/>
    <n v="2"/>
    <x v="6"/>
    <n v="0"/>
    <n v="0"/>
    <n v="0"/>
    <x v="2"/>
    <x v="1"/>
    <s v="Active"/>
    <x v="1"/>
  </r>
  <r>
    <n v="53"/>
    <x v="1"/>
    <s v="Travel Rarely"/>
    <n v="1219"/>
    <x v="0"/>
    <n v="2"/>
    <n v="4"/>
    <s v="Life Sciences"/>
    <n v="1"/>
    <x v="18"/>
    <n v="1"/>
    <x v="0"/>
    <n v="78"/>
    <n v="2"/>
    <n v="4"/>
    <x v="5"/>
    <n v="4"/>
    <s v="Married"/>
    <n v="15427"/>
    <n v="22021"/>
    <n v="2"/>
    <s v="Y"/>
    <s v="No"/>
    <n v="16"/>
    <n v="3"/>
    <n v="3"/>
    <n v="80"/>
    <n v="0"/>
    <n v="31"/>
    <n v="3"/>
    <n v="3"/>
    <x v="10"/>
    <n v="8"/>
    <n v="3"/>
    <n v="7"/>
    <x v="0"/>
    <x v="2"/>
    <s v="Active"/>
    <x v="0"/>
  </r>
  <r>
    <n v="38"/>
    <x v="1"/>
    <s v="Travel Rarely"/>
    <n v="371"/>
    <x v="1"/>
    <n v="2"/>
    <n v="3"/>
    <s v="Life Sciences"/>
    <n v="1"/>
    <x v="19"/>
    <n v="4"/>
    <x v="1"/>
    <n v="45"/>
    <n v="3"/>
    <n v="1"/>
    <x v="1"/>
    <n v="4"/>
    <s v="Single"/>
    <n v="3944"/>
    <n v="4306"/>
    <n v="5"/>
    <s v="Y"/>
    <s v="Yes"/>
    <n v="11"/>
    <n v="3"/>
    <n v="3"/>
    <n v="80"/>
    <n v="0"/>
    <n v="6"/>
    <n v="3"/>
    <n v="3"/>
    <x v="11"/>
    <n v="2"/>
    <n v="1"/>
    <n v="2"/>
    <x v="1"/>
    <x v="1"/>
    <s v="Active"/>
    <x v="5"/>
  </r>
  <r>
    <n v="24"/>
    <x v="1"/>
    <s v="Non Travel"/>
    <n v="673"/>
    <x v="1"/>
    <n v="11"/>
    <n v="2"/>
    <s v="Other"/>
    <n v="1"/>
    <x v="20"/>
    <n v="1"/>
    <x v="0"/>
    <n v="96"/>
    <n v="4"/>
    <n v="2"/>
    <x v="3"/>
    <n v="3"/>
    <s v="Divorced"/>
    <n v="4011"/>
    <n v="8232"/>
    <n v="0"/>
    <s v="Y"/>
    <s v="No"/>
    <n v="18"/>
    <n v="3"/>
    <n v="4"/>
    <n v="80"/>
    <n v="1"/>
    <n v="5"/>
    <n v="5"/>
    <n v="2"/>
    <x v="9"/>
    <n v="2"/>
    <n v="1"/>
    <n v="3"/>
    <x v="2"/>
    <x v="1"/>
    <s v="Active"/>
    <x v="4"/>
  </r>
  <r>
    <n v="36"/>
    <x v="0"/>
    <s v="Travel Rarely"/>
    <n v="1218"/>
    <x v="0"/>
    <n v="9"/>
    <n v="4"/>
    <s v="Life Sciences"/>
    <n v="1"/>
    <x v="21"/>
    <n v="3"/>
    <x v="1"/>
    <n v="82"/>
    <n v="2"/>
    <n v="1"/>
    <x v="6"/>
    <n v="1"/>
    <s v="Single"/>
    <n v="3407"/>
    <n v="6986"/>
    <n v="7"/>
    <s v="Y"/>
    <s v="No"/>
    <n v="23"/>
    <n v="4"/>
    <n v="2"/>
    <n v="80"/>
    <n v="0"/>
    <n v="10"/>
    <n v="4"/>
    <n v="3"/>
    <x v="8"/>
    <n v="3"/>
    <n v="0"/>
    <n v="3"/>
    <x v="1"/>
    <x v="1"/>
    <s v="Resigned"/>
    <x v="3"/>
  </r>
  <r>
    <n v="34"/>
    <x v="1"/>
    <s v="Travel Rarely"/>
    <n v="419"/>
    <x v="1"/>
    <n v="7"/>
    <n v="4"/>
    <s v="Life Sciences"/>
    <n v="1"/>
    <x v="22"/>
    <n v="1"/>
    <x v="0"/>
    <n v="53"/>
    <n v="3"/>
    <n v="3"/>
    <x v="7"/>
    <n v="2"/>
    <s v="Single"/>
    <n v="11994"/>
    <n v="21293"/>
    <n v="0"/>
    <s v="Y"/>
    <s v="No"/>
    <n v="11"/>
    <n v="3"/>
    <n v="3"/>
    <n v="80"/>
    <n v="0"/>
    <n v="13"/>
    <n v="4"/>
    <n v="3"/>
    <x v="12"/>
    <n v="6"/>
    <n v="2"/>
    <n v="11"/>
    <x v="1"/>
    <x v="2"/>
    <s v="Active"/>
    <x v="0"/>
  </r>
  <r>
    <n v="21"/>
    <x v="1"/>
    <s v="Travel Rarely"/>
    <n v="391"/>
    <x v="1"/>
    <n v="15"/>
    <n v="2"/>
    <s v="Life Sciences"/>
    <n v="1"/>
    <x v="23"/>
    <n v="3"/>
    <x v="1"/>
    <n v="96"/>
    <n v="3"/>
    <n v="1"/>
    <x v="1"/>
    <n v="4"/>
    <s v="Single"/>
    <n v="1232"/>
    <n v="19281"/>
    <n v="1"/>
    <s v="Y"/>
    <s v="No"/>
    <n v="14"/>
    <n v="3"/>
    <n v="4"/>
    <n v="80"/>
    <n v="0"/>
    <n v="0"/>
    <n v="6"/>
    <n v="3"/>
    <x v="2"/>
    <n v="0"/>
    <n v="0"/>
    <n v="0"/>
    <x v="2"/>
    <x v="1"/>
    <s v="Active"/>
    <x v="1"/>
  </r>
  <r>
    <n v="34"/>
    <x v="0"/>
    <s v="Travel Rarely"/>
    <n v="699"/>
    <x v="1"/>
    <n v="6"/>
    <n v="1"/>
    <s v="Medical"/>
    <n v="1"/>
    <x v="24"/>
    <n v="2"/>
    <x v="1"/>
    <n v="83"/>
    <n v="3"/>
    <n v="1"/>
    <x v="1"/>
    <n v="1"/>
    <s v="Single"/>
    <n v="2960"/>
    <n v="17102"/>
    <n v="2"/>
    <s v="Y"/>
    <s v="No"/>
    <n v="11"/>
    <n v="3"/>
    <n v="3"/>
    <n v="80"/>
    <n v="0"/>
    <n v="8"/>
    <n v="2"/>
    <n v="3"/>
    <x v="9"/>
    <n v="2"/>
    <n v="1"/>
    <n v="3"/>
    <x v="1"/>
    <x v="1"/>
    <s v="Resigned"/>
    <x v="4"/>
  </r>
  <r>
    <n v="53"/>
    <x v="1"/>
    <s v="Travel Rarely"/>
    <n v="1282"/>
    <x v="1"/>
    <n v="5"/>
    <n v="3"/>
    <s v="Other"/>
    <n v="1"/>
    <x v="25"/>
    <n v="3"/>
    <x v="0"/>
    <n v="58"/>
    <n v="3"/>
    <n v="5"/>
    <x v="5"/>
    <n v="3"/>
    <s v="Divorced"/>
    <n v="19094"/>
    <n v="10735"/>
    <n v="4"/>
    <s v="Y"/>
    <s v="No"/>
    <n v="11"/>
    <n v="3"/>
    <n v="4"/>
    <n v="80"/>
    <n v="1"/>
    <n v="26"/>
    <n v="3"/>
    <n v="2"/>
    <x v="13"/>
    <n v="13"/>
    <n v="4"/>
    <n v="8"/>
    <x v="0"/>
    <x v="2"/>
    <s v="Active"/>
    <x v="0"/>
  </r>
  <r>
    <n v="32"/>
    <x v="0"/>
    <s v="Travel Frequently"/>
    <n v="1125"/>
    <x v="1"/>
    <n v="16"/>
    <n v="1"/>
    <s v="Life Sciences"/>
    <n v="1"/>
    <x v="26"/>
    <n v="2"/>
    <x v="0"/>
    <n v="72"/>
    <n v="1"/>
    <n v="1"/>
    <x v="1"/>
    <n v="1"/>
    <s v="Single"/>
    <n v="3919"/>
    <n v="4681"/>
    <n v="1"/>
    <s v="Y"/>
    <s v="Yes"/>
    <n v="22"/>
    <n v="4"/>
    <n v="2"/>
    <n v="80"/>
    <n v="0"/>
    <n v="10"/>
    <n v="5"/>
    <n v="3"/>
    <x v="1"/>
    <n v="2"/>
    <n v="6"/>
    <n v="7"/>
    <x v="1"/>
    <x v="1"/>
    <s v="Resigned"/>
    <x v="0"/>
  </r>
  <r>
    <n v="42"/>
    <x v="1"/>
    <s v="Travel Rarely"/>
    <n v="691"/>
    <x v="0"/>
    <n v="8"/>
    <n v="4"/>
    <s v="Marketing"/>
    <n v="1"/>
    <x v="27"/>
    <n v="3"/>
    <x v="1"/>
    <n v="48"/>
    <n v="3"/>
    <n v="2"/>
    <x v="0"/>
    <n v="2"/>
    <s v="Married"/>
    <n v="6825"/>
    <n v="21173"/>
    <n v="0"/>
    <s v="Y"/>
    <s v="No"/>
    <n v="11"/>
    <n v="3"/>
    <n v="4"/>
    <n v="80"/>
    <n v="1"/>
    <n v="10"/>
    <n v="2"/>
    <n v="3"/>
    <x v="7"/>
    <n v="7"/>
    <n v="4"/>
    <n v="2"/>
    <x v="0"/>
    <x v="0"/>
    <s v="Active"/>
    <x v="0"/>
  </r>
  <r>
    <n v="44"/>
    <x v="1"/>
    <s v="Travel Rarely"/>
    <n v="477"/>
    <x v="1"/>
    <n v="7"/>
    <n v="4"/>
    <s v="Medical"/>
    <n v="1"/>
    <x v="28"/>
    <n v="1"/>
    <x v="0"/>
    <n v="42"/>
    <n v="2"/>
    <n v="3"/>
    <x v="4"/>
    <n v="4"/>
    <s v="Married"/>
    <n v="10248"/>
    <n v="2094"/>
    <n v="3"/>
    <s v="Y"/>
    <s v="No"/>
    <n v="14"/>
    <n v="3"/>
    <n v="4"/>
    <n v="80"/>
    <n v="1"/>
    <n v="24"/>
    <n v="4"/>
    <n v="3"/>
    <x v="14"/>
    <n v="6"/>
    <n v="5"/>
    <n v="17"/>
    <x v="0"/>
    <x v="2"/>
    <s v="Active"/>
    <x v="0"/>
  </r>
  <r>
    <n v="46"/>
    <x v="1"/>
    <s v="Travel Rarely"/>
    <n v="705"/>
    <x v="0"/>
    <n v="2"/>
    <n v="4"/>
    <s v="Marketing"/>
    <n v="1"/>
    <x v="29"/>
    <n v="2"/>
    <x v="0"/>
    <n v="83"/>
    <n v="3"/>
    <n v="5"/>
    <x v="5"/>
    <n v="1"/>
    <s v="Single"/>
    <n v="18947"/>
    <n v="22822"/>
    <n v="3"/>
    <s v="Y"/>
    <s v="No"/>
    <n v="12"/>
    <n v="3"/>
    <n v="4"/>
    <n v="80"/>
    <n v="0"/>
    <n v="22"/>
    <n v="2"/>
    <n v="2"/>
    <x v="4"/>
    <n v="2"/>
    <n v="2"/>
    <n v="1"/>
    <x v="0"/>
    <x v="2"/>
    <s v="Active"/>
    <x v="2"/>
  </r>
  <r>
    <n v="33"/>
    <x v="1"/>
    <s v="Travel Rarely"/>
    <n v="924"/>
    <x v="1"/>
    <n v="2"/>
    <n v="3"/>
    <s v="Medical"/>
    <n v="1"/>
    <x v="30"/>
    <n v="3"/>
    <x v="1"/>
    <n v="78"/>
    <n v="3"/>
    <n v="1"/>
    <x v="2"/>
    <n v="4"/>
    <s v="Single"/>
    <n v="2496"/>
    <n v="6670"/>
    <n v="4"/>
    <s v="Y"/>
    <s v="No"/>
    <n v="11"/>
    <n v="3"/>
    <n v="4"/>
    <n v="80"/>
    <n v="0"/>
    <n v="7"/>
    <n v="3"/>
    <n v="3"/>
    <x v="6"/>
    <n v="1"/>
    <n v="0"/>
    <n v="0"/>
    <x v="1"/>
    <x v="1"/>
    <s v="Active"/>
    <x v="1"/>
  </r>
  <r>
    <n v="44"/>
    <x v="1"/>
    <s v="Travel Rarely"/>
    <n v="1459"/>
    <x v="1"/>
    <n v="10"/>
    <n v="4"/>
    <s v="Other"/>
    <n v="1"/>
    <x v="31"/>
    <n v="4"/>
    <x v="1"/>
    <n v="41"/>
    <n v="3"/>
    <n v="2"/>
    <x v="4"/>
    <n v="4"/>
    <s v="Married"/>
    <n v="6465"/>
    <n v="19121"/>
    <n v="2"/>
    <s v="Y"/>
    <s v="Yes"/>
    <n v="13"/>
    <n v="3"/>
    <n v="4"/>
    <n v="80"/>
    <n v="0"/>
    <n v="9"/>
    <n v="5"/>
    <n v="4"/>
    <x v="9"/>
    <n v="2"/>
    <n v="1"/>
    <n v="3"/>
    <x v="0"/>
    <x v="0"/>
    <s v="Active"/>
    <x v="4"/>
  </r>
  <r>
    <n v="30"/>
    <x v="1"/>
    <s v="Travel Rarely"/>
    <n v="125"/>
    <x v="1"/>
    <n v="9"/>
    <n v="2"/>
    <s v="Medical"/>
    <n v="1"/>
    <x v="32"/>
    <n v="4"/>
    <x v="1"/>
    <n v="83"/>
    <n v="2"/>
    <n v="1"/>
    <x v="2"/>
    <n v="3"/>
    <s v="Single"/>
    <n v="2206"/>
    <n v="16117"/>
    <n v="1"/>
    <s v="Y"/>
    <s v="No"/>
    <n v="13"/>
    <n v="3"/>
    <n v="1"/>
    <n v="80"/>
    <n v="0"/>
    <n v="10"/>
    <n v="5"/>
    <n v="3"/>
    <x v="1"/>
    <n v="0"/>
    <n v="1"/>
    <n v="8"/>
    <x v="1"/>
    <x v="1"/>
    <s v="Active"/>
    <x v="0"/>
  </r>
  <r>
    <n v="39"/>
    <x v="0"/>
    <s v="Travel Rarely"/>
    <n v="895"/>
    <x v="0"/>
    <n v="5"/>
    <n v="3"/>
    <s v="Technical Degree"/>
    <n v="1"/>
    <x v="33"/>
    <n v="4"/>
    <x v="1"/>
    <n v="56"/>
    <n v="3"/>
    <n v="2"/>
    <x v="6"/>
    <n v="4"/>
    <s v="Married"/>
    <n v="2086"/>
    <n v="3335"/>
    <n v="3"/>
    <s v="Y"/>
    <s v="No"/>
    <n v="14"/>
    <n v="3"/>
    <n v="3"/>
    <n v="80"/>
    <n v="1"/>
    <n v="19"/>
    <n v="6"/>
    <n v="4"/>
    <x v="6"/>
    <n v="0"/>
    <n v="0"/>
    <n v="0"/>
    <x v="1"/>
    <x v="1"/>
    <s v="Resigned"/>
    <x v="1"/>
  </r>
  <r>
    <n v="24"/>
    <x v="0"/>
    <s v="Travel Rarely"/>
    <n v="813"/>
    <x v="1"/>
    <n v="1"/>
    <n v="3"/>
    <s v="Medical"/>
    <n v="1"/>
    <x v="34"/>
    <n v="2"/>
    <x v="1"/>
    <n v="61"/>
    <n v="3"/>
    <n v="1"/>
    <x v="1"/>
    <n v="4"/>
    <s v="Married"/>
    <n v="2293"/>
    <n v="3020"/>
    <n v="2"/>
    <s v="Y"/>
    <s v="Yes"/>
    <n v="16"/>
    <n v="3"/>
    <n v="1"/>
    <n v="80"/>
    <n v="1"/>
    <n v="6"/>
    <n v="2"/>
    <n v="2"/>
    <x v="4"/>
    <n v="0"/>
    <n v="2"/>
    <n v="0"/>
    <x v="2"/>
    <x v="1"/>
    <s v="Resigned"/>
    <x v="2"/>
  </r>
  <r>
    <n v="43"/>
    <x v="1"/>
    <s v="Travel Rarely"/>
    <n v="1273"/>
    <x v="1"/>
    <n v="2"/>
    <n v="2"/>
    <s v="Medical"/>
    <n v="1"/>
    <x v="35"/>
    <n v="4"/>
    <x v="0"/>
    <n v="72"/>
    <n v="4"/>
    <n v="1"/>
    <x v="1"/>
    <n v="3"/>
    <s v="Divorced"/>
    <n v="2645"/>
    <n v="21923"/>
    <n v="1"/>
    <s v="Y"/>
    <s v="No"/>
    <n v="12"/>
    <n v="3"/>
    <n v="4"/>
    <n v="80"/>
    <n v="2"/>
    <n v="6"/>
    <n v="3"/>
    <n v="2"/>
    <x v="8"/>
    <n v="3"/>
    <n v="1"/>
    <n v="4"/>
    <x v="0"/>
    <x v="1"/>
    <s v="Active"/>
    <x v="3"/>
  </r>
  <r>
    <n v="50"/>
    <x v="0"/>
    <s v="Travel Rarely"/>
    <n v="869"/>
    <x v="0"/>
    <n v="3"/>
    <n v="2"/>
    <s v="Marketing"/>
    <n v="1"/>
    <x v="36"/>
    <n v="1"/>
    <x v="1"/>
    <n v="86"/>
    <n v="2"/>
    <n v="1"/>
    <x v="6"/>
    <n v="3"/>
    <s v="Married"/>
    <n v="2683"/>
    <n v="3810"/>
    <n v="1"/>
    <s v="Y"/>
    <s v="Yes"/>
    <n v="14"/>
    <n v="3"/>
    <n v="3"/>
    <n v="80"/>
    <n v="0"/>
    <n v="3"/>
    <n v="2"/>
    <n v="3"/>
    <x v="11"/>
    <n v="2"/>
    <n v="0"/>
    <n v="2"/>
    <x v="0"/>
    <x v="1"/>
    <s v="Resigned"/>
    <x v="5"/>
  </r>
  <r>
    <n v="35"/>
    <x v="1"/>
    <s v="Travel Rarely"/>
    <n v="890"/>
    <x v="0"/>
    <n v="2"/>
    <n v="3"/>
    <s v="Marketing"/>
    <n v="1"/>
    <x v="37"/>
    <n v="4"/>
    <x v="0"/>
    <n v="97"/>
    <n v="3"/>
    <n v="1"/>
    <x v="6"/>
    <n v="4"/>
    <s v="Married"/>
    <n v="2014"/>
    <n v="9687"/>
    <n v="1"/>
    <s v="Y"/>
    <s v="No"/>
    <n v="13"/>
    <n v="3"/>
    <n v="1"/>
    <n v="80"/>
    <n v="0"/>
    <n v="2"/>
    <n v="3"/>
    <n v="3"/>
    <x v="4"/>
    <n v="2"/>
    <n v="2"/>
    <n v="2"/>
    <x v="1"/>
    <x v="1"/>
    <s v="Active"/>
    <x v="2"/>
  </r>
  <r>
    <n v="36"/>
    <x v="1"/>
    <s v="Travel Rarely"/>
    <n v="852"/>
    <x v="1"/>
    <n v="5"/>
    <n v="4"/>
    <s v="Life Sciences"/>
    <n v="1"/>
    <x v="38"/>
    <n v="2"/>
    <x v="0"/>
    <n v="82"/>
    <n v="2"/>
    <n v="1"/>
    <x v="1"/>
    <n v="1"/>
    <s v="Married"/>
    <n v="3419"/>
    <n v="13072"/>
    <n v="9"/>
    <s v="Y"/>
    <s v="Yes"/>
    <n v="14"/>
    <n v="3"/>
    <n v="4"/>
    <n v="80"/>
    <n v="1"/>
    <n v="6"/>
    <n v="3"/>
    <n v="4"/>
    <x v="6"/>
    <n v="1"/>
    <n v="0"/>
    <n v="0"/>
    <x v="1"/>
    <x v="1"/>
    <s v="Active"/>
    <x v="1"/>
  </r>
  <r>
    <n v="33"/>
    <x v="1"/>
    <s v="Travel Frequently"/>
    <n v="1141"/>
    <x v="0"/>
    <n v="1"/>
    <n v="3"/>
    <s v="Life Sciences"/>
    <n v="1"/>
    <x v="39"/>
    <n v="3"/>
    <x v="0"/>
    <n v="42"/>
    <n v="4"/>
    <n v="2"/>
    <x v="0"/>
    <n v="1"/>
    <s v="Married"/>
    <n v="5376"/>
    <n v="3193"/>
    <n v="2"/>
    <s v="Y"/>
    <s v="No"/>
    <n v="19"/>
    <n v="3"/>
    <n v="1"/>
    <n v="80"/>
    <n v="2"/>
    <n v="10"/>
    <n v="3"/>
    <n v="3"/>
    <x v="8"/>
    <n v="3"/>
    <n v="1"/>
    <n v="3"/>
    <x v="1"/>
    <x v="0"/>
    <s v="Active"/>
    <x v="3"/>
  </r>
  <r>
    <n v="35"/>
    <x v="1"/>
    <s v="Travel Rarely"/>
    <n v="464"/>
    <x v="1"/>
    <n v="4"/>
    <n v="2"/>
    <s v="Other"/>
    <n v="1"/>
    <x v="40"/>
    <n v="3"/>
    <x v="1"/>
    <n v="75"/>
    <n v="3"/>
    <n v="1"/>
    <x v="2"/>
    <n v="4"/>
    <s v="Divorced"/>
    <n v="1951"/>
    <n v="10910"/>
    <n v="1"/>
    <s v="Y"/>
    <s v="No"/>
    <n v="12"/>
    <n v="3"/>
    <n v="3"/>
    <n v="80"/>
    <n v="1"/>
    <n v="1"/>
    <n v="3"/>
    <n v="3"/>
    <x v="6"/>
    <n v="0"/>
    <n v="0"/>
    <n v="0"/>
    <x v="1"/>
    <x v="1"/>
    <s v="Active"/>
    <x v="1"/>
  </r>
  <r>
    <n v="27"/>
    <x v="1"/>
    <s v="Travel Rarely"/>
    <n v="1240"/>
    <x v="1"/>
    <n v="2"/>
    <n v="4"/>
    <s v="Life Sciences"/>
    <n v="1"/>
    <x v="41"/>
    <n v="4"/>
    <x v="0"/>
    <n v="33"/>
    <n v="3"/>
    <n v="1"/>
    <x v="2"/>
    <n v="1"/>
    <s v="Divorced"/>
    <n v="2341"/>
    <n v="19715"/>
    <n v="1"/>
    <s v="Y"/>
    <s v="No"/>
    <n v="13"/>
    <n v="3"/>
    <n v="4"/>
    <n v="80"/>
    <n v="1"/>
    <n v="1"/>
    <n v="6"/>
    <n v="3"/>
    <x v="6"/>
    <n v="0"/>
    <n v="0"/>
    <n v="0"/>
    <x v="2"/>
    <x v="1"/>
    <s v="Active"/>
    <x v="1"/>
  </r>
  <r>
    <n v="26"/>
    <x v="0"/>
    <s v="Travel Rarely"/>
    <n v="1357"/>
    <x v="1"/>
    <n v="25"/>
    <n v="3"/>
    <s v="Life Sciences"/>
    <n v="1"/>
    <x v="42"/>
    <n v="1"/>
    <x v="1"/>
    <n v="48"/>
    <n v="1"/>
    <n v="1"/>
    <x v="2"/>
    <n v="3"/>
    <s v="Single"/>
    <n v="2293"/>
    <n v="10558"/>
    <n v="1"/>
    <s v="Y"/>
    <s v="No"/>
    <n v="12"/>
    <n v="3"/>
    <n v="3"/>
    <n v="80"/>
    <n v="0"/>
    <n v="1"/>
    <n v="2"/>
    <n v="2"/>
    <x v="6"/>
    <n v="0"/>
    <n v="0"/>
    <n v="1"/>
    <x v="2"/>
    <x v="1"/>
    <s v="Resigned"/>
    <x v="1"/>
  </r>
  <r>
    <n v="27"/>
    <x v="1"/>
    <s v="Travel Frequently"/>
    <n v="994"/>
    <x v="0"/>
    <n v="8"/>
    <n v="3"/>
    <s v="Life Sciences"/>
    <n v="1"/>
    <x v="43"/>
    <n v="4"/>
    <x v="1"/>
    <n v="37"/>
    <n v="3"/>
    <n v="3"/>
    <x v="0"/>
    <n v="3"/>
    <s v="Single"/>
    <n v="8726"/>
    <n v="2975"/>
    <n v="1"/>
    <s v="Y"/>
    <s v="No"/>
    <n v="15"/>
    <n v="3"/>
    <n v="4"/>
    <n v="80"/>
    <n v="0"/>
    <n v="9"/>
    <n v="0"/>
    <n v="3"/>
    <x v="7"/>
    <n v="8"/>
    <n v="1"/>
    <n v="7"/>
    <x v="2"/>
    <x v="0"/>
    <s v="Active"/>
    <x v="0"/>
  </r>
  <r>
    <n v="30"/>
    <x v="1"/>
    <s v="Travel Frequently"/>
    <n v="721"/>
    <x v="1"/>
    <n v="1"/>
    <n v="2"/>
    <s v="Medical"/>
    <n v="1"/>
    <x v="44"/>
    <n v="3"/>
    <x v="0"/>
    <n v="58"/>
    <n v="3"/>
    <n v="2"/>
    <x v="2"/>
    <n v="4"/>
    <s v="Single"/>
    <n v="4011"/>
    <n v="10781"/>
    <n v="1"/>
    <s v="Y"/>
    <s v="No"/>
    <n v="23"/>
    <n v="4"/>
    <n v="4"/>
    <n v="80"/>
    <n v="0"/>
    <n v="12"/>
    <n v="2"/>
    <n v="3"/>
    <x v="12"/>
    <n v="8"/>
    <n v="3"/>
    <n v="7"/>
    <x v="1"/>
    <x v="1"/>
    <s v="Active"/>
    <x v="0"/>
  </r>
  <r>
    <n v="41"/>
    <x v="0"/>
    <s v="Travel Rarely"/>
    <n v="1360"/>
    <x v="1"/>
    <n v="12"/>
    <n v="3"/>
    <s v="Technical Degree"/>
    <n v="1"/>
    <x v="45"/>
    <n v="2"/>
    <x v="0"/>
    <n v="49"/>
    <n v="3"/>
    <n v="5"/>
    <x v="7"/>
    <n v="3"/>
    <s v="Married"/>
    <n v="19545"/>
    <n v="16280"/>
    <n v="1"/>
    <s v="Y"/>
    <s v="No"/>
    <n v="12"/>
    <n v="3"/>
    <n v="4"/>
    <n v="80"/>
    <n v="0"/>
    <n v="23"/>
    <n v="0"/>
    <n v="3"/>
    <x v="14"/>
    <n v="15"/>
    <n v="15"/>
    <n v="8"/>
    <x v="0"/>
    <x v="2"/>
    <s v="Resigned"/>
    <x v="0"/>
  </r>
  <r>
    <n v="34"/>
    <x v="1"/>
    <s v="Non Travel"/>
    <n v="1065"/>
    <x v="0"/>
    <n v="23"/>
    <n v="4"/>
    <s v="Marketing"/>
    <n v="1"/>
    <x v="46"/>
    <n v="2"/>
    <x v="1"/>
    <n v="72"/>
    <n v="3"/>
    <n v="2"/>
    <x v="0"/>
    <n v="3"/>
    <s v="Single"/>
    <n v="4568"/>
    <n v="10034"/>
    <n v="0"/>
    <s v="Y"/>
    <s v="No"/>
    <n v="20"/>
    <n v="4"/>
    <n v="3"/>
    <n v="80"/>
    <n v="0"/>
    <n v="10"/>
    <n v="2"/>
    <n v="3"/>
    <x v="7"/>
    <n v="5"/>
    <n v="8"/>
    <n v="7"/>
    <x v="1"/>
    <x v="1"/>
    <s v="Active"/>
    <x v="0"/>
  </r>
  <r>
    <n v="37"/>
    <x v="1"/>
    <s v="Travel Rarely"/>
    <n v="408"/>
    <x v="1"/>
    <n v="19"/>
    <n v="2"/>
    <s v="Life Sciences"/>
    <n v="1"/>
    <x v="47"/>
    <n v="2"/>
    <x v="1"/>
    <n v="73"/>
    <n v="3"/>
    <n v="1"/>
    <x v="1"/>
    <n v="2"/>
    <s v="Married"/>
    <n v="3022"/>
    <n v="10227"/>
    <n v="4"/>
    <s v="Y"/>
    <s v="No"/>
    <n v="21"/>
    <n v="4"/>
    <n v="1"/>
    <n v="80"/>
    <n v="0"/>
    <n v="8"/>
    <n v="1"/>
    <n v="3"/>
    <x v="6"/>
    <n v="0"/>
    <n v="0"/>
    <n v="0"/>
    <x v="1"/>
    <x v="1"/>
    <s v="Active"/>
    <x v="1"/>
  </r>
  <r>
    <n v="46"/>
    <x v="1"/>
    <s v="Travel Frequently"/>
    <n v="1211"/>
    <x v="0"/>
    <n v="5"/>
    <n v="4"/>
    <s v="Marketing"/>
    <n v="1"/>
    <x v="48"/>
    <n v="1"/>
    <x v="1"/>
    <n v="98"/>
    <n v="3"/>
    <n v="2"/>
    <x v="0"/>
    <n v="4"/>
    <s v="Single"/>
    <n v="5772"/>
    <n v="20445"/>
    <n v="4"/>
    <s v="Y"/>
    <s v="Yes"/>
    <n v="21"/>
    <n v="4"/>
    <n v="3"/>
    <n v="80"/>
    <n v="0"/>
    <n v="14"/>
    <n v="4"/>
    <n v="3"/>
    <x v="7"/>
    <n v="6"/>
    <n v="0"/>
    <n v="8"/>
    <x v="0"/>
    <x v="0"/>
    <s v="Active"/>
    <x v="0"/>
  </r>
  <r>
    <n v="35"/>
    <x v="1"/>
    <s v="Travel Rarely"/>
    <n v="1229"/>
    <x v="1"/>
    <n v="8"/>
    <n v="1"/>
    <s v="Life Sciences"/>
    <n v="1"/>
    <x v="49"/>
    <n v="4"/>
    <x v="1"/>
    <n v="36"/>
    <n v="4"/>
    <n v="1"/>
    <x v="2"/>
    <n v="4"/>
    <s v="Married"/>
    <n v="2269"/>
    <n v="4892"/>
    <n v="1"/>
    <s v="Y"/>
    <s v="No"/>
    <n v="19"/>
    <n v="3"/>
    <n v="4"/>
    <n v="80"/>
    <n v="0"/>
    <n v="1"/>
    <n v="2"/>
    <n v="3"/>
    <x v="6"/>
    <n v="0"/>
    <n v="0"/>
    <n v="1"/>
    <x v="1"/>
    <x v="1"/>
    <s v="Active"/>
    <x v="1"/>
  </r>
  <r>
    <n v="48"/>
    <x v="0"/>
    <s v="Travel Rarely"/>
    <n v="626"/>
    <x v="1"/>
    <n v="1"/>
    <n v="2"/>
    <s v="Life Sciences"/>
    <n v="1"/>
    <x v="50"/>
    <n v="1"/>
    <x v="1"/>
    <n v="98"/>
    <n v="2"/>
    <n v="3"/>
    <x v="2"/>
    <n v="3"/>
    <s v="Single"/>
    <n v="5381"/>
    <n v="19294"/>
    <n v="9"/>
    <s v="Y"/>
    <s v="Yes"/>
    <n v="13"/>
    <n v="3"/>
    <n v="4"/>
    <n v="80"/>
    <n v="0"/>
    <n v="23"/>
    <n v="2"/>
    <n v="3"/>
    <x v="6"/>
    <n v="0"/>
    <n v="0"/>
    <n v="0"/>
    <x v="0"/>
    <x v="0"/>
    <s v="Resigned"/>
    <x v="1"/>
  </r>
  <r>
    <n v="28"/>
    <x v="0"/>
    <s v="Travel Rarely"/>
    <n v="1434"/>
    <x v="1"/>
    <n v="5"/>
    <n v="4"/>
    <s v="Technical Degree"/>
    <n v="1"/>
    <x v="51"/>
    <n v="3"/>
    <x v="1"/>
    <n v="50"/>
    <n v="3"/>
    <n v="1"/>
    <x v="2"/>
    <n v="3"/>
    <s v="Single"/>
    <n v="3441"/>
    <n v="11179"/>
    <n v="1"/>
    <s v="Y"/>
    <s v="Yes"/>
    <n v="13"/>
    <n v="3"/>
    <n v="3"/>
    <n v="80"/>
    <n v="0"/>
    <n v="2"/>
    <n v="3"/>
    <n v="2"/>
    <x v="4"/>
    <n v="2"/>
    <n v="2"/>
    <n v="2"/>
    <x v="2"/>
    <x v="1"/>
    <s v="Resigned"/>
    <x v="2"/>
  </r>
  <r>
    <n v="44"/>
    <x v="1"/>
    <s v="Travel Rarely"/>
    <n v="1488"/>
    <x v="0"/>
    <n v="1"/>
    <n v="5"/>
    <s v="Marketing"/>
    <n v="1"/>
    <x v="52"/>
    <n v="2"/>
    <x v="0"/>
    <n v="75"/>
    <n v="3"/>
    <n v="2"/>
    <x v="0"/>
    <n v="1"/>
    <s v="Divorced"/>
    <n v="5454"/>
    <n v="4009"/>
    <n v="5"/>
    <s v="Y"/>
    <s v="Yes"/>
    <n v="21"/>
    <n v="4"/>
    <n v="3"/>
    <n v="80"/>
    <n v="1"/>
    <n v="9"/>
    <n v="2"/>
    <n v="2"/>
    <x v="9"/>
    <n v="3"/>
    <n v="1"/>
    <n v="3"/>
    <x v="0"/>
    <x v="0"/>
    <s v="Active"/>
    <x v="4"/>
  </r>
  <r>
    <n v="35"/>
    <x v="1"/>
    <s v="Non Travel"/>
    <n v="1097"/>
    <x v="1"/>
    <n v="11"/>
    <n v="2"/>
    <s v="Medical"/>
    <n v="1"/>
    <x v="53"/>
    <n v="3"/>
    <x v="1"/>
    <n v="79"/>
    <n v="2"/>
    <n v="3"/>
    <x v="4"/>
    <n v="1"/>
    <s v="Married"/>
    <n v="9884"/>
    <n v="8302"/>
    <n v="2"/>
    <s v="Y"/>
    <s v="Yes"/>
    <n v="13"/>
    <n v="3"/>
    <n v="3"/>
    <n v="80"/>
    <n v="1"/>
    <n v="10"/>
    <n v="3"/>
    <n v="3"/>
    <x v="9"/>
    <n v="0"/>
    <n v="2"/>
    <n v="3"/>
    <x v="1"/>
    <x v="0"/>
    <s v="Active"/>
    <x v="4"/>
  </r>
  <r>
    <n v="26"/>
    <x v="1"/>
    <s v="Travel Rarely"/>
    <n v="1443"/>
    <x v="0"/>
    <n v="23"/>
    <n v="3"/>
    <s v="Marketing"/>
    <n v="1"/>
    <x v="54"/>
    <n v="3"/>
    <x v="0"/>
    <n v="47"/>
    <n v="2"/>
    <n v="2"/>
    <x v="0"/>
    <n v="4"/>
    <s v="Married"/>
    <n v="4157"/>
    <n v="21436"/>
    <n v="7"/>
    <s v="Y"/>
    <s v="Yes"/>
    <n v="19"/>
    <n v="3"/>
    <n v="3"/>
    <n v="80"/>
    <n v="1"/>
    <n v="5"/>
    <n v="2"/>
    <n v="2"/>
    <x v="4"/>
    <n v="2"/>
    <n v="0"/>
    <n v="0"/>
    <x v="2"/>
    <x v="1"/>
    <s v="Active"/>
    <x v="2"/>
  </r>
  <r>
    <n v="33"/>
    <x v="1"/>
    <s v="Travel Frequently"/>
    <n v="515"/>
    <x v="1"/>
    <n v="1"/>
    <n v="2"/>
    <s v="Life Sciences"/>
    <n v="1"/>
    <x v="55"/>
    <n v="1"/>
    <x v="0"/>
    <n v="98"/>
    <n v="3"/>
    <n v="3"/>
    <x v="7"/>
    <n v="4"/>
    <s v="Single"/>
    <n v="13458"/>
    <n v="15146"/>
    <n v="1"/>
    <s v="Y"/>
    <s v="Yes"/>
    <n v="12"/>
    <n v="3"/>
    <n v="3"/>
    <n v="80"/>
    <n v="0"/>
    <n v="15"/>
    <n v="1"/>
    <n v="3"/>
    <x v="15"/>
    <n v="14"/>
    <n v="8"/>
    <n v="12"/>
    <x v="1"/>
    <x v="2"/>
    <s v="Active"/>
    <x v="0"/>
  </r>
  <r>
    <n v="35"/>
    <x v="1"/>
    <s v="Travel Frequently"/>
    <n v="853"/>
    <x v="0"/>
    <n v="18"/>
    <n v="5"/>
    <s v="Life Sciences"/>
    <n v="1"/>
    <x v="56"/>
    <n v="2"/>
    <x v="1"/>
    <n v="71"/>
    <n v="3"/>
    <n v="3"/>
    <x v="0"/>
    <n v="1"/>
    <s v="Married"/>
    <n v="9069"/>
    <n v="11031"/>
    <n v="1"/>
    <s v="Y"/>
    <s v="No"/>
    <n v="22"/>
    <n v="4"/>
    <n v="4"/>
    <n v="80"/>
    <n v="1"/>
    <n v="9"/>
    <n v="3"/>
    <n v="2"/>
    <x v="7"/>
    <n v="8"/>
    <n v="1"/>
    <n v="8"/>
    <x v="1"/>
    <x v="0"/>
    <s v="Active"/>
    <x v="0"/>
  </r>
  <r>
    <n v="35"/>
    <x v="1"/>
    <s v="Travel Rarely"/>
    <n v="1142"/>
    <x v="1"/>
    <n v="23"/>
    <n v="4"/>
    <s v="Medical"/>
    <n v="1"/>
    <x v="57"/>
    <n v="3"/>
    <x v="0"/>
    <n v="30"/>
    <n v="3"/>
    <n v="1"/>
    <x v="2"/>
    <n v="1"/>
    <s v="Married"/>
    <n v="4014"/>
    <n v="16002"/>
    <n v="3"/>
    <s v="Y"/>
    <s v="Yes"/>
    <n v="15"/>
    <n v="3"/>
    <n v="3"/>
    <n v="80"/>
    <n v="1"/>
    <n v="4"/>
    <n v="3"/>
    <n v="3"/>
    <x v="4"/>
    <n v="2"/>
    <n v="2"/>
    <n v="2"/>
    <x v="1"/>
    <x v="1"/>
    <s v="Active"/>
    <x v="2"/>
  </r>
  <r>
    <n v="31"/>
    <x v="1"/>
    <s v="Travel Rarely"/>
    <n v="655"/>
    <x v="1"/>
    <n v="7"/>
    <n v="4"/>
    <s v="Life Sciences"/>
    <n v="1"/>
    <x v="58"/>
    <n v="4"/>
    <x v="1"/>
    <n v="48"/>
    <n v="3"/>
    <n v="2"/>
    <x v="2"/>
    <n v="4"/>
    <s v="Divorced"/>
    <n v="5915"/>
    <n v="9528"/>
    <n v="3"/>
    <s v="Y"/>
    <s v="No"/>
    <n v="22"/>
    <n v="4"/>
    <n v="4"/>
    <n v="80"/>
    <n v="1"/>
    <n v="10"/>
    <n v="3"/>
    <n v="2"/>
    <x v="5"/>
    <n v="7"/>
    <n v="1"/>
    <n v="7"/>
    <x v="1"/>
    <x v="0"/>
    <s v="Active"/>
    <x v="0"/>
  </r>
  <r>
    <n v="37"/>
    <x v="1"/>
    <s v="Travel Rarely"/>
    <n v="1115"/>
    <x v="1"/>
    <n v="1"/>
    <n v="4"/>
    <s v="Life Sciences"/>
    <n v="1"/>
    <x v="59"/>
    <n v="1"/>
    <x v="1"/>
    <n v="51"/>
    <n v="2"/>
    <n v="2"/>
    <x v="3"/>
    <n v="3"/>
    <s v="Divorced"/>
    <n v="5993"/>
    <n v="2689"/>
    <n v="1"/>
    <s v="Y"/>
    <s v="No"/>
    <n v="18"/>
    <n v="3"/>
    <n v="3"/>
    <n v="80"/>
    <n v="1"/>
    <n v="7"/>
    <n v="2"/>
    <n v="4"/>
    <x v="5"/>
    <n v="5"/>
    <n v="0"/>
    <n v="7"/>
    <x v="1"/>
    <x v="0"/>
    <s v="Active"/>
    <x v="0"/>
  </r>
  <r>
    <n v="32"/>
    <x v="1"/>
    <s v="Travel Rarely"/>
    <n v="427"/>
    <x v="1"/>
    <n v="1"/>
    <n v="3"/>
    <s v="Medical"/>
    <n v="1"/>
    <x v="60"/>
    <n v="1"/>
    <x v="1"/>
    <n v="33"/>
    <n v="3"/>
    <n v="2"/>
    <x v="3"/>
    <n v="4"/>
    <s v="Married"/>
    <n v="6162"/>
    <n v="10877"/>
    <n v="1"/>
    <s v="Y"/>
    <s v="Yes"/>
    <n v="22"/>
    <n v="4"/>
    <n v="2"/>
    <n v="80"/>
    <n v="1"/>
    <n v="9"/>
    <n v="3"/>
    <n v="3"/>
    <x v="7"/>
    <n v="8"/>
    <n v="7"/>
    <n v="8"/>
    <x v="1"/>
    <x v="0"/>
    <s v="Active"/>
    <x v="0"/>
  </r>
  <r>
    <n v="38"/>
    <x v="1"/>
    <s v="Travel Frequently"/>
    <n v="653"/>
    <x v="1"/>
    <n v="29"/>
    <n v="5"/>
    <s v="Life Sciences"/>
    <n v="1"/>
    <x v="61"/>
    <n v="4"/>
    <x v="0"/>
    <n v="50"/>
    <n v="3"/>
    <n v="2"/>
    <x v="2"/>
    <n v="4"/>
    <s v="Single"/>
    <n v="2406"/>
    <n v="5456"/>
    <n v="1"/>
    <s v="Y"/>
    <s v="No"/>
    <n v="11"/>
    <n v="3"/>
    <n v="4"/>
    <n v="80"/>
    <n v="0"/>
    <n v="10"/>
    <n v="2"/>
    <n v="3"/>
    <x v="1"/>
    <n v="3"/>
    <n v="9"/>
    <n v="9"/>
    <x v="1"/>
    <x v="1"/>
    <s v="Active"/>
    <x v="0"/>
  </r>
  <r>
    <n v="50"/>
    <x v="1"/>
    <s v="Travel Rarely"/>
    <n v="989"/>
    <x v="1"/>
    <n v="7"/>
    <n v="2"/>
    <s v="Medical"/>
    <n v="1"/>
    <x v="62"/>
    <n v="2"/>
    <x v="0"/>
    <n v="43"/>
    <n v="2"/>
    <n v="5"/>
    <x v="7"/>
    <n v="3"/>
    <s v="Divorced"/>
    <n v="18740"/>
    <n v="16701"/>
    <n v="5"/>
    <s v="Y"/>
    <s v="Yes"/>
    <n v="12"/>
    <n v="3"/>
    <n v="4"/>
    <n v="80"/>
    <n v="1"/>
    <n v="29"/>
    <n v="2"/>
    <n v="2"/>
    <x v="16"/>
    <n v="3"/>
    <n v="13"/>
    <n v="8"/>
    <x v="0"/>
    <x v="2"/>
    <s v="Active"/>
    <x v="0"/>
  </r>
  <r>
    <n v="59"/>
    <x v="1"/>
    <s v="Travel Rarely"/>
    <n v="1435"/>
    <x v="0"/>
    <n v="25"/>
    <n v="3"/>
    <s v="Life Sciences"/>
    <n v="1"/>
    <x v="63"/>
    <n v="1"/>
    <x v="0"/>
    <n v="99"/>
    <n v="3"/>
    <n v="3"/>
    <x v="0"/>
    <n v="1"/>
    <s v="Single"/>
    <n v="7637"/>
    <n v="2354"/>
    <n v="7"/>
    <s v="Y"/>
    <s v="No"/>
    <n v="11"/>
    <n v="3"/>
    <n v="4"/>
    <n v="80"/>
    <n v="0"/>
    <n v="28"/>
    <n v="3"/>
    <n v="2"/>
    <x v="17"/>
    <n v="16"/>
    <n v="7"/>
    <n v="9"/>
    <x v="0"/>
    <x v="0"/>
    <s v="Active"/>
    <x v="0"/>
  </r>
  <r>
    <n v="36"/>
    <x v="1"/>
    <s v="Travel Rarely"/>
    <n v="1223"/>
    <x v="1"/>
    <n v="8"/>
    <n v="3"/>
    <s v="Technical Degree"/>
    <n v="1"/>
    <x v="64"/>
    <n v="3"/>
    <x v="0"/>
    <n v="59"/>
    <n v="3"/>
    <n v="3"/>
    <x v="4"/>
    <n v="3"/>
    <s v="Divorced"/>
    <n v="10096"/>
    <n v="8202"/>
    <n v="1"/>
    <s v="Y"/>
    <s v="No"/>
    <n v="13"/>
    <n v="3"/>
    <n v="2"/>
    <n v="80"/>
    <n v="3"/>
    <n v="17"/>
    <n v="2"/>
    <n v="3"/>
    <x v="18"/>
    <n v="14"/>
    <n v="12"/>
    <n v="8"/>
    <x v="1"/>
    <x v="2"/>
    <s v="Active"/>
    <x v="0"/>
  </r>
  <r>
    <n v="55"/>
    <x v="1"/>
    <s v="Travel Rarely"/>
    <n v="836"/>
    <x v="1"/>
    <n v="8"/>
    <n v="3"/>
    <s v="Medical"/>
    <n v="1"/>
    <x v="65"/>
    <n v="4"/>
    <x v="0"/>
    <n v="33"/>
    <n v="3"/>
    <n v="4"/>
    <x v="5"/>
    <n v="3"/>
    <s v="Divorced"/>
    <n v="14756"/>
    <n v="19730"/>
    <n v="2"/>
    <s v="Y"/>
    <s v="Yes"/>
    <n v="14"/>
    <n v="3"/>
    <n v="3"/>
    <n v="80"/>
    <n v="3"/>
    <n v="21"/>
    <n v="2"/>
    <n v="3"/>
    <x v="8"/>
    <n v="0"/>
    <n v="0"/>
    <n v="2"/>
    <x v="0"/>
    <x v="2"/>
    <s v="Active"/>
    <x v="3"/>
  </r>
  <r>
    <n v="36"/>
    <x v="1"/>
    <s v="Travel Frequently"/>
    <n v="1195"/>
    <x v="1"/>
    <n v="11"/>
    <n v="3"/>
    <s v="Life Sciences"/>
    <n v="1"/>
    <x v="66"/>
    <n v="2"/>
    <x v="1"/>
    <n v="95"/>
    <n v="2"/>
    <n v="2"/>
    <x v="3"/>
    <n v="2"/>
    <s v="Single"/>
    <n v="6499"/>
    <n v="22656"/>
    <n v="1"/>
    <s v="Y"/>
    <s v="No"/>
    <n v="13"/>
    <n v="3"/>
    <n v="3"/>
    <n v="80"/>
    <n v="0"/>
    <n v="6"/>
    <n v="3"/>
    <n v="3"/>
    <x v="0"/>
    <n v="5"/>
    <n v="0"/>
    <n v="3"/>
    <x v="1"/>
    <x v="0"/>
    <s v="Active"/>
    <x v="0"/>
  </r>
  <r>
    <n v="45"/>
    <x v="1"/>
    <s v="Travel Rarely"/>
    <n v="1339"/>
    <x v="1"/>
    <n v="7"/>
    <n v="3"/>
    <s v="Life Sciences"/>
    <n v="1"/>
    <x v="67"/>
    <n v="2"/>
    <x v="1"/>
    <n v="59"/>
    <n v="3"/>
    <n v="3"/>
    <x v="1"/>
    <n v="1"/>
    <s v="Divorced"/>
    <n v="9724"/>
    <n v="18787"/>
    <n v="2"/>
    <s v="Y"/>
    <s v="No"/>
    <n v="17"/>
    <n v="3"/>
    <n v="3"/>
    <n v="80"/>
    <n v="1"/>
    <n v="25"/>
    <n v="2"/>
    <n v="3"/>
    <x v="6"/>
    <n v="0"/>
    <n v="0"/>
    <n v="0"/>
    <x v="0"/>
    <x v="0"/>
    <s v="Active"/>
    <x v="1"/>
  </r>
  <r>
    <n v="35"/>
    <x v="1"/>
    <s v="Travel Frequently"/>
    <n v="664"/>
    <x v="1"/>
    <n v="1"/>
    <n v="3"/>
    <s v="Medical"/>
    <n v="1"/>
    <x v="68"/>
    <n v="2"/>
    <x v="1"/>
    <n v="79"/>
    <n v="3"/>
    <n v="1"/>
    <x v="1"/>
    <n v="1"/>
    <s v="Married"/>
    <n v="2194"/>
    <n v="5868"/>
    <n v="4"/>
    <s v="Y"/>
    <s v="No"/>
    <n v="13"/>
    <n v="3"/>
    <n v="4"/>
    <n v="80"/>
    <n v="1"/>
    <n v="5"/>
    <n v="2"/>
    <n v="2"/>
    <x v="11"/>
    <n v="2"/>
    <n v="1"/>
    <n v="2"/>
    <x v="1"/>
    <x v="1"/>
    <s v="Active"/>
    <x v="5"/>
  </r>
  <r>
    <n v="36"/>
    <x v="0"/>
    <s v="Travel Rarely"/>
    <n v="318"/>
    <x v="1"/>
    <n v="9"/>
    <n v="3"/>
    <s v="Medical"/>
    <n v="1"/>
    <x v="69"/>
    <n v="4"/>
    <x v="1"/>
    <n v="79"/>
    <n v="2"/>
    <n v="1"/>
    <x v="1"/>
    <n v="3"/>
    <s v="Married"/>
    <n v="3388"/>
    <n v="21777"/>
    <n v="0"/>
    <s v="Y"/>
    <s v="Yes"/>
    <n v="17"/>
    <n v="3"/>
    <n v="1"/>
    <n v="80"/>
    <n v="1"/>
    <n v="2"/>
    <n v="0"/>
    <n v="2"/>
    <x v="6"/>
    <n v="0"/>
    <n v="0"/>
    <n v="0"/>
    <x v="1"/>
    <x v="1"/>
    <s v="Resigned"/>
    <x v="1"/>
  </r>
  <r>
    <n v="59"/>
    <x v="1"/>
    <s v="Travel Frequently"/>
    <n v="1225"/>
    <x v="0"/>
    <n v="1"/>
    <n v="1"/>
    <s v="Life Sciences"/>
    <n v="1"/>
    <x v="70"/>
    <n v="1"/>
    <x v="0"/>
    <n v="57"/>
    <n v="2"/>
    <n v="2"/>
    <x v="0"/>
    <n v="3"/>
    <s v="Single"/>
    <n v="5473"/>
    <n v="24668"/>
    <n v="7"/>
    <s v="Y"/>
    <s v="No"/>
    <n v="11"/>
    <n v="3"/>
    <n v="4"/>
    <n v="80"/>
    <n v="0"/>
    <n v="20"/>
    <n v="2"/>
    <n v="2"/>
    <x v="9"/>
    <n v="3"/>
    <n v="1"/>
    <n v="3"/>
    <x v="0"/>
    <x v="0"/>
    <s v="Active"/>
    <x v="4"/>
  </r>
  <r>
    <n v="29"/>
    <x v="1"/>
    <s v="Travel Rarely"/>
    <n v="1328"/>
    <x v="1"/>
    <n v="2"/>
    <n v="3"/>
    <s v="Life Sciences"/>
    <n v="1"/>
    <x v="71"/>
    <n v="3"/>
    <x v="1"/>
    <n v="76"/>
    <n v="3"/>
    <n v="1"/>
    <x v="1"/>
    <n v="2"/>
    <s v="Married"/>
    <n v="2703"/>
    <n v="4956"/>
    <n v="0"/>
    <s v="Y"/>
    <s v="No"/>
    <n v="23"/>
    <n v="4"/>
    <n v="4"/>
    <n v="80"/>
    <n v="1"/>
    <n v="6"/>
    <n v="3"/>
    <n v="3"/>
    <x v="8"/>
    <n v="4"/>
    <n v="0"/>
    <n v="4"/>
    <x v="2"/>
    <x v="1"/>
    <s v="Active"/>
    <x v="3"/>
  </r>
  <r>
    <n v="31"/>
    <x v="1"/>
    <s v="Travel Rarely"/>
    <n v="1082"/>
    <x v="1"/>
    <n v="1"/>
    <n v="4"/>
    <s v="Medical"/>
    <n v="1"/>
    <x v="72"/>
    <n v="3"/>
    <x v="1"/>
    <n v="87"/>
    <n v="3"/>
    <n v="1"/>
    <x v="1"/>
    <n v="2"/>
    <s v="Single"/>
    <n v="2501"/>
    <n v="18775"/>
    <n v="1"/>
    <s v="Y"/>
    <s v="No"/>
    <n v="17"/>
    <n v="3"/>
    <n v="2"/>
    <n v="80"/>
    <n v="0"/>
    <n v="1"/>
    <n v="4"/>
    <n v="3"/>
    <x v="6"/>
    <n v="1"/>
    <n v="1"/>
    <n v="0"/>
    <x v="1"/>
    <x v="1"/>
    <s v="Active"/>
    <x v="1"/>
  </r>
  <r>
    <n v="32"/>
    <x v="1"/>
    <s v="Travel Rarely"/>
    <n v="548"/>
    <x v="1"/>
    <n v="1"/>
    <n v="3"/>
    <s v="Life Sciences"/>
    <n v="1"/>
    <x v="73"/>
    <n v="2"/>
    <x v="1"/>
    <n v="66"/>
    <n v="3"/>
    <n v="2"/>
    <x v="1"/>
    <n v="2"/>
    <s v="Married"/>
    <n v="6220"/>
    <n v="7346"/>
    <n v="1"/>
    <s v="Y"/>
    <s v="No"/>
    <n v="17"/>
    <n v="3"/>
    <n v="2"/>
    <n v="80"/>
    <n v="2"/>
    <n v="10"/>
    <n v="3"/>
    <n v="3"/>
    <x v="1"/>
    <n v="4"/>
    <n v="0"/>
    <n v="9"/>
    <x v="1"/>
    <x v="0"/>
    <s v="Active"/>
    <x v="0"/>
  </r>
  <r>
    <n v="36"/>
    <x v="1"/>
    <s v="Travel Rarely"/>
    <n v="132"/>
    <x v="1"/>
    <n v="6"/>
    <n v="3"/>
    <s v="Life Sciences"/>
    <n v="1"/>
    <x v="74"/>
    <n v="2"/>
    <x v="0"/>
    <n v="55"/>
    <n v="4"/>
    <n v="1"/>
    <x v="2"/>
    <n v="4"/>
    <s v="Married"/>
    <n v="3038"/>
    <n v="22002"/>
    <n v="3"/>
    <s v="Y"/>
    <s v="No"/>
    <n v="12"/>
    <n v="3"/>
    <n v="2"/>
    <n v="80"/>
    <n v="0"/>
    <n v="5"/>
    <n v="3"/>
    <n v="3"/>
    <x v="6"/>
    <n v="0"/>
    <n v="0"/>
    <n v="0"/>
    <x v="1"/>
    <x v="1"/>
    <s v="Active"/>
    <x v="1"/>
  </r>
  <r>
    <n v="31"/>
    <x v="1"/>
    <s v="Travel Rarely"/>
    <n v="746"/>
    <x v="1"/>
    <n v="8"/>
    <n v="4"/>
    <s v="Life Sciences"/>
    <n v="1"/>
    <x v="75"/>
    <n v="3"/>
    <x v="0"/>
    <n v="61"/>
    <n v="3"/>
    <n v="2"/>
    <x v="3"/>
    <n v="4"/>
    <s v="Single"/>
    <n v="4424"/>
    <n v="20682"/>
    <n v="1"/>
    <s v="Y"/>
    <s v="No"/>
    <n v="23"/>
    <n v="4"/>
    <n v="4"/>
    <n v="80"/>
    <n v="0"/>
    <n v="11"/>
    <n v="2"/>
    <n v="3"/>
    <x v="19"/>
    <n v="7"/>
    <n v="1"/>
    <n v="8"/>
    <x v="1"/>
    <x v="1"/>
    <s v="Active"/>
    <x v="0"/>
  </r>
  <r>
    <n v="35"/>
    <x v="1"/>
    <s v="Travel Rarely"/>
    <n v="776"/>
    <x v="0"/>
    <n v="1"/>
    <n v="4"/>
    <s v="Marketing"/>
    <n v="1"/>
    <x v="76"/>
    <n v="3"/>
    <x v="1"/>
    <n v="32"/>
    <n v="2"/>
    <n v="2"/>
    <x v="0"/>
    <n v="1"/>
    <s v="Single"/>
    <n v="4312"/>
    <n v="23016"/>
    <n v="0"/>
    <s v="Y"/>
    <s v="No"/>
    <n v="14"/>
    <n v="3"/>
    <n v="2"/>
    <n v="80"/>
    <n v="0"/>
    <n v="16"/>
    <n v="2"/>
    <n v="3"/>
    <x v="15"/>
    <n v="13"/>
    <n v="2"/>
    <n v="8"/>
    <x v="1"/>
    <x v="1"/>
    <s v="Active"/>
    <x v="0"/>
  </r>
  <r>
    <n v="45"/>
    <x v="1"/>
    <s v="Travel Rarely"/>
    <n v="193"/>
    <x v="1"/>
    <n v="6"/>
    <n v="4"/>
    <s v="Other"/>
    <n v="1"/>
    <x v="77"/>
    <n v="4"/>
    <x v="1"/>
    <n v="52"/>
    <n v="3"/>
    <n v="3"/>
    <x v="7"/>
    <n v="1"/>
    <s v="Married"/>
    <n v="13245"/>
    <n v="15067"/>
    <n v="4"/>
    <s v="Y"/>
    <s v="Yes"/>
    <n v="14"/>
    <n v="3"/>
    <n v="2"/>
    <n v="80"/>
    <n v="0"/>
    <n v="17"/>
    <n v="3"/>
    <n v="4"/>
    <x v="2"/>
    <n v="0"/>
    <n v="0"/>
    <n v="0"/>
    <x v="0"/>
    <x v="2"/>
    <s v="Active"/>
    <x v="1"/>
  </r>
  <r>
    <n v="37"/>
    <x v="1"/>
    <s v="Travel Rarely"/>
    <n v="397"/>
    <x v="1"/>
    <n v="7"/>
    <n v="4"/>
    <s v="Medical"/>
    <n v="1"/>
    <x v="78"/>
    <n v="1"/>
    <x v="1"/>
    <n v="30"/>
    <n v="3"/>
    <n v="3"/>
    <x v="7"/>
    <n v="3"/>
    <s v="Single"/>
    <n v="13664"/>
    <n v="25258"/>
    <n v="4"/>
    <s v="Y"/>
    <s v="No"/>
    <n v="13"/>
    <n v="3"/>
    <n v="1"/>
    <n v="80"/>
    <n v="0"/>
    <n v="16"/>
    <n v="3"/>
    <n v="4"/>
    <x v="8"/>
    <n v="2"/>
    <n v="0"/>
    <n v="2"/>
    <x v="1"/>
    <x v="2"/>
    <s v="Active"/>
    <x v="3"/>
  </r>
  <r>
    <n v="46"/>
    <x v="1"/>
    <s v="Travel Rarely"/>
    <n v="945"/>
    <x v="2"/>
    <n v="5"/>
    <n v="2"/>
    <s v="Medical"/>
    <n v="1"/>
    <x v="79"/>
    <n v="2"/>
    <x v="1"/>
    <n v="80"/>
    <n v="3"/>
    <n v="2"/>
    <x v="8"/>
    <n v="2"/>
    <s v="Divorced"/>
    <n v="5021"/>
    <n v="10425"/>
    <n v="8"/>
    <s v="Y"/>
    <s v="Yes"/>
    <n v="22"/>
    <n v="4"/>
    <n v="4"/>
    <n v="80"/>
    <n v="1"/>
    <n v="16"/>
    <n v="2"/>
    <n v="3"/>
    <x v="9"/>
    <n v="2"/>
    <n v="0"/>
    <n v="2"/>
    <x v="0"/>
    <x v="0"/>
    <s v="Active"/>
    <x v="4"/>
  </r>
  <r>
    <n v="30"/>
    <x v="1"/>
    <s v="Travel Rarely"/>
    <n v="852"/>
    <x v="1"/>
    <n v="1"/>
    <n v="1"/>
    <s v="Life Sciences"/>
    <n v="1"/>
    <x v="80"/>
    <n v="4"/>
    <x v="1"/>
    <n v="55"/>
    <n v="2"/>
    <n v="2"/>
    <x v="2"/>
    <n v="4"/>
    <s v="Married"/>
    <n v="5126"/>
    <n v="15998"/>
    <n v="1"/>
    <s v="Y"/>
    <s v="Yes"/>
    <n v="12"/>
    <n v="3"/>
    <n v="3"/>
    <n v="80"/>
    <n v="2"/>
    <n v="10"/>
    <n v="1"/>
    <n v="2"/>
    <x v="1"/>
    <n v="8"/>
    <n v="3"/>
    <n v="0"/>
    <x v="1"/>
    <x v="0"/>
    <s v="Active"/>
    <x v="0"/>
  </r>
  <r>
    <n v="35"/>
    <x v="1"/>
    <s v="Travel Rarely"/>
    <n v="1214"/>
    <x v="1"/>
    <n v="1"/>
    <n v="3"/>
    <s v="Medical"/>
    <n v="1"/>
    <x v="81"/>
    <n v="2"/>
    <x v="1"/>
    <n v="30"/>
    <n v="2"/>
    <n v="1"/>
    <x v="1"/>
    <n v="3"/>
    <s v="Single"/>
    <n v="2859"/>
    <n v="26278"/>
    <n v="1"/>
    <s v="Y"/>
    <s v="No"/>
    <n v="18"/>
    <n v="3"/>
    <n v="1"/>
    <n v="80"/>
    <n v="0"/>
    <n v="6"/>
    <n v="3"/>
    <n v="3"/>
    <x v="0"/>
    <n v="4"/>
    <n v="0"/>
    <n v="4"/>
    <x v="1"/>
    <x v="1"/>
    <s v="Active"/>
    <x v="0"/>
  </r>
  <r>
    <n v="55"/>
    <x v="1"/>
    <s v="Travel Rarely"/>
    <n v="111"/>
    <x v="0"/>
    <n v="1"/>
    <n v="2"/>
    <s v="Life Sciences"/>
    <n v="1"/>
    <x v="82"/>
    <n v="1"/>
    <x v="1"/>
    <n v="70"/>
    <n v="3"/>
    <n v="3"/>
    <x v="0"/>
    <n v="4"/>
    <s v="Married"/>
    <n v="10239"/>
    <n v="18092"/>
    <n v="3"/>
    <s v="Y"/>
    <s v="No"/>
    <n v="14"/>
    <n v="3"/>
    <n v="4"/>
    <n v="80"/>
    <n v="1"/>
    <n v="24"/>
    <n v="4"/>
    <n v="3"/>
    <x v="6"/>
    <n v="0"/>
    <n v="1"/>
    <n v="0"/>
    <x v="0"/>
    <x v="2"/>
    <s v="Active"/>
    <x v="1"/>
  </r>
  <r>
    <n v="38"/>
    <x v="1"/>
    <s v="Non Travel"/>
    <n v="573"/>
    <x v="1"/>
    <n v="6"/>
    <n v="3"/>
    <s v="Medical"/>
    <n v="1"/>
    <x v="83"/>
    <n v="2"/>
    <x v="0"/>
    <n v="79"/>
    <n v="1"/>
    <n v="2"/>
    <x v="1"/>
    <n v="4"/>
    <s v="Divorced"/>
    <n v="5329"/>
    <n v="15717"/>
    <n v="7"/>
    <s v="Y"/>
    <s v="Yes"/>
    <n v="12"/>
    <n v="3"/>
    <n v="4"/>
    <n v="80"/>
    <n v="3"/>
    <n v="17"/>
    <n v="3"/>
    <n v="3"/>
    <x v="20"/>
    <n v="11"/>
    <n v="1"/>
    <n v="9"/>
    <x v="1"/>
    <x v="0"/>
    <s v="Active"/>
    <x v="0"/>
  </r>
  <r>
    <n v="34"/>
    <x v="1"/>
    <s v="Travel Rarely"/>
    <n v="1153"/>
    <x v="1"/>
    <n v="1"/>
    <n v="2"/>
    <s v="Medical"/>
    <n v="1"/>
    <x v="84"/>
    <n v="1"/>
    <x v="1"/>
    <n v="94"/>
    <n v="3"/>
    <n v="2"/>
    <x v="3"/>
    <n v="2"/>
    <s v="Married"/>
    <n v="4325"/>
    <n v="17736"/>
    <n v="1"/>
    <s v="Y"/>
    <s v="No"/>
    <n v="15"/>
    <n v="3"/>
    <n v="3"/>
    <n v="80"/>
    <n v="0"/>
    <n v="5"/>
    <n v="2"/>
    <n v="3"/>
    <x v="8"/>
    <n v="2"/>
    <n v="1"/>
    <n v="3"/>
    <x v="1"/>
    <x v="1"/>
    <s v="Active"/>
    <x v="3"/>
  </r>
  <r>
    <n v="56"/>
    <x v="1"/>
    <s v="Travel Rarely"/>
    <n v="1400"/>
    <x v="1"/>
    <n v="7"/>
    <n v="3"/>
    <s v="Life Sciences"/>
    <n v="1"/>
    <x v="85"/>
    <n v="4"/>
    <x v="1"/>
    <n v="49"/>
    <n v="1"/>
    <n v="3"/>
    <x v="3"/>
    <n v="4"/>
    <s v="Single"/>
    <n v="7260"/>
    <n v="21698"/>
    <n v="4"/>
    <s v="Y"/>
    <s v="No"/>
    <n v="11"/>
    <n v="3"/>
    <n v="1"/>
    <n v="80"/>
    <n v="0"/>
    <n v="37"/>
    <n v="3"/>
    <n v="2"/>
    <x v="0"/>
    <n v="4"/>
    <n v="0"/>
    <n v="2"/>
    <x v="0"/>
    <x v="0"/>
    <s v="Active"/>
    <x v="0"/>
  </r>
  <r>
    <n v="23"/>
    <x v="1"/>
    <s v="Travel Rarely"/>
    <n v="541"/>
    <x v="0"/>
    <n v="2"/>
    <n v="1"/>
    <s v="Technical Degree"/>
    <n v="1"/>
    <x v="86"/>
    <n v="3"/>
    <x v="1"/>
    <n v="62"/>
    <n v="3"/>
    <n v="1"/>
    <x v="6"/>
    <n v="1"/>
    <s v="Divorced"/>
    <n v="2322"/>
    <n v="9518"/>
    <n v="3"/>
    <s v="Y"/>
    <s v="No"/>
    <n v="13"/>
    <n v="3"/>
    <n v="3"/>
    <n v="80"/>
    <n v="1"/>
    <n v="3"/>
    <n v="3"/>
    <n v="3"/>
    <x v="2"/>
    <n v="0"/>
    <n v="0"/>
    <n v="0"/>
    <x v="2"/>
    <x v="1"/>
    <s v="Active"/>
    <x v="1"/>
  </r>
  <r>
    <n v="51"/>
    <x v="1"/>
    <s v="Travel Rarely"/>
    <n v="432"/>
    <x v="1"/>
    <n v="9"/>
    <n v="4"/>
    <s v="Life Sciences"/>
    <n v="1"/>
    <x v="87"/>
    <n v="4"/>
    <x v="1"/>
    <n v="96"/>
    <n v="3"/>
    <n v="1"/>
    <x v="2"/>
    <n v="4"/>
    <s v="Married"/>
    <n v="2075"/>
    <n v="18725"/>
    <n v="3"/>
    <s v="Y"/>
    <s v="No"/>
    <n v="23"/>
    <n v="4"/>
    <n v="2"/>
    <n v="80"/>
    <n v="2"/>
    <n v="10"/>
    <n v="4"/>
    <n v="3"/>
    <x v="9"/>
    <n v="2"/>
    <n v="0"/>
    <n v="3"/>
    <x v="0"/>
    <x v="1"/>
    <s v="Active"/>
    <x v="4"/>
  </r>
  <r>
    <n v="30"/>
    <x v="1"/>
    <s v="Travel Rarely"/>
    <n v="288"/>
    <x v="1"/>
    <n v="2"/>
    <n v="3"/>
    <s v="Life Sciences"/>
    <n v="1"/>
    <x v="88"/>
    <n v="3"/>
    <x v="1"/>
    <n v="99"/>
    <n v="2"/>
    <n v="2"/>
    <x v="4"/>
    <n v="4"/>
    <s v="Married"/>
    <n v="4152"/>
    <n v="15830"/>
    <n v="1"/>
    <s v="Y"/>
    <s v="No"/>
    <n v="19"/>
    <n v="3"/>
    <n v="1"/>
    <n v="80"/>
    <n v="3"/>
    <n v="11"/>
    <n v="3"/>
    <n v="3"/>
    <x v="19"/>
    <n v="10"/>
    <n v="10"/>
    <n v="8"/>
    <x v="1"/>
    <x v="1"/>
    <s v="Active"/>
    <x v="0"/>
  </r>
  <r>
    <n v="46"/>
    <x v="0"/>
    <s v="Travel Rarely"/>
    <n v="669"/>
    <x v="0"/>
    <n v="9"/>
    <n v="2"/>
    <s v="Medical"/>
    <n v="1"/>
    <x v="89"/>
    <n v="3"/>
    <x v="1"/>
    <n v="64"/>
    <n v="2"/>
    <n v="3"/>
    <x v="0"/>
    <n v="4"/>
    <s v="Single"/>
    <n v="9619"/>
    <n v="13596"/>
    <n v="1"/>
    <s v="Y"/>
    <s v="No"/>
    <n v="16"/>
    <n v="3"/>
    <n v="4"/>
    <n v="80"/>
    <n v="0"/>
    <n v="9"/>
    <n v="3"/>
    <n v="3"/>
    <x v="7"/>
    <n v="8"/>
    <n v="4"/>
    <n v="7"/>
    <x v="0"/>
    <x v="0"/>
    <s v="Resigned"/>
    <x v="0"/>
  </r>
  <r>
    <n v="40"/>
    <x v="1"/>
    <s v="Travel Frequently"/>
    <n v="530"/>
    <x v="1"/>
    <n v="1"/>
    <n v="4"/>
    <s v="Life Sciences"/>
    <n v="1"/>
    <x v="90"/>
    <n v="3"/>
    <x v="1"/>
    <n v="78"/>
    <n v="2"/>
    <n v="4"/>
    <x v="4"/>
    <n v="2"/>
    <s v="Married"/>
    <n v="13503"/>
    <n v="14115"/>
    <n v="1"/>
    <s v="Y"/>
    <s v="No"/>
    <n v="22"/>
    <n v="4"/>
    <n v="4"/>
    <n v="80"/>
    <n v="1"/>
    <n v="22"/>
    <n v="3"/>
    <n v="2"/>
    <x v="14"/>
    <n v="3"/>
    <n v="11"/>
    <n v="11"/>
    <x v="1"/>
    <x v="2"/>
    <s v="Active"/>
    <x v="0"/>
  </r>
  <r>
    <n v="51"/>
    <x v="1"/>
    <s v="Travel Rarely"/>
    <n v="632"/>
    <x v="0"/>
    <n v="21"/>
    <n v="4"/>
    <s v="Marketing"/>
    <n v="1"/>
    <x v="91"/>
    <n v="3"/>
    <x v="1"/>
    <n v="71"/>
    <n v="3"/>
    <n v="2"/>
    <x v="0"/>
    <n v="4"/>
    <s v="Single"/>
    <n v="5441"/>
    <n v="8423"/>
    <n v="0"/>
    <s v="Y"/>
    <s v="Yes"/>
    <n v="22"/>
    <n v="4"/>
    <n v="4"/>
    <n v="80"/>
    <n v="0"/>
    <n v="11"/>
    <n v="2"/>
    <n v="1"/>
    <x v="1"/>
    <n v="7"/>
    <n v="1"/>
    <n v="0"/>
    <x v="0"/>
    <x v="0"/>
    <s v="Active"/>
    <x v="0"/>
  </r>
  <r>
    <n v="30"/>
    <x v="1"/>
    <s v="Travel Rarely"/>
    <n v="1334"/>
    <x v="0"/>
    <n v="4"/>
    <n v="2"/>
    <s v="Medical"/>
    <n v="1"/>
    <x v="92"/>
    <n v="3"/>
    <x v="0"/>
    <n v="63"/>
    <n v="2"/>
    <n v="2"/>
    <x v="0"/>
    <n v="2"/>
    <s v="Divorced"/>
    <n v="5209"/>
    <n v="19760"/>
    <n v="1"/>
    <s v="Y"/>
    <s v="Yes"/>
    <n v="12"/>
    <n v="3"/>
    <n v="2"/>
    <n v="80"/>
    <n v="3"/>
    <n v="11"/>
    <n v="4"/>
    <n v="2"/>
    <x v="19"/>
    <n v="8"/>
    <n v="2"/>
    <n v="7"/>
    <x v="1"/>
    <x v="0"/>
    <s v="Active"/>
    <x v="0"/>
  </r>
  <r>
    <n v="46"/>
    <x v="1"/>
    <s v="Travel Frequently"/>
    <n v="638"/>
    <x v="1"/>
    <n v="1"/>
    <n v="3"/>
    <s v="Medical"/>
    <n v="1"/>
    <x v="93"/>
    <n v="3"/>
    <x v="1"/>
    <n v="40"/>
    <n v="2"/>
    <n v="3"/>
    <x v="4"/>
    <n v="1"/>
    <s v="Married"/>
    <n v="10673"/>
    <n v="3142"/>
    <n v="2"/>
    <s v="Y"/>
    <s v="Yes"/>
    <n v="13"/>
    <n v="3"/>
    <n v="3"/>
    <n v="80"/>
    <n v="1"/>
    <n v="21"/>
    <n v="5"/>
    <n v="2"/>
    <x v="1"/>
    <n v="9"/>
    <n v="9"/>
    <n v="5"/>
    <x v="0"/>
    <x v="2"/>
    <s v="Active"/>
    <x v="0"/>
  </r>
  <r>
    <n v="32"/>
    <x v="1"/>
    <s v="Travel Rarely"/>
    <n v="1093"/>
    <x v="0"/>
    <n v="6"/>
    <n v="4"/>
    <s v="Medical"/>
    <n v="1"/>
    <x v="94"/>
    <n v="2"/>
    <x v="1"/>
    <n v="87"/>
    <n v="3"/>
    <n v="2"/>
    <x v="0"/>
    <n v="3"/>
    <s v="Single"/>
    <n v="5010"/>
    <n v="24301"/>
    <n v="1"/>
    <s v="Y"/>
    <s v="No"/>
    <n v="16"/>
    <n v="3"/>
    <n v="1"/>
    <n v="80"/>
    <n v="0"/>
    <n v="12"/>
    <n v="0"/>
    <n v="3"/>
    <x v="19"/>
    <n v="8"/>
    <n v="5"/>
    <n v="7"/>
    <x v="1"/>
    <x v="0"/>
    <s v="Active"/>
    <x v="0"/>
  </r>
  <r>
    <n v="54"/>
    <x v="1"/>
    <s v="Travel Rarely"/>
    <n v="1217"/>
    <x v="1"/>
    <n v="2"/>
    <n v="4"/>
    <s v="Technical Degree"/>
    <n v="1"/>
    <x v="95"/>
    <n v="1"/>
    <x v="0"/>
    <n v="60"/>
    <n v="3"/>
    <n v="3"/>
    <x v="7"/>
    <n v="3"/>
    <s v="Married"/>
    <n v="13549"/>
    <n v="24001"/>
    <n v="9"/>
    <s v="Y"/>
    <s v="No"/>
    <n v="12"/>
    <n v="3"/>
    <n v="1"/>
    <n v="80"/>
    <n v="1"/>
    <n v="16"/>
    <n v="5"/>
    <n v="1"/>
    <x v="9"/>
    <n v="3"/>
    <n v="0"/>
    <n v="3"/>
    <x v="0"/>
    <x v="2"/>
    <s v="Active"/>
    <x v="4"/>
  </r>
  <r>
    <n v="24"/>
    <x v="1"/>
    <s v="Travel Rarely"/>
    <n v="1353"/>
    <x v="0"/>
    <n v="3"/>
    <n v="2"/>
    <s v="Other"/>
    <n v="1"/>
    <x v="96"/>
    <n v="1"/>
    <x v="0"/>
    <n v="33"/>
    <n v="3"/>
    <n v="2"/>
    <x v="0"/>
    <n v="3"/>
    <s v="Married"/>
    <n v="4999"/>
    <n v="17519"/>
    <n v="0"/>
    <s v="Y"/>
    <s v="No"/>
    <n v="21"/>
    <n v="4"/>
    <n v="1"/>
    <n v="80"/>
    <n v="1"/>
    <n v="4"/>
    <n v="2"/>
    <n v="2"/>
    <x v="11"/>
    <n v="2"/>
    <n v="0"/>
    <n v="2"/>
    <x v="2"/>
    <x v="1"/>
    <s v="Active"/>
    <x v="5"/>
  </r>
  <r>
    <n v="28"/>
    <x v="1"/>
    <s v="Non Travel"/>
    <n v="120"/>
    <x v="0"/>
    <n v="4"/>
    <n v="3"/>
    <s v="Medical"/>
    <n v="1"/>
    <x v="97"/>
    <n v="2"/>
    <x v="1"/>
    <n v="43"/>
    <n v="3"/>
    <n v="2"/>
    <x v="0"/>
    <n v="3"/>
    <s v="Married"/>
    <n v="4221"/>
    <n v="8863"/>
    <n v="1"/>
    <s v="Y"/>
    <s v="No"/>
    <n v="15"/>
    <n v="3"/>
    <n v="2"/>
    <n v="80"/>
    <n v="0"/>
    <n v="5"/>
    <n v="3"/>
    <n v="4"/>
    <x v="8"/>
    <n v="4"/>
    <n v="0"/>
    <n v="4"/>
    <x v="2"/>
    <x v="1"/>
    <s v="Active"/>
    <x v="3"/>
  </r>
  <r>
    <n v="58"/>
    <x v="1"/>
    <s v="Travel Rarely"/>
    <n v="682"/>
    <x v="0"/>
    <n v="10"/>
    <n v="4"/>
    <s v="Medical"/>
    <n v="1"/>
    <x v="98"/>
    <n v="4"/>
    <x v="1"/>
    <n v="37"/>
    <n v="3"/>
    <n v="4"/>
    <x v="0"/>
    <n v="3"/>
    <s v="Single"/>
    <n v="13872"/>
    <n v="24409"/>
    <n v="0"/>
    <s v="Y"/>
    <s v="No"/>
    <n v="13"/>
    <n v="3"/>
    <n v="3"/>
    <n v="80"/>
    <n v="0"/>
    <n v="38"/>
    <n v="1"/>
    <n v="2"/>
    <x v="21"/>
    <n v="10"/>
    <n v="1"/>
    <n v="8"/>
    <x v="0"/>
    <x v="2"/>
    <s v="Active"/>
    <x v="0"/>
  </r>
  <r>
    <n v="44"/>
    <x v="1"/>
    <s v="Non Travel"/>
    <n v="489"/>
    <x v="1"/>
    <n v="23"/>
    <n v="3"/>
    <s v="Medical"/>
    <n v="1"/>
    <x v="99"/>
    <n v="2"/>
    <x v="1"/>
    <n v="67"/>
    <n v="3"/>
    <n v="2"/>
    <x v="2"/>
    <n v="2"/>
    <s v="Married"/>
    <n v="2042"/>
    <n v="25043"/>
    <n v="4"/>
    <s v="Y"/>
    <s v="No"/>
    <n v="12"/>
    <n v="3"/>
    <n v="3"/>
    <n v="80"/>
    <n v="1"/>
    <n v="17"/>
    <n v="3"/>
    <n v="4"/>
    <x v="11"/>
    <n v="2"/>
    <n v="1"/>
    <n v="2"/>
    <x v="0"/>
    <x v="1"/>
    <s v="Active"/>
    <x v="5"/>
  </r>
  <r>
    <n v="37"/>
    <x v="0"/>
    <s v="Travel Rarely"/>
    <n v="807"/>
    <x v="2"/>
    <n v="6"/>
    <n v="4"/>
    <s v="Human Resources"/>
    <n v="1"/>
    <x v="100"/>
    <n v="3"/>
    <x v="1"/>
    <n v="63"/>
    <n v="3"/>
    <n v="1"/>
    <x v="8"/>
    <n v="1"/>
    <s v="Divorced"/>
    <n v="2073"/>
    <n v="23648"/>
    <n v="4"/>
    <s v="Y"/>
    <s v="Yes"/>
    <n v="22"/>
    <n v="4"/>
    <n v="4"/>
    <n v="80"/>
    <n v="0"/>
    <n v="7"/>
    <n v="3"/>
    <n v="3"/>
    <x v="11"/>
    <n v="2"/>
    <n v="0"/>
    <n v="2"/>
    <x v="1"/>
    <x v="1"/>
    <s v="Resigned"/>
    <x v="5"/>
  </r>
  <r>
    <n v="32"/>
    <x v="1"/>
    <s v="Travel Rarely"/>
    <n v="827"/>
    <x v="1"/>
    <n v="1"/>
    <n v="1"/>
    <s v="Life Sciences"/>
    <n v="1"/>
    <x v="101"/>
    <n v="4"/>
    <x v="1"/>
    <n v="71"/>
    <n v="3"/>
    <n v="1"/>
    <x v="1"/>
    <n v="1"/>
    <s v="Single"/>
    <n v="2956"/>
    <n v="15178"/>
    <n v="1"/>
    <s v="Y"/>
    <s v="No"/>
    <n v="13"/>
    <n v="3"/>
    <n v="4"/>
    <n v="80"/>
    <n v="0"/>
    <n v="1"/>
    <n v="2"/>
    <n v="3"/>
    <x v="6"/>
    <n v="0"/>
    <n v="0"/>
    <n v="0"/>
    <x v="1"/>
    <x v="1"/>
    <s v="Active"/>
    <x v="1"/>
  </r>
  <r>
    <n v="20"/>
    <x v="0"/>
    <s v="Travel Frequently"/>
    <n v="871"/>
    <x v="1"/>
    <n v="6"/>
    <n v="3"/>
    <s v="Life Sciences"/>
    <n v="1"/>
    <x v="102"/>
    <n v="4"/>
    <x v="0"/>
    <n v="66"/>
    <n v="2"/>
    <n v="1"/>
    <x v="2"/>
    <n v="4"/>
    <s v="Single"/>
    <n v="2926"/>
    <n v="19783"/>
    <n v="1"/>
    <s v="Y"/>
    <s v="Yes"/>
    <n v="18"/>
    <n v="3"/>
    <n v="2"/>
    <n v="80"/>
    <n v="0"/>
    <n v="1"/>
    <n v="5"/>
    <n v="3"/>
    <x v="6"/>
    <n v="0"/>
    <n v="1"/>
    <n v="0"/>
    <x v="2"/>
    <x v="1"/>
    <s v="Resigned"/>
    <x v="1"/>
  </r>
  <r>
    <n v="34"/>
    <x v="1"/>
    <s v="Travel Rarely"/>
    <n v="665"/>
    <x v="1"/>
    <n v="6"/>
    <n v="4"/>
    <s v="Other"/>
    <n v="1"/>
    <x v="103"/>
    <n v="1"/>
    <x v="0"/>
    <n v="41"/>
    <n v="3"/>
    <n v="2"/>
    <x v="1"/>
    <n v="3"/>
    <s v="Single"/>
    <n v="4809"/>
    <n v="12482"/>
    <n v="1"/>
    <s v="Y"/>
    <s v="No"/>
    <n v="14"/>
    <n v="3"/>
    <n v="3"/>
    <n v="80"/>
    <n v="0"/>
    <n v="16"/>
    <n v="3"/>
    <n v="3"/>
    <x v="22"/>
    <n v="13"/>
    <n v="2"/>
    <n v="10"/>
    <x v="1"/>
    <x v="1"/>
    <s v="Active"/>
    <x v="0"/>
  </r>
  <r>
    <n v="37"/>
    <x v="1"/>
    <s v="Non Travel"/>
    <n v="1040"/>
    <x v="1"/>
    <n v="2"/>
    <n v="2"/>
    <s v="Life Sciences"/>
    <n v="1"/>
    <x v="104"/>
    <n v="3"/>
    <x v="1"/>
    <n v="100"/>
    <n v="2"/>
    <n v="2"/>
    <x v="4"/>
    <n v="4"/>
    <s v="Divorced"/>
    <n v="5163"/>
    <n v="15850"/>
    <n v="5"/>
    <s v="Y"/>
    <s v="No"/>
    <n v="14"/>
    <n v="3"/>
    <n v="4"/>
    <n v="80"/>
    <n v="1"/>
    <n v="17"/>
    <n v="2"/>
    <n v="4"/>
    <x v="6"/>
    <n v="0"/>
    <n v="0"/>
    <n v="0"/>
    <x v="1"/>
    <x v="0"/>
    <s v="Active"/>
    <x v="1"/>
  </r>
  <r>
    <n v="59"/>
    <x v="1"/>
    <s v="Non Travel"/>
    <n v="1420"/>
    <x v="2"/>
    <n v="2"/>
    <n v="4"/>
    <s v="Human Resources"/>
    <n v="1"/>
    <x v="105"/>
    <n v="3"/>
    <x v="0"/>
    <n v="32"/>
    <n v="2"/>
    <n v="5"/>
    <x v="5"/>
    <n v="4"/>
    <s v="Married"/>
    <n v="18844"/>
    <n v="21922"/>
    <n v="9"/>
    <s v="Y"/>
    <s v="No"/>
    <n v="21"/>
    <n v="4"/>
    <n v="4"/>
    <n v="80"/>
    <n v="1"/>
    <n v="30"/>
    <n v="3"/>
    <n v="3"/>
    <x v="11"/>
    <n v="2"/>
    <n v="2"/>
    <n v="2"/>
    <x v="0"/>
    <x v="2"/>
    <s v="Active"/>
    <x v="5"/>
  </r>
  <r>
    <n v="50"/>
    <x v="1"/>
    <s v="Travel Frequently"/>
    <n v="1115"/>
    <x v="1"/>
    <n v="1"/>
    <n v="3"/>
    <s v="Life Sciences"/>
    <n v="1"/>
    <x v="106"/>
    <n v="1"/>
    <x v="0"/>
    <n v="73"/>
    <n v="3"/>
    <n v="5"/>
    <x v="7"/>
    <n v="2"/>
    <s v="Married"/>
    <n v="18172"/>
    <n v="9755"/>
    <n v="3"/>
    <s v="Y"/>
    <s v="Yes"/>
    <n v="19"/>
    <n v="3"/>
    <n v="1"/>
    <n v="80"/>
    <n v="0"/>
    <n v="28"/>
    <n v="1"/>
    <n v="2"/>
    <x v="3"/>
    <n v="3"/>
    <n v="0"/>
    <n v="7"/>
    <x v="0"/>
    <x v="2"/>
    <s v="Active"/>
    <x v="0"/>
  </r>
  <r>
    <n v="25"/>
    <x v="0"/>
    <s v="Travel Rarely"/>
    <n v="240"/>
    <x v="0"/>
    <n v="5"/>
    <n v="3"/>
    <s v="Marketing"/>
    <n v="1"/>
    <x v="107"/>
    <n v="3"/>
    <x v="1"/>
    <n v="46"/>
    <n v="2"/>
    <n v="2"/>
    <x v="0"/>
    <n v="3"/>
    <s v="Single"/>
    <n v="5744"/>
    <n v="26959"/>
    <n v="1"/>
    <s v="Y"/>
    <s v="Yes"/>
    <n v="11"/>
    <n v="3"/>
    <n v="4"/>
    <n v="80"/>
    <n v="0"/>
    <n v="6"/>
    <n v="1"/>
    <n v="3"/>
    <x v="0"/>
    <n v="4"/>
    <n v="0"/>
    <n v="3"/>
    <x v="2"/>
    <x v="0"/>
    <s v="Resigned"/>
    <x v="0"/>
  </r>
  <r>
    <n v="25"/>
    <x v="1"/>
    <s v="Travel Rarely"/>
    <n v="1280"/>
    <x v="1"/>
    <n v="7"/>
    <n v="1"/>
    <s v="Medical"/>
    <n v="1"/>
    <x v="108"/>
    <n v="4"/>
    <x v="1"/>
    <n v="64"/>
    <n v="2"/>
    <n v="1"/>
    <x v="1"/>
    <n v="4"/>
    <s v="Married"/>
    <n v="2889"/>
    <n v="26897"/>
    <n v="1"/>
    <s v="Y"/>
    <s v="No"/>
    <n v="11"/>
    <n v="3"/>
    <n v="3"/>
    <n v="80"/>
    <n v="2"/>
    <n v="2"/>
    <n v="2"/>
    <n v="3"/>
    <x v="4"/>
    <n v="2"/>
    <n v="2"/>
    <n v="1"/>
    <x v="2"/>
    <x v="1"/>
    <s v="Active"/>
    <x v="2"/>
  </r>
  <r>
    <n v="22"/>
    <x v="1"/>
    <s v="Travel Rarely"/>
    <n v="534"/>
    <x v="1"/>
    <n v="15"/>
    <n v="3"/>
    <s v="Medical"/>
    <n v="1"/>
    <x v="109"/>
    <n v="2"/>
    <x v="0"/>
    <n v="59"/>
    <n v="3"/>
    <n v="1"/>
    <x v="2"/>
    <n v="4"/>
    <s v="Single"/>
    <n v="2871"/>
    <n v="23785"/>
    <n v="1"/>
    <s v="Y"/>
    <s v="No"/>
    <n v="15"/>
    <n v="3"/>
    <n v="3"/>
    <n v="80"/>
    <n v="0"/>
    <n v="1"/>
    <n v="5"/>
    <n v="3"/>
    <x v="2"/>
    <n v="0"/>
    <n v="0"/>
    <n v="0"/>
    <x v="2"/>
    <x v="1"/>
    <s v="Active"/>
    <x v="1"/>
  </r>
  <r>
    <n v="51"/>
    <x v="1"/>
    <s v="Travel Frequently"/>
    <n v="1456"/>
    <x v="1"/>
    <n v="1"/>
    <n v="4"/>
    <s v="Medical"/>
    <n v="1"/>
    <x v="110"/>
    <n v="1"/>
    <x v="0"/>
    <n v="30"/>
    <n v="2"/>
    <n v="3"/>
    <x v="4"/>
    <n v="1"/>
    <s v="Single"/>
    <n v="7484"/>
    <n v="25796"/>
    <n v="3"/>
    <s v="Y"/>
    <s v="No"/>
    <n v="20"/>
    <n v="4"/>
    <n v="3"/>
    <n v="80"/>
    <n v="0"/>
    <n v="23"/>
    <n v="1"/>
    <n v="2"/>
    <x v="20"/>
    <n v="12"/>
    <n v="12"/>
    <n v="8"/>
    <x v="0"/>
    <x v="0"/>
    <s v="Active"/>
    <x v="0"/>
  </r>
  <r>
    <n v="34"/>
    <x v="0"/>
    <s v="Travel Frequently"/>
    <n v="658"/>
    <x v="1"/>
    <n v="7"/>
    <n v="3"/>
    <s v="Life Sciences"/>
    <n v="1"/>
    <x v="111"/>
    <n v="1"/>
    <x v="1"/>
    <n v="66"/>
    <n v="1"/>
    <n v="2"/>
    <x v="2"/>
    <n v="3"/>
    <s v="Single"/>
    <n v="6074"/>
    <n v="22887"/>
    <n v="1"/>
    <s v="Y"/>
    <s v="Yes"/>
    <n v="24"/>
    <n v="4"/>
    <n v="4"/>
    <n v="80"/>
    <n v="0"/>
    <n v="9"/>
    <n v="3"/>
    <n v="3"/>
    <x v="7"/>
    <n v="7"/>
    <n v="0"/>
    <n v="6"/>
    <x v="1"/>
    <x v="0"/>
    <s v="Resigned"/>
    <x v="0"/>
  </r>
  <r>
    <n v="54"/>
    <x v="1"/>
    <s v="Non Travel"/>
    <n v="142"/>
    <x v="2"/>
    <n v="26"/>
    <n v="3"/>
    <s v="Human Resources"/>
    <n v="1"/>
    <x v="112"/>
    <n v="4"/>
    <x v="0"/>
    <n v="30"/>
    <n v="4"/>
    <n v="4"/>
    <x v="5"/>
    <n v="4"/>
    <s v="Single"/>
    <n v="17328"/>
    <n v="13871"/>
    <n v="2"/>
    <s v="Y"/>
    <s v="Yes"/>
    <n v="12"/>
    <n v="3"/>
    <n v="3"/>
    <n v="80"/>
    <n v="0"/>
    <n v="23"/>
    <n v="3"/>
    <n v="3"/>
    <x v="8"/>
    <n v="3"/>
    <n v="4"/>
    <n v="4"/>
    <x v="0"/>
    <x v="2"/>
    <s v="Active"/>
    <x v="3"/>
  </r>
  <r>
    <n v="24"/>
    <x v="1"/>
    <s v="Travel Rarely"/>
    <n v="1127"/>
    <x v="1"/>
    <n v="18"/>
    <n v="1"/>
    <s v="Life Sciences"/>
    <n v="1"/>
    <x v="113"/>
    <n v="2"/>
    <x v="1"/>
    <n v="52"/>
    <n v="3"/>
    <n v="1"/>
    <x v="2"/>
    <n v="3"/>
    <s v="Married"/>
    <n v="2774"/>
    <n v="13257"/>
    <n v="0"/>
    <s v="Y"/>
    <s v="No"/>
    <n v="12"/>
    <n v="3"/>
    <n v="3"/>
    <n v="80"/>
    <n v="1"/>
    <n v="6"/>
    <n v="2"/>
    <n v="3"/>
    <x v="8"/>
    <n v="3"/>
    <n v="1"/>
    <n v="2"/>
    <x v="2"/>
    <x v="1"/>
    <s v="Active"/>
    <x v="3"/>
  </r>
  <r>
    <n v="34"/>
    <x v="1"/>
    <s v="Travel Rarely"/>
    <n v="1031"/>
    <x v="1"/>
    <n v="6"/>
    <n v="4"/>
    <s v="Life Sciences"/>
    <n v="1"/>
    <x v="114"/>
    <n v="3"/>
    <x v="0"/>
    <n v="45"/>
    <n v="2"/>
    <n v="2"/>
    <x v="1"/>
    <n v="2"/>
    <s v="Divorced"/>
    <n v="4505"/>
    <n v="15000"/>
    <n v="6"/>
    <s v="Y"/>
    <s v="No"/>
    <n v="15"/>
    <n v="3"/>
    <n v="3"/>
    <n v="80"/>
    <n v="1"/>
    <n v="12"/>
    <n v="3"/>
    <n v="3"/>
    <x v="6"/>
    <n v="0"/>
    <n v="0"/>
    <n v="0"/>
    <x v="1"/>
    <x v="1"/>
    <s v="Active"/>
    <x v="1"/>
  </r>
  <r>
    <n v="37"/>
    <x v="1"/>
    <s v="Travel Rarely"/>
    <n v="1189"/>
    <x v="0"/>
    <n v="3"/>
    <n v="3"/>
    <s v="Life Sciences"/>
    <n v="1"/>
    <x v="115"/>
    <n v="3"/>
    <x v="1"/>
    <n v="87"/>
    <n v="3"/>
    <n v="3"/>
    <x v="0"/>
    <n v="4"/>
    <s v="Single"/>
    <n v="7428"/>
    <n v="14506"/>
    <n v="2"/>
    <s v="Y"/>
    <s v="No"/>
    <n v="12"/>
    <n v="3"/>
    <n v="1"/>
    <n v="80"/>
    <n v="0"/>
    <n v="12"/>
    <n v="3"/>
    <n v="3"/>
    <x v="8"/>
    <n v="3"/>
    <n v="1"/>
    <n v="3"/>
    <x v="1"/>
    <x v="0"/>
    <s v="Active"/>
    <x v="3"/>
  </r>
  <r>
    <n v="34"/>
    <x v="1"/>
    <s v="Travel Rarely"/>
    <n v="1354"/>
    <x v="1"/>
    <n v="5"/>
    <n v="3"/>
    <s v="Medical"/>
    <n v="1"/>
    <x v="116"/>
    <n v="3"/>
    <x v="0"/>
    <n v="45"/>
    <n v="2"/>
    <n v="3"/>
    <x v="5"/>
    <n v="1"/>
    <s v="Single"/>
    <n v="11631"/>
    <n v="5615"/>
    <n v="2"/>
    <s v="Y"/>
    <s v="No"/>
    <n v="12"/>
    <n v="3"/>
    <n v="4"/>
    <n v="80"/>
    <n v="0"/>
    <n v="14"/>
    <n v="6"/>
    <n v="3"/>
    <x v="19"/>
    <n v="10"/>
    <n v="5"/>
    <n v="8"/>
    <x v="1"/>
    <x v="2"/>
    <s v="Active"/>
    <x v="0"/>
  </r>
  <r>
    <n v="36"/>
    <x v="1"/>
    <s v="Travel Frequently"/>
    <n v="1467"/>
    <x v="0"/>
    <n v="11"/>
    <n v="2"/>
    <s v="Technical Degree"/>
    <n v="1"/>
    <x v="117"/>
    <n v="2"/>
    <x v="0"/>
    <n v="92"/>
    <n v="3"/>
    <n v="3"/>
    <x v="0"/>
    <n v="4"/>
    <s v="Married"/>
    <n v="9738"/>
    <n v="22952"/>
    <n v="0"/>
    <s v="Y"/>
    <s v="No"/>
    <n v="14"/>
    <n v="3"/>
    <n v="3"/>
    <n v="80"/>
    <n v="1"/>
    <n v="10"/>
    <n v="6"/>
    <n v="3"/>
    <x v="7"/>
    <n v="7"/>
    <n v="2"/>
    <n v="8"/>
    <x v="1"/>
    <x v="0"/>
    <s v="Active"/>
    <x v="0"/>
  </r>
  <r>
    <n v="36"/>
    <x v="1"/>
    <s v="Travel Rarely"/>
    <n v="922"/>
    <x v="1"/>
    <n v="3"/>
    <n v="2"/>
    <s v="Life Sciences"/>
    <n v="1"/>
    <x v="118"/>
    <n v="1"/>
    <x v="0"/>
    <n v="39"/>
    <n v="3"/>
    <n v="1"/>
    <x v="2"/>
    <n v="4"/>
    <s v="Divorced"/>
    <n v="2835"/>
    <n v="2561"/>
    <n v="5"/>
    <s v="Y"/>
    <s v="No"/>
    <n v="22"/>
    <n v="4"/>
    <n v="1"/>
    <n v="80"/>
    <n v="1"/>
    <n v="7"/>
    <n v="2"/>
    <n v="3"/>
    <x v="6"/>
    <n v="0"/>
    <n v="0"/>
    <n v="0"/>
    <x v="1"/>
    <x v="1"/>
    <s v="Active"/>
    <x v="1"/>
  </r>
  <r>
    <n v="43"/>
    <x v="1"/>
    <s v="Travel Frequently"/>
    <n v="394"/>
    <x v="0"/>
    <n v="26"/>
    <n v="2"/>
    <s v="Life Sciences"/>
    <n v="1"/>
    <x v="119"/>
    <n v="3"/>
    <x v="1"/>
    <n v="92"/>
    <n v="3"/>
    <n v="4"/>
    <x v="5"/>
    <n v="4"/>
    <s v="Married"/>
    <n v="16959"/>
    <n v="19494"/>
    <n v="1"/>
    <s v="Y"/>
    <s v="Yes"/>
    <n v="12"/>
    <n v="3"/>
    <n v="4"/>
    <n v="80"/>
    <n v="2"/>
    <n v="25"/>
    <n v="3"/>
    <n v="4"/>
    <x v="10"/>
    <n v="12"/>
    <n v="4"/>
    <n v="12"/>
    <x v="0"/>
    <x v="2"/>
    <s v="Active"/>
    <x v="0"/>
  </r>
  <r>
    <n v="30"/>
    <x v="1"/>
    <s v="Travel Frequently"/>
    <n v="1312"/>
    <x v="1"/>
    <n v="23"/>
    <n v="3"/>
    <s v="Life Sciences"/>
    <n v="1"/>
    <x v="120"/>
    <n v="1"/>
    <x v="1"/>
    <n v="96"/>
    <n v="1"/>
    <n v="1"/>
    <x v="1"/>
    <n v="3"/>
    <s v="Divorced"/>
    <n v="2613"/>
    <n v="22310"/>
    <n v="1"/>
    <s v="Y"/>
    <s v="No"/>
    <n v="25"/>
    <n v="4"/>
    <n v="3"/>
    <n v="80"/>
    <n v="3"/>
    <n v="10"/>
    <n v="2"/>
    <n v="2"/>
    <x v="1"/>
    <n v="7"/>
    <n v="0"/>
    <n v="9"/>
    <x v="1"/>
    <x v="1"/>
    <s v="Active"/>
    <x v="0"/>
  </r>
  <r>
    <n v="33"/>
    <x v="1"/>
    <s v="Non Travel"/>
    <n v="750"/>
    <x v="0"/>
    <n v="22"/>
    <n v="2"/>
    <s v="Marketing"/>
    <n v="1"/>
    <x v="121"/>
    <n v="3"/>
    <x v="1"/>
    <n v="95"/>
    <n v="3"/>
    <n v="2"/>
    <x v="0"/>
    <n v="2"/>
    <s v="Married"/>
    <n v="6146"/>
    <n v="15480"/>
    <n v="0"/>
    <s v="Y"/>
    <s v="No"/>
    <n v="13"/>
    <n v="3"/>
    <n v="1"/>
    <n v="80"/>
    <n v="1"/>
    <n v="8"/>
    <n v="2"/>
    <n v="4"/>
    <x v="5"/>
    <n v="7"/>
    <n v="0"/>
    <n v="7"/>
    <x v="1"/>
    <x v="0"/>
    <s v="Active"/>
    <x v="0"/>
  </r>
  <r>
    <n v="56"/>
    <x v="0"/>
    <s v="Travel Rarely"/>
    <n v="441"/>
    <x v="1"/>
    <n v="14"/>
    <n v="4"/>
    <s v="Life Sciences"/>
    <n v="1"/>
    <x v="122"/>
    <n v="2"/>
    <x v="0"/>
    <n v="72"/>
    <n v="3"/>
    <n v="1"/>
    <x v="1"/>
    <n v="2"/>
    <s v="Married"/>
    <n v="4963"/>
    <n v="4510"/>
    <n v="9"/>
    <s v="Y"/>
    <s v="Yes"/>
    <n v="18"/>
    <n v="3"/>
    <n v="1"/>
    <n v="80"/>
    <n v="3"/>
    <n v="7"/>
    <n v="2"/>
    <n v="3"/>
    <x v="8"/>
    <n v="4"/>
    <n v="4"/>
    <n v="3"/>
    <x v="0"/>
    <x v="1"/>
    <s v="Resigned"/>
    <x v="3"/>
  </r>
  <r>
    <n v="51"/>
    <x v="1"/>
    <s v="Travel Rarely"/>
    <n v="684"/>
    <x v="1"/>
    <n v="6"/>
    <n v="3"/>
    <s v="Life Sciences"/>
    <n v="1"/>
    <x v="123"/>
    <n v="1"/>
    <x v="1"/>
    <n v="51"/>
    <n v="3"/>
    <n v="5"/>
    <x v="7"/>
    <n v="3"/>
    <s v="Single"/>
    <n v="19537"/>
    <n v="6462"/>
    <n v="7"/>
    <s v="Y"/>
    <s v="No"/>
    <n v="13"/>
    <n v="3"/>
    <n v="3"/>
    <n v="80"/>
    <n v="0"/>
    <n v="23"/>
    <n v="5"/>
    <n v="3"/>
    <x v="23"/>
    <n v="18"/>
    <n v="15"/>
    <n v="15"/>
    <x v="0"/>
    <x v="2"/>
    <s v="Active"/>
    <x v="0"/>
  </r>
  <r>
    <n v="31"/>
    <x v="0"/>
    <s v="Travel Rarely"/>
    <n v="249"/>
    <x v="0"/>
    <n v="6"/>
    <n v="4"/>
    <s v="Life Sciences"/>
    <n v="1"/>
    <x v="124"/>
    <n v="2"/>
    <x v="1"/>
    <n v="76"/>
    <n v="1"/>
    <n v="2"/>
    <x v="0"/>
    <n v="3"/>
    <s v="Married"/>
    <n v="6172"/>
    <n v="20739"/>
    <n v="4"/>
    <s v="Y"/>
    <s v="Yes"/>
    <n v="18"/>
    <n v="3"/>
    <n v="2"/>
    <n v="80"/>
    <n v="0"/>
    <n v="12"/>
    <n v="3"/>
    <n v="2"/>
    <x v="5"/>
    <n v="7"/>
    <n v="7"/>
    <n v="7"/>
    <x v="1"/>
    <x v="0"/>
    <s v="Resigned"/>
    <x v="0"/>
  </r>
  <r>
    <n v="26"/>
    <x v="1"/>
    <s v="Travel Rarely"/>
    <n v="841"/>
    <x v="1"/>
    <n v="6"/>
    <n v="3"/>
    <s v="Other"/>
    <n v="1"/>
    <x v="125"/>
    <n v="3"/>
    <x v="0"/>
    <n v="46"/>
    <n v="2"/>
    <n v="1"/>
    <x v="1"/>
    <n v="2"/>
    <s v="Married"/>
    <n v="2368"/>
    <n v="23300"/>
    <n v="1"/>
    <s v="Y"/>
    <s v="No"/>
    <n v="19"/>
    <n v="3"/>
    <n v="3"/>
    <n v="80"/>
    <n v="0"/>
    <n v="5"/>
    <n v="3"/>
    <n v="2"/>
    <x v="8"/>
    <n v="4"/>
    <n v="4"/>
    <n v="3"/>
    <x v="2"/>
    <x v="1"/>
    <s v="Active"/>
    <x v="3"/>
  </r>
  <r>
    <n v="58"/>
    <x v="0"/>
    <s v="Travel Rarely"/>
    <n v="147"/>
    <x v="1"/>
    <n v="23"/>
    <n v="4"/>
    <s v="Medical"/>
    <n v="1"/>
    <x v="126"/>
    <n v="4"/>
    <x v="0"/>
    <n v="94"/>
    <n v="3"/>
    <n v="3"/>
    <x v="4"/>
    <n v="4"/>
    <s v="Married"/>
    <n v="10312"/>
    <n v="3465"/>
    <n v="1"/>
    <s v="Y"/>
    <s v="No"/>
    <n v="12"/>
    <n v="3"/>
    <n v="4"/>
    <n v="80"/>
    <n v="1"/>
    <n v="40"/>
    <n v="3"/>
    <n v="2"/>
    <x v="24"/>
    <n v="10"/>
    <n v="15"/>
    <n v="6"/>
    <x v="0"/>
    <x v="2"/>
    <s v="Resigned"/>
    <x v="0"/>
  </r>
  <r>
    <n v="19"/>
    <x v="0"/>
    <s v="Travel Rarely"/>
    <n v="528"/>
    <x v="0"/>
    <n v="22"/>
    <n v="1"/>
    <s v="Marketing"/>
    <n v="1"/>
    <x v="127"/>
    <n v="4"/>
    <x v="1"/>
    <n v="50"/>
    <n v="3"/>
    <n v="1"/>
    <x v="6"/>
    <n v="3"/>
    <s v="Single"/>
    <n v="1675"/>
    <n v="26820"/>
    <n v="1"/>
    <s v="Y"/>
    <s v="Yes"/>
    <n v="19"/>
    <n v="3"/>
    <n v="4"/>
    <n v="80"/>
    <n v="0"/>
    <n v="0"/>
    <n v="2"/>
    <n v="2"/>
    <x v="2"/>
    <n v="0"/>
    <n v="0"/>
    <n v="0"/>
    <x v="2"/>
    <x v="1"/>
    <s v="Resigned"/>
    <x v="1"/>
  </r>
  <r>
    <n v="22"/>
    <x v="1"/>
    <s v="Travel Rarely"/>
    <n v="594"/>
    <x v="1"/>
    <n v="2"/>
    <n v="1"/>
    <s v="Technical Degree"/>
    <n v="1"/>
    <x v="128"/>
    <n v="3"/>
    <x v="1"/>
    <n v="100"/>
    <n v="3"/>
    <n v="1"/>
    <x v="2"/>
    <n v="4"/>
    <s v="Married"/>
    <n v="2523"/>
    <n v="19299"/>
    <n v="0"/>
    <s v="Y"/>
    <s v="No"/>
    <n v="14"/>
    <n v="3"/>
    <n v="3"/>
    <n v="80"/>
    <n v="1"/>
    <n v="3"/>
    <n v="2"/>
    <n v="3"/>
    <x v="4"/>
    <n v="1"/>
    <n v="2"/>
    <n v="1"/>
    <x v="2"/>
    <x v="1"/>
    <s v="Active"/>
    <x v="2"/>
  </r>
  <r>
    <n v="49"/>
    <x v="1"/>
    <s v="Travel Rarely"/>
    <n v="470"/>
    <x v="1"/>
    <n v="20"/>
    <n v="4"/>
    <s v="Medical"/>
    <n v="1"/>
    <x v="129"/>
    <n v="3"/>
    <x v="0"/>
    <n v="96"/>
    <n v="3"/>
    <n v="2"/>
    <x v="3"/>
    <n v="1"/>
    <s v="Married"/>
    <n v="6567"/>
    <n v="5549"/>
    <n v="1"/>
    <s v="Y"/>
    <s v="No"/>
    <n v="14"/>
    <n v="3"/>
    <n v="3"/>
    <n v="80"/>
    <n v="0"/>
    <n v="16"/>
    <n v="2"/>
    <n v="2"/>
    <x v="15"/>
    <n v="11"/>
    <n v="5"/>
    <n v="11"/>
    <x v="0"/>
    <x v="0"/>
    <s v="Active"/>
    <x v="0"/>
  </r>
  <r>
    <n v="43"/>
    <x v="1"/>
    <s v="Travel Frequently"/>
    <n v="957"/>
    <x v="1"/>
    <n v="28"/>
    <n v="3"/>
    <s v="Medical"/>
    <n v="1"/>
    <x v="130"/>
    <n v="2"/>
    <x v="0"/>
    <n v="72"/>
    <n v="4"/>
    <n v="1"/>
    <x v="1"/>
    <n v="3"/>
    <s v="Single"/>
    <n v="4739"/>
    <n v="16090"/>
    <n v="4"/>
    <s v="Y"/>
    <s v="No"/>
    <n v="12"/>
    <n v="3"/>
    <n v="4"/>
    <n v="80"/>
    <n v="0"/>
    <n v="18"/>
    <n v="2"/>
    <n v="3"/>
    <x v="11"/>
    <n v="2"/>
    <n v="1"/>
    <n v="2"/>
    <x v="0"/>
    <x v="1"/>
    <s v="Active"/>
    <x v="5"/>
  </r>
  <r>
    <n v="50"/>
    <x v="1"/>
    <s v="Travel Frequently"/>
    <n v="809"/>
    <x v="0"/>
    <n v="12"/>
    <n v="3"/>
    <s v="Marketing"/>
    <n v="1"/>
    <x v="131"/>
    <n v="3"/>
    <x v="0"/>
    <n v="77"/>
    <n v="3"/>
    <n v="3"/>
    <x v="0"/>
    <n v="4"/>
    <s v="Single"/>
    <n v="9208"/>
    <n v="6645"/>
    <n v="4"/>
    <s v="Y"/>
    <s v="No"/>
    <n v="11"/>
    <n v="3"/>
    <n v="4"/>
    <n v="80"/>
    <n v="0"/>
    <n v="16"/>
    <n v="3"/>
    <n v="3"/>
    <x v="4"/>
    <n v="2"/>
    <n v="2"/>
    <n v="1"/>
    <x v="0"/>
    <x v="0"/>
    <s v="Active"/>
    <x v="2"/>
  </r>
  <r>
    <n v="31"/>
    <x v="0"/>
    <s v="Travel Rarely"/>
    <n v="542"/>
    <x v="0"/>
    <n v="20"/>
    <n v="3"/>
    <s v="Life Sciences"/>
    <n v="1"/>
    <x v="132"/>
    <n v="2"/>
    <x v="0"/>
    <n v="71"/>
    <n v="1"/>
    <n v="2"/>
    <x v="0"/>
    <n v="3"/>
    <s v="Married"/>
    <n v="4559"/>
    <n v="24788"/>
    <n v="3"/>
    <s v="Y"/>
    <s v="Yes"/>
    <n v="11"/>
    <n v="3"/>
    <n v="3"/>
    <n v="80"/>
    <n v="1"/>
    <n v="4"/>
    <n v="2"/>
    <n v="3"/>
    <x v="4"/>
    <n v="2"/>
    <n v="2"/>
    <n v="2"/>
    <x v="1"/>
    <x v="1"/>
    <s v="Resigned"/>
    <x v="2"/>
  </r>
  <r>
    <n v="41"/>
    <x v="1"/>
    <s v="Travel Rarely"/>
    <n v="802"/>
    <x v="0"/>
    <n v="9"/>
    <n v="1"/>
    <s v="Life Sciences"/>
    <n v="1"/>
    <x v="133"/>
    <n v="3"/>
    <x v="1"/>
    <n v="96"/>
    <n v="3"/>
    <n v="3"/>
    <x v="0"/>
    <n v="3"/>
    <s v="Divorced"/>
    <n v="8189"/>
    <n v="21196"/>
    <n v="3"/>
    <s v="Y"/>
    <s v="Yes"/>
    <n v="13"/>
    <n v="3"/>
    <n v="3"/>
    <n v="80"/>
    <n v="1"/>
    <n v="12"/>
    <n v="2"/>
    <n v="3"/>
    <x v="7"/>
    <n v="7"/>
    <n v="0"/>
    <n v="7"/>
    <x v="0"/>
    <x v="0"/>
    <s v="Active"/>
    <x v="0"/>
  </r>
  <r>
    <n v="26"/>
    <x v="1"/>
    <s v="Travel Rarely"/>
    <n v="1355"/>
    <x v="2"/>
    <n v="25"/>
    <n v="1"/>
    <s v="Life Sciences"/>
    <n v="1"/>
    <x v="134"/>
    <n v="3"/>
    <x v="0"/>
    <n v="61"/>
    <n v="3"/>
    <n v="1"/>
    <x v="8"/>
    <n v="3"/>
    <s v="Married"/>
    <n v="2942"/>
    <n v="8916"/>
    <n v="1"/>
    <s v="Y"/>
    <s v="No"/>
    <n v="23"/>
    <n v="4"/>
    <n v="4"/>
    <n v="80"/>
    <n v="1"/>
    <n v="8"/>
    <n v="3"/>
    <n v="3"/>
    <x v="3"/>
    <n v="7"/>
    <n v="5"/>
    <n v="7"/>
    <x v="2"/>
    <x v="1"/>
    <s v="Active"/>
    <x v="0"/>
  </r>
  <r>
    <n v="36"/>
    <x v="1"/>
    <s v="Travel Rarely"/>
    <n v="216"/>
    <x v="1"/>
    <n v="6"/>
    <n v="2"/>
    <s v="Medical"/>
    <n v="1"/>
    <x v="135"/>
    <n v="2"/>
    <x v="1"/>
    <n v="84"/>
    <n v="3"/>
    <n v="2"/>
    <x v="3"/>
    <n v="2"/>
    <s v="Divorced"/>
    <n v="4941"/>
    <n v="2819"/>
    <n v="6"/>
    <s v="Y"/>
    <s v="No"/>
    <n v="20"/>
    <n v="4"/>
    <n v="4"/>
    <n v="80"/>
    <n v="2"/>
    <n v="7"/>
    <n v="0"/>
    <n v="3"/>
    <x v="11"/>
    <n v="2"/>
    <n v="0"/>
    <n v="1"/>
    <x v="1"/>
    <x v="1"/>
    <s v="Active"/>
    <x v="5"/>
  </r>
  <r>
    <n v="51"/>
    <x v="0"/>
    <s v="Travel Frequently"/>
    <n v="1150"/>
    <x v="1"/>
    <n v="8"/>
    <n v="4"/>
    <s v="Life Sciences"/>
    <n v="1"/>
    <x v="136"/>
    <n v="1"/>
    <x v="1"/>
    <n v="53"/>
    <n v="1"/>
    <n v="3"/>
    <x v="3"/>
    <n v="4"/>
    <s v="Single"/>
    <n v="10650"/>
    <n v="25150"/>
    <n v="2"/>
    <s v="Y"/>
    <s v="No"/>
    <n v="15"/>
    <n v="3"/>
    <n v="4"/>
    <n v="80"/>
    <n v="0"/>
    <n v="18"/>
    <n v="2"/>
    <n v="3"/>
    <x v="9"/>
    <n v="2"/>
    <n v="0"/>
    <n v="3"/>
    <x v="0"/>
    <x v="2"/>
    <s v="Resigned"/>
    <x v="4"/>
  </r>
  <r>
    <n v="39"/>
    <x v="1"/>
    <s v="Travel Rarely"/>
    <n v="1329"/>
    <x v="0"/>
    <n v="4"/>
    <n v="4"/>
    <s v="Life Sciences"/>
    <n v="1"/>
    <x v="137"/>
    <n v="4"/>
    <x v="0"/>
    <n v="47"/>
    <n v="2"/>
    <n v="2"/>
    <x v="0"/>
    <n v="3"/>
    <s v="Married"/>
    <n v="5902"/>
    <n v="14590"/>
    <n v="4"/>
    <s v="Y"/>
    <s v="No"/>
    <n v="14"/>
    <n v="3"/>
    <n v="3"/>
    <n v="80"/>
    <n v="1"/>
    <n v="17"/>
    <n v="1"/>
    <n v="4"/>
    <x v="15"/>
    <n v="11"/>
    <n v="5"/>
    <n v="9"/>
    <x v="1"/>
    <x v="0"/>
    <s v="Active"/>
    <x v="0"/>
  </r>
  <r>
    <n v="25"/>
    <x v="1"/>
    <s v="Travel Rarely"/>
    <n v="959"/>
    <x v="0"/>
    <n v="28"/>
    <n v="3"/>
    <s v="Life Sciences"/>
    <n v="1"/>
    <x v="138"/>
    <n v="1"/>
    <x v="1"/>
    <n v="41"/>
    <n v="2"/>
    <n v="2"/>
    <x v="0"/>
    <n v="3"/>
    <s v="Married"/>
    <n v="8639"/>
    <n v="24835"/>
    <n v="2"/>
    <s v="Y"/>
    <s v="No"/>
    <n v="18"/>
    <n v="3"/>
    <n v="4"/>
    <n v="80"/>
    <n v="0"/>
    <n v="6"/>
    <n v="3"/>
    <n v="3"/>
    <x v="4"/>
    <n v="2"/>
    <n v="2"/>
    <n v="2"/>
    <x v="2"/>
    <x v="0"/>
    <s v="Active"/>
    <x v="2"/>
  </r>
  <r>
    <n v="30"/>
    <x v="1"/>
    <s v="Travel Rarely"/>
    <n v="1240"/>
    <x v="2"/>
    <n v="9"/>
    <n v="3"/>
    <s v="Human Resources"/>
    <n v="1"/>
    <x v="139"/>
    <n v="3"/>
    <x v="1"/>
    <n v="48"/>
    <n v="3"/>
    <n v="2"/>
    <x v="8"/>
    <n v="4"/>
    <s v="Married"/>
    <n v="6347"/>
    <n v="13982"/>
    <n v="0"/>
    <s v="Y"/>
    <s v="Yes"/>
    <n v="19"/>
    <n v="3"/>
    <n v="4"/>
    <n v="80"/>
    <n v="0"/>
    <n v="12"/>
    <n v="2"/>
    <n v="1"/>
    <x v="19"/>
    <n v="9"/>
    <n v="4"/>
    <n v="7"/>
    <x v="1"/>
    <x v="0"/>
    <s v="Active"/>
    <x v="0"/>
  </r>
  <r>
    <n v="32"/>
    <x v="0"/>
    <s v="Travel Rarely"/>
    <n v="1033"/>
    <x v="1"/>
    <n v="9"/>
    <n v="3"/>
    <s v="Medical"/>
    <n v="1"/>
    <x v="140"/>
    <n v="1"/>
    <x v="0"/>
    <n v="41"/>
    <n v="3"/>
    <n v="1"/>
    <x v="2"/>
    <n v="1"/>
    <s v="Single"/>
    <n v="4200"/>
    <n v="10224"/>
    <n v="7"/>
    <s v="Y"/>
    <s v="No"/>
    <n v="22"/>
    <n v="4"/>
    <n v="1"/>
    <n v="80"/>
    <n v="0"/>
    <n v="10"/>
    <n v="2"/>
    <n v="4"/>
    <x v="8"/>
    <n v="4"/>
    <n v="0"/>
    <n v="4"/>
    <x v="1"/>
    <x v="1"/>
    <s v="Resigned"/>
    <x v="3"/>
  </r>
  <r>
    <n v="45"/>
    <x v="1"/>
    <s v="Travel Rarely"/>
    <n v="1316"/>
    <x v="1"/>
    <n v="29"/>
    <n v="3"/>
    <s v="Medical"/>
    <n v="1"/>
    <x v="141"/>
    <n v="3"/>
    <x v="1"/>
    <n v="83"/>
    <n v="3"/>
    <n v="1"/>
    <x v="1"/>
    <n v="4"/>
    <s v="Single"/>
    <n v="3452"/>
    <n v="9752"/>
    <n v="5"/>
    <s v="Y"/>
    <s v="No"/>
    <n v="13"/>
    <n v="3"/>
    <n v="2"/>
    <n v="80"/>
    <n v="0"/>
    <n v="9"/>
    <n v="2"/>
    <n v="2"/>
    <x v="0"/>
    <n v="5"/>
    <n v="0"/>
    <n v="3"/>
    <x v="0"/>
    <x v="1"/>
    <s v="Active"/>
    <x v="0"/>
  </r>
  <r>
    <n v="38"/>
    <x v="1"/>
    <s v="Travel Rarely"/>
    <n v="364"/>
    <x v="1"/>
    <n v="3"/>
    <n v="5"/>
    <s v="Technical Degree"/>
    <n v="1"/>
    <x v="142"/>
    <n v="4"/>
    <x v="0"/>
    <n v="32"/>
    <n v="3"/>
    <n v="2"/>
    <x v="1"/>
    <n v="3"/>
    <s v="Single"/>
    <n v="4317"/>
    <n v="2302"/>
    <n v="3"/>
    <s v="Y"/>
    <s v="Yes"/>
    <n v="20"/>
    <n v="4"/>
    <n v="2"/>
    <n v="80"/>
    <n v="0"/>
    <n v="19"/>
    <n v="2"/>
    <n v="3"/>
    <x v="11"/>
    <n v="2"/>
    <n v="2"/>
    <n v="2"/>
    <x v="1"/>
    <x v="1"/>
    <s v="Active"/>
    <x v="5"/>
  </r>
  <r>
    <n v="30"/>
    <x v="1"/>
    <s v="Travel Rarely"/>
    <n v="438"/>
    <x v="1"/>
    <n v="18"/>
    <n v="3"/>
    <s v="Life Sciences"/>
    <n v="1"/>
    <x v="143"/>
    <n v="1"/>
    <x v="0"/>
    <n v="75"/>
    <n v="3"/>
    <n v="1"/>
    <x v="1"/>
    <n v="3"/>
    <s v="Single"/>
    <n v="2632"/>
    <n v="23910"/>
    <n v="1"/>
    <s v="Y"/>
    <s v="No"/>
    <n v="14"/>
    <n v="3"/>
    <n v="3"/>
    <n v="80"/>
    <n v="0"/>
    <n v="5"/>
    <n v="4"/>
    <n v="2"/>
    <x v="8"/>
    <n v="4"/>
    <n v="0"/>
    <n v="4"/>
    <x v="1"/>
    <x v="1"/>
    <s v="Active"/>
    <x v="3"/>
  </r>
  <r>
    <n v="32"/>
    <x v="1"/>
    <s v="Travel Frequently"/>
    <n v="689"/>
    <x v="0"/>
    <n v="9"/>
    <n v="2"/>
    <s v="Medical"/>
    <n v="1"/>
    <x v="144"/>
    <n v="4"/>
    <x v="1"/>
    <n v="35"/>
    <n v="1"/>
    <n v="2"/>
    <x v="0"/>
    <n v="4"/>
    <s v="Divorced"/>
    <n v="4668"/>
    <n v="22812"/>
    <n v="0"/>
    <s v="Y"/>
    <s v="No"/>
    <n v="17"/>
    <n v="3"/>
    <n v="4"/>
    <n v="80"/>
    <n v="3"/>
    <n v="9"/>
    <n v="2"/>
    <n v="4"/>
    <x v="3"/>
    <n v="7"/>
    <n v="0"/>
    <n v="7"/>
    <x v="1"/>
    <x v="1"/>
    <s v="Active"/>
    <x v="0"/>
  </r>
  <r>
    <n v="30"/>
    <x v="1"/>
    <s v="Travel Rarely"/>
    <n v="201"/>
    <x v="1"/>
    <n v="5"/>
    <n v="3"/>
    <s v="Technical Degree"/>
    <n v="1"/>
    <x v="145"/>
    <n v="4"/>
    <x v="0"/>
    <n v="84"/>
    <n v="3"/>
    <n v="1"/>
    <x v="1"/>
    <n v="1"/>
    <s v="Divorced"/>
    <n v="3204"/>
    <n v="10415"/>
    <n v="5"/>
    <s v="Y"/>
    <s v="No"/>
    <n v="14"/>
    <n v="3"/>
    <n v="4"/>
    <n v="80"/>
    <n v="1"/>
    <n v="8"/>
    <n v="3"/>
    <n v="3"/>
    <x v="11"/>
    <n v="2"/>
    <n v="2"/>
    <n v="2"/>
    <x v="1"/>
    <x v="1"/>
    <s v="Active"/>
    <x v="5"/>
  </r>
  <r>
    <n v="30"/>
    <x v="1"/>
    <s v="Travel Rarely"/>
    <n v="1427"/>
    <x v="1"/>
    <n v="2"/>
    <n v="1"/>
    <s v="Medical"/>
    <n v="1"/>
    <x v="146"/>
    <n v="2"/>
    <x v="1"/>
    <n v="35"/>
    <n v="2"/>
    <n v="1"/>
    <x v="2"/>
    <n v="4"/>
    <s v="Single"/>
    <n v="2720"/>
    <n v="11162"/>
    <n v="0"/>
    <s v="Y"/>
    <s v="No"/>
    <n v="13"/>
    <n v="3"/>
    <n v="4"/>
    <n v="80"/>
    <n v="0"/>
    <n v="6"/>
    <n v="3"/>
    <n v="3"/>
    <x v="8"/>
    <n v="3"/>
    <n v="1"/>
    <n v="2"/>
    <x v="1"/>
    <x v="1"/>
    <s v="Active"/>
    <x v="3"/>
  </r>
  <r>
    <n v="41"/>
    <x v="1"/>
    <s v="Travel Frequently"/>
    <n v="857"/>
    <x v="1"/>
    <n v="10"/>
    <n v="3"/>
    <s v="Life Sciences"/>
    <n v="1"/>
    <x v="147"/>
    <n v="4"/>
    <x v="1"/>
    <n v="91"/>
    <n v="2"/>
    <n v="4"/>
    <x v="5"/>
    <n v="1"/>
    <s v="Divorced"/>
    <n v="17181"/>
    <n v="12888"/>
    <n v="4"/>
    <s v="Y"/>
    <s v="No"/>
    <n v="13"/>
    <n v="3"/>
    <n v="2"/>
    <n v="80"/>
    <n v="1"/>
    <n v="21"/>
    <n v="2"/>
    <n v="2"/>
    <x v="5"/>
    <n v="6"/>
    <n v="7"/>
    <n v="7"/>
    <x v="0"/>
    <x v="2"/>
    <s v="Active"/>
    <x v="0"/>
  </r>
  <r>
    <n v="41"/>
    <x v="1"/>
    <s v="Travel Rarely"/>
    <n v="933"/>
    <x v="1"/>
    <n v="9"/>
    <n v="4"/>
    <s v="Life Sciences"/>
    <n v="1"/>
    <x v="148"/>
    <n v="3"/>
    <x v="1"/>
    <n v="94"/>
    <n v="3"/>
    <n v="1"/>
    <x v="2"/>
    <n v="1"/>
    <s v="Married"/>
    <n v="2238"/>
    <n v="6961"/>
    <n v="2"/>
    <s v="Y"/>
    <s v="No"/>
    <n v="21"/>
    <n v="4"/>
    <n v="4"/>
    <n v="80"/>
    <n v="1"/>
    <n v="7"/>
    <n v="2"/>
    <n v="3"/>
    <x v="8"/>
    <n v="0"/>
    <n v="1"/>
    <n v="4"/>
    <x v="0"/>
    <x v="1"/>
    <s v="Active"/>
    <x v="3"/>
  </r>
  <r>
    <n v="19"/>
    <x v="1"/>
    <s v="Travel Rarely"/>
    <n v="1181"/>
    <x v="1"/>
    <n v="3"/>
    <n v="1"/>
    <s v="Medical"/>
    <n v="1"/>
    <x v="149"/>
    <n v="2"/>
    <x v="0"/>
    <n v="79"/>
    <n v="3"/>
    <n v="1"/>
    <x v="2"/>
    <n v="2"/>
    <s v="Single"/>
    <n v="1483"/>
    <n v="16102"/>
    <n v="1"/>
    <s v="Y"/>
    <s v="No"/>
    <n v="14"/>
    <n v="3"/>
    <n v="4"/>
    <n v="80"/>
    <n v="0"/>
    <n v="1"/>
    <n v="3"/>
    <n v="3"/>
    <x v="6"/>
    <n v="0"/>
    <n v="0"/>
    <n v="0"/>
    <x v="2"/>
    <x v="1"/>
    <s v="Active"/>
    <x v="1"/>
  </r>
  <r>
    <n v="40"/>
    <x v="1"/>
    <s v="Travel Frequently"/>
    <n v="1395"/>
    <x v="1"/>
    <n v="26"/>
    <n v="3"/>
    <s v="Medical"/>
    <n v="1"/>
    <x v="150"/>
    <n v="2"/>
    <x v="0"/>
    <n v="54"/>
    <n v="3"/>
    <n v="2"/>
    <x v="1"/>
    <n v="2"/>
    <s v="Divorced"/>
    <n v="5605"/>
    <n v="8504"/>
    <n v="1"/>
    <s v="Y"/>
    <s v="No"/>
    <n v="11"/>
    <n v="3"/>
    <n v="1"/>
    <n v="80"/>
    <n v="1"/>
    <n v="20"/>
    <n v="2"/>
    <n v="3"/>
    <x v="23"/>
    <n v="7"/>
    <n v="2"/>
    <n v="13"/>
    <x v="1"/>
    <x v="0"/>
    <s v="Active"/>
    <x v="0"/>
  </r>
  <r>
    <n v="35"/>
    <x v="1"/>
    <s v="Travel Rarely"/>
    <n v="662"/>
    <x v="0"/>
    <n v="1"/>
    <n v="5"/>
    <s v="Marketing"/>
    <n v="1"/>
    <x v="151"/>
    <n v="3"/>
    <x v="1"/>
    <n v="94"/>
    <n v="3"/>
    <n v="3"/>
    <x v="0"/>
    <n v="2"/>
    <s v="Married"/>
    <n v="7295"/>
    <n v="11439"/>
    <n v="1"/>
    <s v="Y"/>
    <s v="No"/>
    <n v="13"/>
    <n v="3"/>
    <n v="1"/>
    <n v="80"/>
    <n v="2"/>
    <n v="10"/>
    <n v="3"/>
    <n v="3"/>
    <x v="1"/>
    <n v="8"/>
    <n v="0"/>
    <n v="6"/>
    <x v="1"/>
    <x v="0"/>
    <s v="Active"/>
    <x v="0"/>
  </r>
  <r>
    <n v="53"/>
    <x v="1"/>
    <s v="Travel Rarely"/>
    <n v="1436"/>
    <x v="0"/>
    <n v="6"/>
    <n v="2"/>
    <s v="Marketing"/>
    <n v="1"/>
    <x v="152"/>
    <n v="2"/>
    <x v="1"/>
    <n v="34"/>
    <n v="3"/>
    <n v="2"/>
    <x v="6"/>
    <n v="3"/>
    <s v="Married"/>
    <n v="2306"/>
    <n v="16047"/>
    <n v="2"/>
    <s v="Y"/>
    <s v="Yes"/>
    <n v="20"/>
    <n v="4"/>
    <n v="4"/>
    <n v="80"/>
    <n v="1"/>
    <n v="13"/>
    <n v="3"/>
    <n v="1"/>
    <x v="5"/>
    <n v="7"/>
    <n v="4"/>
    <n v="5"/>
    <x v="0"/>
    <x v="1"/>
    <s v="Active"/>
    <x v="0"/>
  </r>
  <r>
    <n v="45"/>
    <x v="1"/>
    <s v="Travel Rarely"/>
    <n v="194"/>
    <x v="1"/>
    <n v="9"/>
    <n v="3"/>
    <s v="Life Sciences"/>
    <n v="1"/>
    <x v="153"/>
    <n v="2"/>
    <x v="1"/>
    <n v="60"/>
    <n v="3"/>
    <n v="2"/>
    <x v="2"/>
    <n v="2"/>
    <s v="Divorced"/>
    <n v="2348"/>
    <n v="10901"/>
    <n v="8"/>
    <s v="Y"/>
    <s v="No"/>
    <n v="18"/>
    <n v="3"/>
    <n v="3"/>
    <n v="80"/>
    <n v="1"/>
    <n v="20"/>
    <n v="2"/>
    <n v="1"/>
    <x v="18"/>
    <n v="9"/>
    <n v="0"/>
    <n v="15"/>
    <x v="0"/>
    <x v="1"/>
    <s v="Active"/>
    <x v="0"/>
  </r>
  <r>
    <n v="32"/>
    <x v="1"/>
    <s v="Travel Frequently"/>
    <n v="967"/>
    <x v="0"/>
    <n v="8"/>
    <n v="3"/>
    <s v="Marketing"/>
    <n v="1"/>
    <x v="154"/>
    <n v="2"/>
    <x v="0"/>
    <n v="43"/>
    <n v="3"/>
    <n v="3"/>
    <x v="0"/>
    <n v="4"/>
    <s v="Single"/>
    <n v="8998"/>
    <n v="15589"/>
    <n v="1"/>
    <s v="Y"/>
    <s v="No"/>
    <n v="14"/>
    <n v="3"/>
    <n v="4"/>
    <n v="80"/>
    <n v="0"/>
    <n v="9"/>
    <n v="2"/>
    <n v="3"/>
    <x v="7"/>
    <n v="8"/>
    <n v="3"/>
    <n v="7"/>
    <x v="1"/>
    <x v="0"/>
    <s v="Active"/>
    <x v="0"/>
  </r>
  <r>
    <n v="29"/>
    <x v="1"/>
    <s v="Non Travel"/>
    <n v="1496"/>
    <x v="1"/>
    <n v="1"/>
    <n v="1"/>
    <s v="Technical Degree"/>
    <n v="1"/>
    <x v="155"/>
    <n v="4"/>
    <x v="1"/>
    <n v="41"/>
    <n v="3"/>
    <n v="2"/>
    <x v="3"/>
    <n v="3"/>
    <s v="Married"/>
    <n v="4319"/>
    <n v="26283"/>
    <n v="1"/>
    <s v="Y"/>
    <s v="No"/>
    <n v="13"/>
    <n v="3"/>
    <n v="1"/>
    <n v="80"/>
    <n v="1"/>
    <n v="10"/>
    <n v="1"/>
    <n v="3"/>
    <x v="1"/>
    <n v="7"/>
    <n v="0"/>
    <n v="9"/>
    <x v="2"/>
    <x v="1"/>
    <s v="Active"/>
    <x v="0"/>
  </r>
  <r>
    <n v="51"/>
    <x v="1"/>
    <s v="Travel Rarely"/>
    <n v="1169"/>
    <x v="1"/>
    <n v="7"/>
    <n v="4"/>
    <s v="Medical"/>
    <n v="1"/>
    <x v="156"/>
    <n v="2"/>
    <x v="1"/>
    <n v="34"/>
    <n v="2"/>
    <n v="2"/>
    <x v="3"/>
    <n v="3"/>
    <s v="Married"/>
    <n v="6132"/>
    <n v="13983"/>
    <n v="2"/>
    <s v="Y"/>
    <s v="No"/>
    <n v="17"/>
    <n v="3"/>
    <n v="3"/>
    <n v="80"/>
    <n v="0"/>
    <n v="10"/>
    <n v="2"/>
    <n v="3"/>
    <x v="6"/>
    <n v="0"/>
    <n v="0"/>
    <n v="0"/>
    <x v="0"/>
    <x v="0"/>
    <s v="Active"/>
    <x v="1"/>
  </r>
  <r>
    <n v="58"/>
    <x v="1"/>
    <s v="Travel Rarely"/>
    <n v="1145"/>
    <x v="1"/>
    <n v="9"/>
    <n v="3"/>
    <s v="Medical"/>
    <n v="1"/>
    <x v="157"/>
    <n v="2"/>
    <x v="0"/>
    <n v="75"/>
    <n v="2"/>
    <n v="1"/>
    <x v="1"/>
    <n v="2"/>
    <s v="Married"/>
    <n v="3346"/>
    <n v="11873"/>
    <n v="4"/>
    <s v="Y"/>
    <s v="Yes"/>
    <n v="20"/>
    <n v="4"/>
    <n v="2"/>
    <n v="80"/>
    <n v="1"/>
    <n v="9"/>
    <n v="3"/>
    <n v="2"/>
    <x v="6"/>
    <n v="0"/>
    <n v="0"/>
    <n v="0"/>
    <x v="0"/>
    <x v="1"/>
    <s v="Active"/>
    <x v="1"/>
  </r>
  <r>
    <n v="40"/>
    <x v="1"/>
    <s v="Travel Rarely"/>
    <n v="630"/>
    <x v="0"/>
    <n v="4"/>
    <n v="4"/>
    <s v="Marketing"/>
    <n v="1"/>
    <x v="158"/>
    <n v="3"/>
    <x v="1"/>
    <n v="67"/>
    <n v="2"/>
    <n v="3"/>
    <x v="0"/>
    <n v="4"/>
    <s v="Married"/>
    <n v="10855"/>
    <n v="8552"/>
    <n v="7"/>
    <s v="Y"/>
    <s v="No"/>
    <n v="11"/>
    <n v="3"/>
    <n v="1"/>
    <n v="80"/>
    <n v="1"/>
    <n v="15"/>
    <n v="2"/>
    <n v="2"/>
    <x v="12"/>
    <n v="11"/>
    <n v="2"/>
    <n v="11"/>
    <x v="1"/>
    <x v="2"/>
    <s v="Active"/>
    <x v="0"/>
  </r>
  <r>
    <n v="34"/>
    <x v="1"/>
    <s v="Travel Frequently"/>
    <n v="303"/>
    <x v="0"/>
    <n v="2"/>
    <n v="4"/>
    <s v="Marketing"/>
    <n v="1"/>
    <x v="159"/>
    <n v="3"/>
    <x v="0"/>
    <n v="75"/>
    <n v="3"/>
    <n v="1"/>
    <x v="6"/>
    <n v="3"/>
    <s v="Married"/>
    <n v="2231"/>
    <n v="11314"/>
    <n v="6"/>
    <s v="Y"/>
    <s v="No"/>
    <n v="18"/>
    <n v="3"/>
    <n v="4"/>
    <n v="80"/>
    <n v="1"/>
    <n v="6"/>
    <n v="3"/>
    <n v="3"/>
    <x v="9"/>
    <n v="3"/>
    <n v="1"/>
    <n v="2"/>
    <x v="1"/>
    <x v="1"/>
    <s v="Active"/>
    <x v="4"/>
  </r>
  <r>
    <n v="22"/>
    <x v="1"/>
    <s v="Travel Rarely"/>
    <n v="1256"/>
    <x v="1"/>
    <n v="19"/>
    <n v="1"/>
    <s v="Medical"/>
    <n v="1"/>
    <x v="160"/>
    <n v="3"/>
    <x v="1"/>
    <n v="80"/>
    <n v="3"/>
    <n v="1"/>
    <x v="1"/>
    <n v="4"/>
    <s v="Married"/>
    <n v="2323"/>
    <n v="11992"/>
    <n v="1"/>
    <s v="Y"/>
    <s v="No"/>
    <n v="24"/>
    <n v="4"/>
    <n v="1"/>
    <n v="80"/>
    <n v="2"/>
    <n v="2"/>
    <n v="6"/>
    <n v="3"/>
    <x v="4"/>
    <n v="2"/>
    <n v="2"/>
    <n v="2"/>
    <x v="2"/>
    <x v="1"/>
    <s v="Active"/>
    <x v="2"/>
  </r>
  <r>
    <n v="27"/>
    <x v="1"/>
    <s v="Non Travel"/>
    <n v="691"/>
    <x v="1"/>
    <n v="9"/>
    <n v="3"/>
    <s v="Medical"/>
    <n v="1"/>
    <x v="161"/>
    <n v="4"/>
    <x v="1"/>
    <n v="57"/>
    <n v="3"/>
    <n v="1"/>
    <x v="1"/>
    <n v="2"/>
    <s v="Divorced"/>
    <n v="2024"/>
    <n v="5970"/>
    <n v="6"/>
    <s v="Y"/>
    <s v="No"/>
    <n v="18"/>
    <n v="3"/>
    <n v="4"/>
    <n v="80"/>
    <n v="1"/>
    <n v="6"/>
    <n v="1"/>
    <n v="1"/>
    <x v="4"/>
    <n v="2"/>
    <n v="2"/>
    <n v="2"/>
    <x v="2"/>
    <x v="1"/>
    <s v="Active"/>
    <x v="2"/>
  </r>
  <r>
    <n v="28"/>
    <x v="1"/>
    <s v="Travel Rarely"/>
    <n v="440"/>
    <x v="1"/>
    <n v="21"/>
    <n v="3"/>
    <s v="Medical"/>
    <n v="1"/>
    <x v="162"/>
    <n v="3"/>
    <x v="1"/>
    <n v="42"/>
    <n v="3"/>
    <n v="1"/>
    <x v="1"/>
    <n v="4"/>
    <s v="Married"/>
    <n v="2713"/>
    <n v="6672"/>
    <n v="1"/>
    <s v="Y"/>
    <s v="No"/>
    <n v="11"/>
    <n v="3"/>
    <n v="3"/>
    <n v="80"/>
    <n v="1"/>
    <n v="5"/>
    <n v="2"/>
    <n v="1"/>
    <x v="8"/>
    <n v="2"/>
    <n v="0"/>
    <n v="2"/>
    <x v="2"/>
    <x v="1"/>
    <s v="Active"/>
    <x v="3"/>
  </r>
  <r>
    <n v="57"/>
    <x v="1"/>
    <s v="Travel Rarely"/>
    <n v="334"/>
    <x v="1"/>
    <n v="24"/>
    <n v="2"/>
    <s v="Life Sciences"/>
    <n v="1"/>
    <x v="163"/>
    <n v="3"/>
    <x v="1"/>
    <n v="83"/>
    <n v="4"/>
    <n v="3"/>
    <x v="4"/>
    <n v="4"/>
    <s v="Divorced"/>
    <n v="9439"/>
    <n v="23402"/>
    <n v="3"/>
    <s v="Y"/>
    <s v="Yes"/>
    <n v="16"/>
    <n v="3"/>
    <n v="2"/>
    <n v="80"/>
    <n v="1"/>
    <n v="12"/>
    <n v="2"/>
    <n v="1"/>
    <x v="8"/>
    <n v="3"/>
    <n v="1"/>
    <n v="4"/>
    <x v="0"/>
    <x v="0"/>
    <s v="Active"/>
    <x v="3"/>
  </r>
  <r>
    <n v="27"/>
    <x v="1"/>
    <s v="Non Travel"/>
    <n v="1450"/>
    <x v="1"/>
    <n v="3"/>
    <n v="3"/>
    <s v="Medical"/>
    <n v="1"/>
    <x v="164"/>
    <n v="3"/>
    <x v="1"/>
    <n v="79"/>
    <n v="2"/>
    <n v="1"/>
    <x v="1"/>
    <n v="3"/>
    <s v="Divorced"/>
    <n v="2566"/>
    <n v="25326"/>
    <n v="1"/>
    <s v="Y"/>
    <s v="Yes"/>
    <n v="15"/>
    <n v="3"/>
    <n v="4"/>
    <n v="80"/>
    <n v="1"/>
    <n v="1"/>
    <n v="2"/>
    <n v="2"/>
    <x v="6"/>
    <n v="1"/>
    <n v="0"/>
    <n v="1"/>
    <x v="2"/>
    <x v="1"/>
    <s v="Active"/>
    <x v="1"/>
  </r>
  <r>
    <n v="50"/>
    <x v="1"/>
    <s v="Travel Rarely"/>
    <n v="1452"/>
    <x v="1"/>
    <n v="11"/>
    <n v="3"/>
    <s v="Life Sciences"/>
    <n v="1"/>
    <x v="165"/>
    <n v="3"/>
    <x v="0"/>
    <n v="53"/>
    <n v="3"/>
    <n v="5"/>
    <x v="5"/>
    <n v="2"/>
    <s v="Single"/>
    <n v="19926"/>
    <n v="17053"/>
    <n v="3"/>
    <s v="Y"/>
    <s v="No"/>
    <n v="15"/>
    <n v="3"/>
    <n v="2"/>
    <n v="80"/>
    <n v="0"/>
    <n v="21"/>
    <n v="5"/>
    <n v="3"/>
    <x v="8"/>
    <n v="4"/>
    <n v="4"/>
    <n v="4"/>
    <x v="0"/>
    <x v="2"/>
    <s v="Active"/>
    <x v="3"/>
  </r>
  <r>
    <n v="41"/>
    <x v="1"/>
    <s v="Travel Rarely"/>
    <n v="465"/>
    <x v="1"/>
    <n v="14"/>
    <n v="3"/>
    <s v="Life Sciences"/>
    <n v="1"/>
    <x v="166"/>
    <n v="1"/>
    <x v="1"/>
    <n v="56"/>
    <n v="3"/>
    <n v="1"/>
    <x v="1"/>
    <n v="3"/>
    <s v="Divorced"/>
    <n v="2451"/>
    <n v="4609"/>
    <n v="4"/>
    <s v="Y"/>
    <s v="No"/>
    <n v="12"/>
    <n v="3"/>
    <n v="1"/>
    <n v="80"/>
    <n v="1"/>
    <n v="13"/>
    <n v="2"/>
    <n v="3"/>
    <x v="7"/>
    <n v="8"/>
    <n v="1"/>
    <n v="8"/>
    <x v="0"/>
    <x v="1"/>
    <s v="Active"/>
    <x v="0"/>
  </r>
  <r>
    <n v="30"/>
    <x v="1"/>
    <s v="Travel Rarely"/>
    <n v="1339"/>
    <x v="0"/>
    <n v="5"/>
    <n v="3"/>
    <s v="Life Sciences"/>
    <n v="1"/>
    <x v="167"/>
    <n v="2"/>
    <x v="0"/>
    <n v="41"/>
    <n v="3"/>
    <n v="3"/>
    <x v="0"/>
    <n v="4"/>
    <s v="Married"/>
    <n v="9419"/>
    <n v="8053"/>
    <n v="2"/>
    <s v="Y"/>
    <s v="No"/>
    <n v="12"/>
    <n v="3"/>
    <n v="3"/>
    <n v="80"/>
    <n v="1"/>
    <n v="12"/>
    <n v="2"/>
    <n v="3"/>
    <x v="1"/>
    <n v="9"/>
    <n v="7"/>
    <n v="4"/>
    <x v="1"/>
    <x v="0"/>
    <s v="Active"/>
    <x v="0"/>
  </r>
  <r>
    <n v="38"/>
    <x v="1"/>
    <s v="Travel Rarely"/>
    <n v="702"/>
    <x v="0"/>
    <n v="1"/>
    <n v="4"/>
    <s v="Life Sciences"/>
    <n v="1"/>
    <x v="168"/>
    <n v="1"/>
    <x v="0"/>
    <n v="59"/>
    <n v="2"/>
    <n v="2"/>
    <x v="0"/>
    <n v="4"/>
    <s v="Single"/>
    <n v="8686"/>
    <n v="12930"/>
    <n v="4"/>
    <s v="Y"/>
    <s v="No"/>
    <n v="22"/>
    <n v="4"/>
    <n v="3"/>
    <n v="80"/>
    <n v="0"/>
    <n v="12"/>
    <n v="2"/>
    <n v="4"/>
    <x v="3"/>
    <n v="3"/>
    <n v="0"/>
    <n v="7"/>
    <x v="1"/>
    <x v="0"/>
    <s v="Active"/>
    <x v="0"/>
  </r>
  <r>
    <n v="32"/>
    <x v="1"/>
    <s v="Travel Rarely"/>
    <n v="120"/>
    <x v="1"/>
    <n v="6"/>
    <n v="5"/>
    <s v="Life Sciences"/>
    <n v="1"/>
    <x v="169"/>
    <n v="3"/>
    <x v="1"/>
    <n v="43"/>
    <n v="3"/>
    <n v="1"/>
    <x v="1"/>
    <n v="3"/>
    <s v="Single"/>
    <n v="3038"/>
    <n v="12430"/>
    <n v="3"/>
    <s v="Y"/>
    <s v="No"/>
    <n v="20"/>
    <n v="4"/>
    <n v="1"/>
    <n v="80"/>
    <n v="0"/>
    <n v="8"/>
    <n v="2"/>
    <n v="3"/>
    <x v="8"/>
    <n v="4"/>
    <n v="1"/>
    <n v="4"/>
    <x v="1"/>
    <x v="1"/>
    <s v="Active"/>
    <x v="3"/>
  </r>
  <r>
    <n v="27"/>
    <x v="1"/>
    <s v="Travel Rarely"/>
    <n v="1157"/>
    <x v="1"/>
    <n v="17"/>
    <n v="3"/>
    <s v="Technical Degree"/>
    <n v="1"/>
    <x v="170"/>
    <n v="3"/>
    <x v="1"/>
    <n v="51"/>
    <n v="3"/>
    <n v="1"/>
    <x v="1"/>
    <n v="2"/>
    <s v="Married"/>
    <n v="3058"/>
    <n v="13364"/>
    <n v="0"/>
    <s v="Y"/>
    <s v="Yes"/>
    <n v="16"/>
    <n v="3"/>
    <n v="4"/>
    <n v="80"/>
    <n v="1"/>
    <n v="6"/>
    <n v="3"/>
    <n v="2"/>
    <x v="8"/>
    <n v="2"/>
    <n v="1"/>
    <n v="1"/>
    <x v="2"/>
    <x v="1"/>
    <s v="Active"/>
    <x v="3"/>
  </r>
  <r>
    <n v="19"/>
    <x v="0"/>
    <s v="Travel Frequently"/>
    <n v="602"/>
    <x v="0"/>
    <n v="1"/>
    <n v="1"/>
    <s v="Technical Degree"/>
    <n v="1"/>
    <x v="171"/>
    <n v="3"/>
    <x v="0"/>
    <n v="100"/>
    <n v="1"/>
    <n v="1"/>
    <x v="6"/>
    <n v="1"/>
    <s v="Single"/>
    <n v="2325"/>
    <n v="20989"/>
    <n v="0"/>
    <s v="Y"/>
    <s v="No"/>
    <n v="21"/>
    <n v="4"/>
    <n v="1"/>
    <n v="80"/>
    <n v="0"/>
    <n v="1"/>
    <n v="5"/>
    <n v="4"/>
    <x v="2"/>
    <n v="0"/>
    <n v="0"/>
    <n v="0"/>
    <x v="2"/>
    <x v="1"/>
    <s v="Resigned"/>
    <x v="1"/>
  </r>
  <r>
    <n v="36"/>
    <x v="1"/>
    <s v="Travel Frequently"/>
    <n v="1480"/>
    <x v="1"/>
    <n v="3"/>
    <n v="2"/>
    <s v="Medical"/>
    <n v="1"/>
    <x v="172"/>
    <n v="4"/>
    <x v="1"/>
    <n v="30"/>
    <n v="3"/>
    <n v="1"/>
    <x v="2"/>
    <n v="2"/>
    <s v="Single"/>
    <n v="2088"/>
    <n v="15062"/>
    <n v="4"/>
    <s v="Y"/>
    <s v="No"/>
    <n v="12"/>
    <n v="3"/>
    <n v="3"/>
    <n v="80"/>
    <n v="0"/>
    <n v="13"/>
    <n v="3"/>
    <n v="2"/>
    <x v="3"/>
    <n v="7"/>
    <n v="7"/>
    <n v="2"/>
    <x v="1"/>
    <x v="1"/>
    <s v="Active"/>
    <x v="0"/>
  </r>
  <r>
    <n v="30"/>
    <x v="1"/>
    <s v="Non Travel"/>
    <n v="111"/>
    <x v="1"/>
    <n v="9"/>
    <n v="3"/>
    <s v="Medical"/>
    <n v="1"/>
    <x v="173"/>
    <n v="3"/>
    <x v="1"/>
    <n v="66"/>
    <n v="3"/>
    <n v="2"/>
    <x v="2"/>
    <n v="1"/>
    <s v="Divorced"/>
    <n v="3072"/>
    <n v="11012"/>
    <n v="1"/>
    <s v="Y"/>
    <s v="No"/>
    <n v="11"/>
    <n v="3"/>
    <n v="3"/>
    <n v="80"/>
    <n v="2"/>
    <n v="12"/>
    <n v="4"/>
    <n v="3"/>
    <x v="12"/>
    <n v="9"/>
    <n v="6"/>
    <n v="10"/>
    <x v="1"/>
    <x v="1"/>
    <s v="Active"/>
    <x v="0"/>
  </r>
  <r>
    <n v="45"/>
    <x v="1"/>
    <s v="Travel Rarely"/>
    <n v="1268"/>
    <x v="0"/>
    <n v="4"/>
    <n v="2"/>
    <s v="Life Sciences"/>
    <n v="1"/>
    <x v="174"/>
    <n v="3"/>
    <x v="0"/>
    <n v="30"/>
    <n v="3"/>
    <n v="2"/>
    <x v="0"/>
    <n v="1"/>
    <s v="Divorced"/>
    <n v="5006"/>
    <n v="6319"/>
    <n v="4"/>
    <s v="Y"/>
    <s v="Yes"/>
    <n v="11"/>
    <n v="3"/>
    <n v="1"/>
    <n v="80"/>
    <n v="1"/>
    <n v="9"/>
    <n v="3"/>
    <n v="4"/>
    <x v="8"/>
    <n v="4"/>
    <n v="0"/>
    <n v="3"/>
    <x v="0"/>
    <x v="0"/>
    <s v="Active"/>
    <x v="3"/>
  </r>
  <r>
    <n v="56"/>
    <x v="1"/>
    <s v="Travel Rarely"/>
    <n v="713"/>
    <x v="1"/>
    <n v="8"/>
    <n v="3"/>
    <s v="Life Sciences"/>
    <n v="1"/>
    <x v="175"/>
    <n v="3"/>
    <x v="0"/>
    <n v="67"/>
    <n v="3"/>
    <n v="1"/>
    <x v="1"/>
    <n v="1"/>
    <s v="Divorced"/>
    <n v="4257"/>
    <n v="13939"/>
    <n v="4"/>
    <s v="Y"/>
    <s v="Yes"/>
    <n v="18"/>
    <n v="3"/>
    <n v="3"/>
    <n v="80"/>
    <n v="1"/>
    <n v="19"/>
    <n v="3"/>
    <n v="3"/>
    <x v="4"/>
    <n v="2"/>
    <n v="2"/>
    <n v="2"/>
    <x v="0"/>
    <x v="1"/>
    <s v="Active"/>
    <x v="2"/>
  </r>
  <r>
    <n v="33"/>
    <x v="1"/>
    <s v="Travel Rarely"/>
    <n v="134"/>
    <x v="1"/>
    <n v="2"/>
    <n v="3"/>
    <s v="Life Sciences"/>
    <n v="1"/>
    <x v="176"/>
    <n v="3"/>
    <x v="1"/>
    <n v="90"/>
    <n v="3"/>
    <n v="1"/>
    <x v="1"/>
    <n v="4"/>
    <s v="Single"/>
    <n v="2500"/>
    <n v="10515"/>
    <n v="0"/>
    <s v="Y"/>
    <s v="No"/>
    <n v="14"/>
    <n v="3"/>
    <n v="1"/>
    <n v="80"/>
    <n v="0"/>
    <n v="4"/>
    <n v="2"/>
    <n v="4"/>
    <x v="11"/>
    <n v="1"/>
    <n v="0"/>
    <n v="2"/>
    <x v="1"/>
    <x v="1"/>
    <s v="Active"/>
    <x v="5"/>
  </r>
  <r>
    <n v="19"/>
    <x v="0"/>
    <s v="Travel Rarely"/>
    <n v="303"/>
    <x v="1"/>
    <n v="2"/>
    <n v="3"/>
    <s v="Life Sciences"/>
    <n v="1"/>
    <x v="177"/>
    <n v="2"/>
    <x v="1"/>
    <n v="47"/>
    <n v="2"/>
    <n v="1"/>
    <x v="2"/>
    <n v="4"/>
    <s v="Single"/>
    <n v="1102"/>
    <n v="9241"/>
    <n v="1"/>
    <s v="Y"/>
    <s v="No"/>
    <n v="22"/>
    <n v="4"/>
    <n v="3"/>
    <n v="80"/>
    <n v="0"/>
    <n v="1"/>
    <n v="3"/>
    <n v="2"/>
    <x v="6"/>
    <n v="0"/>
    <n v="1"/>
    <n v="0"/>
    <x v="2"/>
    <x v="1"/>
    <s v="Resigned"/>
    <x v="1"/>
  </r>
  <r>
    <n v="46"/>
    <x v="1"/>
    <s v="Travel Rarely"/>
    <n v="526"/>
    <x v="0"/>
    <n v="1"/>
    <n v="2"/>
    <s v="Marketing"/>
    <n v="1"/>
    <x v="178"/>
    <n v="2"/>
    <x v="0"/>
    <n v="92"/>
    <n v="3"/>
    <n v="3"/>
    <x v="0"/>
    <n v="1"/>
    <s v="Divorced"/>
    <n v="10453"/>
    <n v="2137"/>
    <n v="1"/>
    <s v="Y"/>
    <s v="No"/>
    <n v="25"/>
    <n v="4"/>
    <n v="3"/>
    <n v="80"/>
    <n v="3"/>
    <n v="24"/>
    <n v="2"/>
    <n v="3"/>
    <x v="25"/>
    <n v="13"/>
    <n v="15"/>
    <n v="7"/>
    <x v="0"/>
    <x v="2"/>
    <s v="Active"/>
    <x v="0"/>
  </r>
  <r>
    <n v="38"/>
    <x v="1"/>
    <s v="Travel Rarely"/>
    <n v="1380"/>
    <x v="1"/>
    <n v="9"/>
    <n v="2"/>
    <s v="Life Sciences"/>
    <n v="1"/>
    <x v="179"/>
    <n v="3"/>
    <x v="0"/>
    <n v="75"/>
    <n v="3"/>
    <n v="1"/>
    <x v="2"/>
    <n v="4"/>
    <s v="Single"/>
    <n v="2288"/>
    <n v="6319"/>
    <n v="1"/>
    <s v="Y"/>
    <s v="No"/>
    <n v="12"/>
    <n v="3"/>
    <n v="3"/>
    <n v="80"/>
    <n v="0"/>
    <n v="2"/>
    <n v="3"/>
    <n v="3"/>
    <x v="4"/>
    <n v="2"/>
    <n v="2"/>
    <n v="1"/>
    <x v="1"/>
    <x v="1"/>
    <s v="Active"/>
    <x v="2"/>
  </r>
  <r>
    <n v="31"/>
    <x v="1"/>
    <s v="Travel Rarely"/>
    <n v="140"/>
    <x v="1"/>
    <n v="12"/>
    <n v="1"/>
    <s v="Medical"/>
    <n v="1"/>
    <x v="180"/>
    <n v="3"/>
    <x v="0"/>
    <n v="95"/>
    <n v="3"/>
    <n v="1"/>
    <x v="1"/>
    <n v="4"/>
    <s v="Married"/>
    <n v="3929"/>
    <n v="6984"/>
    <n v="8"/>
    <s v="Y"/>
    <s v="Yes"/>
    <n v="23"/>
    <n v="4"/>
    <n v="3"/>
    <n v="80"/>
    <n v="1"/>
    <n v="7"/>
    <n v="0"/>
    <n v="3"/>
    <x v="9"/>
    <n v="2"/>
    <n v="0"/>
    <n v="2"/>
    <x v="1"/>
    <x v="1"/>
    <s v="Active"/>
    <x v="4"/>
  </r>
  <r>
    <n v="34"/>
    <x v="1"/>
    <s v="Travel Rarely"/>
    <n v="629"/>
    <x v="1"/>
    <n v="27"/>
    <n v="2"/>
    <s v="Medical"/>
    <n v="1"/>
    <x v="181"/>
    <n v="4"/>
    <x v="0"/>
    <n v="95"/>
    <n v="3"/>
    <n v="1"/>
    <x v="1"/>
    <n v="2"/>
    <s v="Single"/>
    <n v="2311"/>
    <n v="5711"/>
    <n v="2"/>
    <s v="Y"/>
    <s v="No"/>
    <n v="15"/>
    <n v="3"/>
    <n v="4"/>
    <n v="80"/>
    <n v="0"/>
    <n v="9"/>
    <n v="3"/>
    <n v="3"/>
    <x v="11"/>
    <n v="2"/>
    <n v="1"/>
    <n v="2"/>
    <x v="1"/>
    <x v="1"/>
    <s v="Active"/>
    <x v="5"/>
  </r>
  <r>
    <n v="41"/>
    <x v="0"/>
    <s v="Travel Rarely"/>
    <n v="1356"/>
    <x v="0"/>
    <n v="20"/>
    <n v="2"/>
    <s v="Marketing"/>
    <n v="1"/>
    <x v="182"/>
    <n v="2"/>
    <x v="0"/>
    <n v="70"/>
    <n v="3"/>
    <n v="1"/>
    <x v="6"/>
    <n v="2"/>
    <s v="Single"/>
    <n v="3140"/>
    <n v="21728"/>
    <n v="1"/>
    <s v="Y"/>
    <s v="Yes"/>
    <n v="22"/>
    <n v="4"/>
    <n v="4"/>
    <n v="80"/>
    <n v="0"/>
    <n v="4"/>
    <n v="5"/>
    <n v="2"/>
    <x v="9"/>
    <n v="3"/>
    <n v="0"/>
    <n v="2"/>
    <x v="0"/>
    <x v="1"/>
    <s v="Resigned"/>
    <x v="4"/>
  </r>
  <r>
    <n v="50"/>
    <x v="1"/>
    <s v="Travel Rarely"/>
    <n v="328"/>
    <x v="1"/>
    <n v="1"/>
    <n v="3"/>
    <s v="Medical"/>
    <n v="1"/>
    <x v="183"/>
    <n v="3"/>
    <x v="1"/>
    <n v="86"/>
    <n v="2"/>
    <n v="1"/>
    <x v="2"/>
    <n v="3"/>
    <s v="Married"/>
    <n v="3690"/>
    <n v="3425"/>
    <n v="2"/>
    <s v="Y"/>
    <s v="No"/>
    <n v="15"/>
    <n v="3"/>
    <n v="4"/>
    <n v="80"/>
    <n v="1"/>
    <n v="5"/>
    <n v="2"/>
    <n v="2"/>
    <x v="11"/>
    <n v="2"/>
    <n v="0"/>
    <n v="2"/>
    <x v="0"/>
    <x v="1"/>
    <s v="Active"/>
    <x v="5"/>
  </r>
  <r>
    <n v="53"/>
    <x v="1"/>
    <s v="Travel Rarely"/>
    <n v="1084"/>
    <x v="1"/>
    <n v="13"/>
    <n v="2"/>
    <s v="Medical"/>
    <n v="1"/>
    <x v="184"/>
    <n v="4"/>
    <x v="0"/>
    <n v="57"/>
    <n v="4"/>
    <n v="2"/>
    <x v="3"/>
    <n v="1"/>
    <s v="Divorced"/>
    <n v="4450"/>
    <n v="26250"/>
    <n v="1"/>
    <s v="Y"/>
    <s v="No"/>
    <n v="11"/>
    <n v="3"/>
    <n v="3"/>
    <n v="80"/>
    <n v="2"/>
    <n v="5"/>
    <n v="3"/>
    <n v="3"/>
    <x v="9"/>
    <n v="2"/>
    <n v="1"/>
    <n v="3"/>
    <x v="0"/>
    <x v="1"/>
    <s v="Active"/>
    <x v="4"/>
  </r>
  <r>
    <n v="33"/>
    <x v="1"/>
    <s v="Travel Rarely"/>
    <n v="931"/>
    <x v="1"/>
    <n v="14"/>
    <n v="3"/>
    <s v="Medical"/>
    <n v="1"/>
    <x v="185"/>
    <n v="4"/>
    <x v="0"/>
    <n v="72"/>
    <n v="3"/>
    <n v="1"/>
    <x v="1"/>
    <n v="2"/>
    <s v="Married"/>
    <n v="2756"/>
    <n v="4673"/>
    <n v="1"/>
    <s v="Y"/>
    <s v="No"/>
    <n v="13"/>
    <n v="3"/>
    <n v="4"/>
    <n v="80"/>
    <n v="1"/>
    <n v="8"/>
    <n v="5"/>
    <n v="3"/>
    <x v="3"/>
    <n v="7"/>
    <n v="1"/>
    <n v="6"/>
    <x v="1"/>
    <x v="1"/>
    <s v="Active"/>
    <x v="0"/>
  </r>
  <r>
    <n v="40"/>
    <x v="1"/>
    <s v="Travel Rarely"/>
    <n v="989"/>
    <x v="1"/>
    <n v="4"/>
    <n v="1"/>
    <s v="Medical"/>
    <n v="1"/>
    <x v="186"/>
    <n v="4"/>
    <x v="0"/>
    <n v="46"/>
    <n v="3"/>
    <n v="5"/>
    <x v="5"/>
    <n v="3"/>
    <s v="Married"/>
    <n v="19033"/>
    <n v="6499"/>
    <n v="1"/>
    <s v="Y"/>
    <s v="No"/>
    <n v="14"/>
    <n v="3"/>
    <n v="2"/>
    <n v="80"/>
    <n v="1"/>
    <n v="21"/>
    <n v="2"/>
    <n v="3"/>
    <x v="23"/>
    <n v="8"/>
    <n v="9"/>
    <n v="9"/>
    <x v="1"/>
    <x v="2"/>
    <s v="Active"/>
    <x v="0"/>
  </r>
  <r>
    <n v="55"/>
    <x v="1"/>
    <s v="Travel Rarely"/>
    <n v="692"/>
    <x v="1"/>
    <n v="14"/>
    <n v="4"/>
    <s v="Medical"/>
    <n v="1"/>
    <x v="187"/>
    <n v="3"/>
    <x v="1"/>
    <n v="61"/>
    <n v="4"/>
    <n v="5"/>
    <x v="7"/>
    <n v="2"/>
    <s v="Single"/>
    <n v="18722"/>
    <n v="13339"/>
    <n v="8"/>
    <s v="Y"/>
    <s v="No"/>
    <n v="11"/>
    <n v="3"/>
    <n v="4"/>
    <n v="80"/>
    <n v="0"/>
    <n v="36"/>
    <n v="3"/>
    <n v="3"/>
    <x v="25"/>
    <n v="15"/>
    <n v="2"/>
    <n v="15"/>
    <x v="0"/>
    <x v="2"/>
    <s v="Active"/>
    <x v="0"/>
  </r>
  <r>
    <n v="34"/>
    <x v="1"/>
    <s v="Travel Frequently"/>
    <n v="1069"/>
    <x v="1"/>
    <n v="2"/>
    <n v="1"/>
    <s v="Life Sciences"/>
    <n v="1"/>
    <x v="188"/>
    <n v="4"/>
    <x v="1"/>
    <n v="45"/>
    <n v="2"/>
    <n v="2"/>
    <x v="3"/>
    <n v="3"/>
    <s v="Married"/>
    <n v="9547"/>
    <n v="14074"/>
    <n v="1"/>
    <s v="Y"/>
    <s v="No"/>
    <n v="17"/>
    <n v="3"/>
    <n v="3"/>
    <n v="80"/>
    <n v="0"/>
    <n v="10"/>
    <n v="2"/>
    <n v="2"/>
    <x v="1"/>
    <n v="9"/>
    <n v="1"/>
    <n v="9"/>
    <x v="1"/>
    <x v="0"/>
    <s v="Active"/>
    <x v="0"/>
  </r>
  <r>
    <n v="51"/>
    <x v="1"/>
    <s v="Travel Rarely"/>
    <n v="313"/>
    <x v="1"/>
    <n v="3"/>
    <n v="3"/>
    <s v="Medical"/>
    <n v="1"/>
    <x v="189"/>
    <n v="4"/>
    <x v="0"/>
    <n v="98"/>
    <n v="3"/>
    <n v="4"/>
    <x v="4"/>
    <n v="2"/>
    <s v="Single"/>
    <n v="13734"/>
    <n v="7192"/>
    <n v="3"/>
    <s v="Y"/>
    <s v="No"/>
    <n v="18"/>
    <n v="3"/>
    <n v="3"/>
    <n v="80"/>
    <n v="0"/>
    <n v="21"/>
    <n v="6"/>
    <n v="3"/>
    <x v="5"/>
    <n v="7"/>
    <n v="1"/>
    <n v="0"/>
    <x v="0"/>
    <x v="2"/>
    <s v="Active"/>
    <x v="0"/>
  </r>
  <r>
    <n v="52"/>
    <x v="1"/>
    <s v="Travel Rarely"/>
    <n v="699"/>
    <x v="1"/>
    <n v="1"/>
    <n v="4"/>
    <s v="Life Sciences"/>
    <n v="1"/>
    <x v="190"/>
    <n v="3"/>
    <x v="1"/>
    <n v="65"/>
    <n v="2"/>
    <n v="5"/>
    <x v="5"/>
    <n v="3"/>
    <s v="Married"/>
    <n v="19999"/>
    <n v="5678"/>
    <n v="0"/>
    <s v="Y"/>
    <s v="No"/>
    <n v="14"/>
    <n v="3"/>
    <n v="1"/>
    <n v="80"/>
    <n v="1"/>
    <n v="34"/>
    <n v="5"/>
    <n v="3"/>
    <x v="26"/>
    <n v="18"/>
    <n v="11"/>
    <n v="9"/>
    <x v="0"/>
    <x v="2"/>
    <s v="Active"/>
    <x v="0"/>
  </r>
  <r>
    <n v="27"/>
    <x v="1"/>
    <s v="Travel Rarely"/>
    <n v="894"/>
    <x v="1"/>
    <n v="9"/>
    <n v="3"/>
    <s v="Medical"/>
    <n v="1"/>
    <x v="191"/>
    <n v="4"/>
    <x v="0"/>
    <n v="99"/>
    <n v="3"/>
    <n v="1"/>
    <x v="1"/>
    <n v="2"/>
    <s v="Single"/>
    <n v="2279"/>
    <n v="11781"/>
    <n v="1"/>
    <s v="Y"/>
    <s v="No"/>
    <n v="16"/>
    <n v="3"/>
    <n v="4"/>
    <n v="80"/>
    <n v="0"/>
    <n v="7"/>
    <n v="2"/>
    <n v="2"/>
    <x v="5"/>
    <n v="7"/>
    <n v="0"/>
    <n v="3"/>
    <x v="2"/>
    <x v="1"/>
    <s v="Active"/>
    <x v="0"/>
  </r>
  <r>
    <n v="35"/>
    <x v="0"/>
    <s v="Travel Rarely"/>
    <n v="556"/>
    <x v="1"/>
    <n v="23"/>
    <n v="2"/>
    <s v="Life Sciences"/>
    <n v="1"/>
    <x v="192"/>
    <n v="2"/>
    <x v="1"/>
    <n v="50"/>
    <n v="2"/>
    <n v="2"/>
    <x v="3"/>
    <n v="3"/>
    <s v="Married"/>
    <n v="5916"/>
    <n v="15497"/>
    <n v="3"/>
    <s v="Y"/>
    <s v="Yes"/>
    <n v="13"/>
    <n v="3"/>
    <n v="1"/>
    <n v="80"/>
    <n v="0"/>
    <n v="8"/>
    <n v="1"/>
    <n v="3"/>
    <x v="6"/>
    <n v="0"/>
    <n v="0"/>
    <n v="1"/>
    <x v="1"/>
    <x v="0"/>
    <s v="Resigned"/>
    <x v="1"/>
  </r>
  <r>
    <n v="43"/>
    <x v="1"/>
    <s v="Non Travel"/>
    <n v="1344"/>
    <x v="1"/>
    <n v="7"/>
    <n v="3"/>
    <s v="Medical"/>
    <n v="1"/>
    <x v="193"/>
    <n v="4"/>
    <x v="1"/>
    <n v="37"/>
    <n v="4"/>
    <n v="1"/>
    <x v="1"/>
    <n v="4"/>
    <s v="Divorced"/>
    <n v="2089"/>
    <n v="5228"/>
    <n v="4"/>
    <s v="Y"/>
    <s v="No"/>
    <n v="14"/>
    <n v="3"/>
    <n v="4"/>
    <n v="80"/>
    <n v="3"/>
    <n v="7"/>
    <n v="3"/>
    <n v="4"/>
    <x v="8"/>
    <n v="4"/>
    <n v="2"/>
    <n v="2"/>
    <x v="0"/>
    <x v="1"/>
    <s v="Active"/>
    <x v="3"/>
  </r>
  <r>
    <n v="45"/>
    <x v="1"/>
    <s v="Non Travel"/>
    <n v="1195"/>
    <x v="1"/>
    <n v="2"/>
    <n v="2"/>
    <s v="Medical"/>
    <n v="1"/>
    <x v="194"/>
    <n v="1"/>
    <x v="1"/>
    <n v="65"/>
    <n v="2"/>
    <n v="4"/>
    <x v="5"/>
    <n v="4"/>
    <s v="Married"/>
    <n v="16792"/>
    <n v="20462"/>
    <n v="9"/>
    <s v="Y"/>
    <s v="No"/>
    <n v="23"/>
    <n v="4"/>
    <n v="4"/>
    <n v="80"/>
    <n v="1"/>
    <n v="22"/>
    <n v="1"/>
    <n v="3"/>
    <x v="23"/>
    <n v="8"/>
    <n v="11"/>
    <n v="8"/>
    <x v="0"/>
    <x v="2"/>
    <s v="Active"/>
    <x v="0"/>
  </r>
  <r>
    <n v="37"/>
    <x v="1"/>
    <s v="Travel Rarely"/>
    <n v="290"/>
    <x v="1"/>
    <n v="21"/>
    <n v="3"/>
    <s v="Life Sciences"/>
    <n v="1"/>
    <x v="195"/>
    <n v="2"/>
    <x v="1"/>
    <n v="65"/>
    <n v="4"/>
    <n v="1"/>
    <x v="1"/>
    <n v="1"/>
    <s v="Married"/>
    <n v="3564"/>
    <n v="22977"/>
    <n v="1"/>
    <s v="Y"/>
    <s v="Yes"/>
    <n v="12"/>
    <n v="3"/>
    <n v="1"/>
    <n v="80"/>
    <n v="1"/>
    <n v="8"/>
    <n v="3"/>
    <n v="2"/>
    <x v="3"/>
    <n v="7"/>
    <n v="1"/>
    <n v="7"/>
    <x v="1"/>
    <x v="1"/>
    <s v="Active"/>
    <x v="0"/>
  </r>
  <r>
    <n v="35"/>
    <x v="1"/>
    <s v="Travel Frequently"/>
    <n v="138"/>
    <x v="1"/>
    <n v="2"/>
    <n v="3"/>
    <s v="Medical"/>
    <n v="1"/>
    <x v="196"/>
    <n v="2"/>
    <x v="0"/>
    <n v="37"/>
    <n v="3"/>
    <n v="2"/>
    <x v="2"/>
    <n v="2"/>
    <s v="Single"/>
    <n v="4425"/>
    <n v="15986"/>
    <n v="5"/>
    <s v="Y"/>
    <s v="No"/>
    <n v="11"/>
    <n v="3"/>
    <n v="4"/>
    <n v="80"/>
    <n v="0"/>
    <n v="10"/>
    <n v="5"/>
    <n v="3"/>
    <x v="0"/>
    <n v="2"/>
    <n v="1"/>
    <n v="2"/>
    <x v="1"/>
    <x v="1"/>
    <s v="Active"/>
    <x v="0"/>
  </r>
  <r>
    <n v="42"/>
    <x v="1"/>
    <s v="Non Travel"/>
    <n v="926"/>
    <x v="1"/>
    <n v="21"/>
    <n v="2"/>
    <s v="Medical"/>
    <n v="1"/>
    <x v="197"/>
    <n v="3"/>
    <x v="0"/>
    <n v="36"/>
    <n v="3"/>
    <n v="2"/>
    <x v="3"/>
    <n v="3"/>
    <s v="Divorced"/>
    <n v="5265"/>
    <n v="16439"/>
    <n v="2"/>
    <s v="Y"/>
    <s v="No"/>
    <n v="16"/>
    <n v="3"/>
    <n v="2"/>
    <n v="80"/>
    <n v="1"/>
    <n v="11"/>
    <n v="5"/>
    <n v="3"/>
    <x v="8"/>
    <n v="3"/>
    <n v="0"/>
    <n v="2"/>
    <x v="0"/>
    <x v="0"/>
    <s v="Active"/>
    <x v="3"/>
  </r>
  <r>
    <n v="38"/>
    <x v="1"/>
    <s v="Travel Rarely"/>
    <n v="1261"/>
    <x v="1"/>
    <n v="2"/>
    <n v="4"/>
    <s v="Life Sciences"/>
    <n v="1"/>
    <x v="198"/>
    <n v="4"/>
    <x v="1"/>
    <n v="88"/>
    <n v="3"/>
    <n v="2"/>
    <x v="3"/>
    <n v="3"/>
    <s v="Married"/>
    <n v="6553"/>
    <n v="7259"/>
    <n v="9"/>
    <s v="Y"/>
    <s v="No"/>
    <n v="14"/>
    <n v="3"/>
    <n v="2"/>
    <n v="80"/>
    <n v="0"/>
    <n v="14"/>
    <n v="3"/>
    <n v="3"/>
    <x v="6"/>
    <n v="0"/>
    <n v="0"/>
    <n v="0"/>
    <x v="1"/>
    <x v="0"/>
    <s v="Active"/>
    <x v="1"/>
  </r>
  <r>
    <n v="38"/>
    <x v="1"/>
    <s v="Travel Rarely"/>
    <n v="1084"/>
    <x v="1"/>
    <n v="29"/>
    <n v="3"/>
    <s v="Technical Degree"/>
    <n v="1"/>
    <x v="199"/>
    <n v="4"/>
    <x v="1"/>
    <n v="54"/>
    <n v="3"/>
    <n v="2"/>
    <x v="3"/>
    <n v="4"/>
    <s v="Married"/>
    <n v="6261"/>
    <n v="4185"/>
    <n v="3"/>
    <s v="Y"/>
    <s v="No"/>
    <n v="18"/>
    <n v="3"/>
    <n v="1"/>
    <n v="80"/>
    <n v="1"/>
    <n v="9"/>
    <n v="3"/>
    <n v="1"/>
    <x v="5"/>
    <n v="7"/>
    <n v="1"/>
    <n v="7"/>
    <x v="1"/>
    <x v="0"/>
    <s v="Active"/>
    <x v="0"/>
  </r>
  <r>
    <n v="27"/>
    <x v="1"/>
    <s v="Travel Frequently"/>
    <n v="472"/>
    <x v="1"/>
    <n v="1"/>
    <n v="1"/>
    <s v="Technical Degree"/>
    <n v="1"/>
    <x v="200"/>
    <n v="3"/>
    <x v="1"/>
    <n v="60"/>
    <n v="2"/>
    <n v="2"/>
    <x v="3"/>
    <n v="1"/>
    <s v="Married"/>
    <n v="4298"/>
    <n v="9679"/>
    <n v="5"/>
    <s v="Y"/>
    <s v="No"/>
    <n v="19"/>
    <n v="3"/>
    <n v="3"/>
    <n v="80"/>
    <n v="1"/>
    <n v="6"/>
    <n v="1"/>
    <n v="3"/>
    <x v="4"/>
    <n v="2"/>
    <n v="2"/>
    <n v="0"/>
    <x v="2"/>
    <x v="1"/>
    <s v="Active"/>
    <x v="2"/>
  </r>
  <r>
    <n v="49"/>
    <x v="1"/>
    <s v="Non Travel"/>
    <n v="1002"/>
    <x v="1"/>
    <n v="18"/>
    <n v="4"/>
    <s v="Life Sciences"/>
    <n v="1"/>
    <x v="201"/>
    <n v="4"/>
    <x v="1"/>
    <n v="92"/>
    <n v="3"/>
    <n v="2"/>
    <x v="3"/>
    <n v="4"/>
    <s v="Divorced"/>
    <n v="6804"/>
    <n v="23793"/>
    <n v="1"/>
    <s v="Y"/>
    <s v="Yes"/>
    <n v="15"/>
    <n v="3"/>
    <n v="1"/>
    <n v="80"/>
    <n v="2"/>
    <n v="7"/>
    <n v="0"/>
    <n v="3"/>
    <x v="5"/>
    <n v="7"/>
    <n v="1"/>
    <n v="7"/>
    <x v="0"/>
    <x v="0"/>
    <s v="Active"/>
    <x v="0"/>
  </r>
  <r>
    <n v="34"/>
    <x v="1"/>
    <s v="Travel Frequently"/>
    <n v="878"/>
    <x v="1"/>
    <n v="10"/>
    <n v="4"/>
    <s v="Medical"/>
    <n v="1"/>
    <x v="202"/>
    <n v="4"/>
    <x v="1"/>
    <n v="43"/>
    <n v="3"/>
    <n v="1"/>
    <x v="1"/>
    <n v="3"/>
    <s v="Divorced"/>
    <n v="3815"/>
    <n v="5972"/>
    <n v="1"/>
    <s v="Y"/>
    <s v="Yes"/>
    <n v="17"/>
    <n v="3"/>
    <n v="4"/>
    <n v="80"/>
    <n v="1"/>
    <n v="5"/>
    <n v="4"/>
    <n v="4"/>
    <x v="8"/>
    <n v="3"/>
    <n v="2"/>
    <n v="0"/>
    <x v="1"/>
    <x v="1"/>
    <s v="Active"/>
    <x v="3"/>
  </r>
  <r>
    <n v="40"/>
    <x v="1"/>
    <s v="Travel Rarely"/>
    <n v="905"/>
    <x v="1"/>
    <n v="19"/>
    <n v="2"/>
    <s v="Medical"/>
    <n v="1"/>
    <x v="203"/>
    <n v="3"/>
    <x v="1"/>
    <n v="99"/>
    <n v="3"/>
    <n v="2"/>
    <x v="2"/>
    <n v="4"/>
    <s v="Married"/>
    <n v="2741"/>
    <n v="16523"/>
    <n v="8"/>
    <s v="Y"/>
    <s v="Yes"/>
    <n v="15"/>
    <n v="3"/>
    <n v="3"/>
    <n v="80"/>
    <n v="1"/>
    <n v="15"/>
    <n v="2"/>
    <n v="4"/>
    <x v="5"/>
    <n v="2"/>
    <n v="3"/>
    <n v="7"/>
    <x v="1"/>
    <x v="1"/>
    <s v="Active"/>
    <x v="0"/>
  </r>
  <r>
    <n v="38"/>
    <x v="0"/>
    <s v="Travel Rarely"/>
    <n v="1180"/>
    <x v="1"/>
    <n v="29"/>
    <n v="1"/>
    <s v="Medical"/>
    <n v="1"/>
    <x v="204"/>
    <n v="2"/>
    <x v="1"/>
    <n v="70"/>
    <n v="3"/>
    <n v="2"/>
    <x v="4"/>
    <n v="1"/>
    <s v="Married"/>
    <n v="6673"/>
    <n v="11354"/>
    <n v="7"/>
    <s v="Y"/>
    <s v="Yes"/>
    <n v="19"/>
    <n v="3"/>
    <n v="2"/>
    <n v="80"/>
    <n v="0"/>
    <n v="17"/>
    <n v="2"/>
    <n v="3"/>
    <x v="6"/>
    <n v="0"/>
    <n v="0"/>
    <n v="0"/>
    <x v="1"/>
    <x v="0"/>
    <s v="Resigned"/>
    <x v="1"/>
  </r>
  <r>
    <n v="29"/>
    <x v="0"/>
    <s v="Travel Rarely"/>
    <n v="121"/>
    <x v="0"/>
    <n v="27"/>
    <n v="3"/>
    <s v="Marketing"/>
    <n v="1"/>
    <x v="205"/>
    <n v="2"/>
    <x v="0"/>
    <n v="35"/>
    <n v="3"/>
    <n v="3"/>
    <x v="0"/>
    <n v="4"/>
    <s v="Married"/>
    <n v="7639"/>
    <n v="24525"/>
    <n v="1"/>
    <s v="Y"/>
    <s v="No"/>
    <n v="22"/>
    <n v="4"/>
    <n v="4"/>
    <n v="80"/>
    <n v="3"/>
    <n v="10"/>
    <n v="3"/>
    <n v="2"/>
    <x v="1"/>
    <n v="4"/>
    <n v="1"/>
    <n v="9"/>
    <x v="2"/>
    <x v="0"/>
    <s v="Resigned"/>
    <x v="0"/>
  </r>
  <r>
    <n v="22"/>
    <x v="1"/>
    <s v="Travel Rarely"/>
    <n v="1136"/>
    <x v="1"/>
    <n v="5"/>
    <n v="3"/>
    <s v="Life Sciences"/>
    <n v="1"/>
    <x v="206"/>
    <n v="4"/>
    <x v="1"/>
    <n v="60"/>
    <n v="4"/>
    <n v="1"/>
    <x v="1"/>
    <n v="2"/>
    <s v="Divorced"/>
    <n v="2328"/>
    <n v="12392"/>
    <n v="1"/>
    <s v="Y"/>
    <s v="Yes"/>
    <n v="16"/>
    <n v="3"/>
    <n v="1"/>
    <n v="80"/>
    <n v="1"/>
    <n v="4"/>
    <n v="2"/>
    <n v="2"/>
    <x v="9"/>
    <n v="2"/>
    <n v="2"/>
    <n v="2"/>
    <x v="2"/>
    <x v="1"/>
    <s v="Active"/>
    <x v="4"/>
  </r>
  <r>
    <n v="36"/>
    <x v="1"/>
    <s v="Travel Frequently"/>
    <n v="635"/>
    <x v="1"/>
    <n v="18"/>
    <n v="1"/>
    <s v="Medical"/>
    <n v="1"/>
    <x v="207"/>
    <n v="2"/>
    <x v="0"/>
    <n v="73"/>
    <n v="3"/>
    <n v="1"/>
    <x v="2"/>
    <n v="4"/>
    <s v="Single"/>
    <n v="2153"/>
    <n v="7703"/>
    <n v="1"/>
    <s v="Y"/>
    <s v="No"/>
    <n v="13"/>
    <n v="3"/>
    <n v="1"/>
    <n v="80"/>
    <n v="0"/>
    <n v="8"/>
    <n v="2"/>
    <n v="3"/>
    <x v="3"/>
    <n v="1"/>
    <n v="1"/>
    <n v="7"/>
    <x v="1"/>
    <x v="1"/>
    <s v="Active"/>
    <x v="0"/>
  </r>
  <r>
    <n v="40"/>
    <x v="1"/>
    <s v="Non Travel"/>
    <n v="1151"/>
    <x v="1"/>
    <n v="9"/>
    <n v="5"/>
    <s v="Life Sciences"/>
    <n v="1"/>
    <x v="208"/>
    <n v="4"/>
    <x v="1"/>
    <n v="63"/>
    <n v="2"/>
    <n v="2"/>
    <x v="4"/>
    <n v="4"/>
    <s v="Married"/>
    <n v="4876"/>
    <n v="14242"/>
    <n v="9"/>
    <s v="Y"/>
    <s v="No"/>
    <n v="14"/>
    <n v="3"/>
    <n v="4"/>
    <n v="80"/>
    <n v="1"/>
    <n v="5"/>
    <n v="5"/>
    <n v="1"/>
    <x v="11"/>
    <n v="2"/>
    <n v="0"/>
    <n v="2"/>
    <x v="1"/>
    <x v="1"/>
    <s v="Active"/>
    <x v="5"/>
  </r>
  <r>
    <n v="46"/>
    <x v="1"/>
    <s v="Travel Rarely"/>
    <n v="644"/>
    <x v="1"/>
    <n v="1"/>
    <n v="4"/>
    <s v="Medical"/>
    <n v="1"/>
    <x v="209"/>
    <n v="4"/>
    <x v="1"/>
    <n v="97"/>
    <n v="3"/>
    <n v="3"/>
    <x v="4"/>
    <n v="1"/>
    <s v="Divorced"/>
    <n v="9396"/>
    <n v="12368"/>
    <n v="7"/>
    <s v="Y"/>
    <s v="No"/>
    <n v="16"/>
    <n v="3"/>
    <n v="3"/>
    <n v="80"/>
    <n v="1"/>
    <n v="17"/>
    <n v="3"/>
    <n v="3"/>
    <x v="9"/>
    <n v="2"/>
    <n v="0"/>
    <n v="3"/>
    <x v="0"/>
    <x v="0"/>
    <s v="Active"/>
    <x v="4"/>
  </r>
  <r>
    <n v="32"/>
    <x v="0"/>
    <s v="Travel Rarely"/>
    <n v="1045"/>
    <x v="0"/>
    <n v="4"/>
    <n v="4"/>
    <s v="Medical"/>
    <n v="1"/>
    <x v="210"/>
    <n v="4"/>
    <x v="1"/>
    <n v="32"/>
    <n v="1"/>
    <n v="3"/>
    <x v="0"/>
    <n v="4"/>
    <s v="Married"/>
    <n v="10400"/>
    <n v="25812"/>
    <n v="1"/>
    <s v="Y"/>
    <s v="No"/>
    <n v="11"/>
    <n v="3"/>
    <n v="3"/>
    <n v="80"/>
    <n v="0"/>
    <n v="14"/>
    <n v="2"/>
    <n v="2"/>
    <x v="13"/>
    <n v="8"/>
    <n v="9"/>
    <n v="8"/>
    <x v="1"/>
    <x v="2"/>
    <s v="Resigned"/>
    <x v="0"/>
  </r>
  <r>
    <n v="30"/>
    <x v="1"/>
    <s v="Non Travel"/>
    <n v="829"/>
    <x v="1"/>
    <n v="1"/>
    <n v="1"/>
    <s v="Life Sciences"/>
    <n v="1"/>
    <x v="211"/>
    <n v="3"/>
    <x v="1"/>
    <n v="88"/>
    <n v="2"/>
    <n v="3"/>
    <x v="3"/>
    <n v="3"/>
    <s v="Single"/>
    <n v="8474"/>
    <n v="20925"/>
    <n v="1"/>
    <s v="Y"/>
    <s v="No"/>
    <n v="22"/>
    <n v="4"/>
    <n v="3"/>
    <n v="80"/>
    <n v="0"/>
    <n v="12"/>
    <n v="2"/>
    <n v="3"/>
    <x v="19"/>
    <n v="8"/>
    <n v="5"/>
    <n v="8"/>
    <x v="1"/>
    <x v="0"/>
    <s v="Active"/>
    <x v="0"/>
  </r>
  <r>
    <n v="27"/>
    <x v="1"/>
    <s v="Travel Frequently"/>
    <n v="1242"/>
    <x v="0"/>
    <n v="20"/>
    <n v="3"/>
    <s v="Life Sciences"/>
    <n v="1"/>
    <x v="212"/>
    <n v="4"/>
    <x v="0"/>
    <n v="90"/>
    <n v="3"/>
    <n v="2"/>
    <x v="0"/>
    <n v="3"/>
    <s v="Single"/>
    <n v="9981"/>
    <n v="12916"/>
    <n v="1"/>
    <s v="Y"/>
    <s v="No"/>
    <n v="14"/>
    <n v="3"/>
    <n v="4"/>
    <n v="80"/>
    <n v="0"/>
    <n v="7"/>
    <n v="2"/>
    <n v="3"/>
    <x v="5"/>
    <n v="7"/>
    <n v="0"/>
    <n v="7"/>
    <x v="2"/>
    <x v="0"/>
    <s v="Active"/>
    <x v="0"/>
  </r>
  <r>
    <n v="51"/>
    <x v="1"/>
    <s v="Travel Rarely"/>
    <n v="1469"/>
    <x v="1"/>
    <n v="8"/>
    <n v="4"/>
    <s v="Life Sciences"/>
    <n v="1"/>
    <x v="213"/>
    <n v="2"/>
    <x v="1"/>
    <n v="81"/>
    <n v="2"/>
    <n v="3"/>
    <x v="7"/>
    <n v="2"/>
    <s v="Married"/>
    <n v="12490"/>
    <n v="15736"/>
    <n v="5"/>
    <s v="Y"/>
    <s v="No"/>
    <n v="16"/>
    <n v="3"/>
    <n v="4"/>
    <n v="80"/>
    <n v="2"/>
    <n v="16"/>
    <n v="5"/>
    <n v="1"/>
    <x v="1"/>
    <n v="9"/>
    <n v="4"/>
    <n v="7"/>
    <x v="0"/>
    <x v="2"/>
    <s v="Active"/>
    <x v="0"/>
  </r>
  <r>
    <n v="30"/>
    <x v="0"/>
    <s v="Travel Rarely"/>
    <n v="1005"/>
    <x v="1"/>
    <n v="3"/>
    <n v="3"/>
    <s v="Technical Degree"/>
    <n v="1"/>
    <x v="214"/>
    <n v="4"/>
    <x v="0"/>
    <n v="88"/>
    <n v="3"/>
    <n v="1"/>
    <x v="1"/>
    <n v="1"/>
    <s v="Single"/>
    <n v="2657"/>
    <n v="8556"/>
    <n v="5"/>
    <s v="Y"/>
    <s v="Yes"/>
    <n v="11"/>
    <n v="3"/>
    <n v="3"/>
    <n v="80"/>
    <n v="0"/>
    <n v="8"/>
    <n v="5"/>
    <n v="3"/>
    <x v="8"/>
    <n v="2"/>
    <n v="0"/>
    <n v="4"/>
    <x v="1"/>
    <x v="1"/>
    <s v="Resigned"/>
    <x v="3"/>
  </r>
  <r>
    <n v="41"/>
    <x v="1"/>
    <s v="Travel Rarely"/>
    <n v="896"/>
    <x v="0"/>
    <n v="6"/>
    <n v="3"/>
    <s v="Life Sciences"/>
    <n v="1"/>
    <x v="215"/>
    <n v="4"/>
    <x v="0"/>
    <n v="75"/>
    <n v="3"/>
    <n v="3"/>
    <x v="5"/>
    <n v="4"/>
    <s v="Single"/>
    <n v="13591"/>
    <n v="14674"/>
    <n v="3"/>
    <s v="Y"/>
    <s v="Yes"/>
    <n v="18"/>
    <n v="3"/>
    <n v="3"/>
    <n v="80"/>
    <n v="0"/>
    <n v="16"/>
    <n v="3"/>
    <n v="3"/>
    <x v="6"/>
    <n v="0"/>
    <n v="0"/>
    <n v="0"/>
    <x v="0"/>
    <x v="2"/>
    <s v="Active"/>
    <x v="1"/>
  </r>
  <r>
    <n v="30"/>
    <x v="0"/>
    <s v="Travel Frequently"/>
    <n v="334"/>
    <x v="0"/>
    <n v="26"/>
    <n v="4"/>
    <s v="Marketing"/>
    <n v="1"/>
    <x v="216"/>
    <n v="3"/>
    <x v="0"/>
    <n v="52"/>
    <n v="2"/>
    <n v="2"/>
    <x v="0"/>
    <n v="1"/>
    <s v="Single"/>
    <n v="6696"/>
    <n v="22967"/>
    <n v="5"/>
    <s v="Y"/>
    <s v="No"/>
    <n v="15"/>
    <n v="3"/>
    <n v="3"/>
    <n v="80"/>
    <n v="0"/>
    <n v="9"/>
    <n v="5"/>
    <n v="2"/>
    <x v="0"/>
    <n v="3"/>
    <n v="0"/>
    <n v="1"/>
    <x v="1"/>
    <x v="0"/>
    <s v="Resigned"/>
    <x v="0"/>
  </r>
  <r>
    <n v="29"/>
    <x v="0"/>
    <s v="Travel Rarely"/>
    <n v="992"/>
    <x v="1"/>
    <n v="1"/>
    <n v="3"/>
    <s v="Technical Degree"/>
    <n v="1"/>
    <x v="217"/>
    <n v="3"/>
    <x v="1"/>
    <n v="85"/>
    <n v="3"/>
    <n v="1"/>
    <x v="1"/>
    <n v="3"/>
    <s v="Single"/>
    <n v="2058"/>
    <n v="19757"/>
    <n v="0"/>
    <s v="Y"/>
    <s v="No"/>
    <n v="14"/>
    <n v="3"/>
    <n v="4"/>
    <n v="80"/>
    <n v="0"/>
    <n v="7"/>
    <n v="1"/>
    <n v="2"/>
    <x v="0"/>
    <n v="2"/>
    <n v="1"/>
    <n v="5"/>
    <x v="2"/>
    <x v="1"/>
    <s v="Resigned"/>
    <x v="0"/>
  </r>
  <r>
    <n v="45"/>
    <x v="1"/>
    <s v="Non Travel"/>
    <n v="1052"/>
    <x v="0"/>
    <n v="6"/>
    <n v="3"/>
    <s v="Medical"/>
    <n v="1"/>
    <x v="218"/>
    <n v="4"/>
    <x v="0"/>
    <n v="57"/>
    <n v="2"/>
    <n v="3"/>
    <x v="0"/>
    <n v="4"/>
    <s v="Single"/>
    <n v="8865"/>
    <n v="16840"/>
    <n v="6"/>
    <s v="Y"/>
    <s v="No"/>
    <n v="12"/>
    <n v="3"/>
    <n v="4"/>
    <n v="80"/>
    <n v="0"/>
    <n v="23"/>
    <n v="2"/>
    <n v="3"/>
    <x v="27"/>
    <n v="7"/>
    <n v="12"/>
    <n v="8"/>
    <x v="0"/>
    <x v="0"/>
    <s v="Active"/>
    <x v="0"/>
  </r>
  <r>
    <n v="54"/>
    <x v="1"/>
    <s v="Travel Rarely"/>
    <n v="1147"/>
    <x v="0"/>
    <n v="3"/>
    <n v="3"/>
    <s v="Marketing"/>
    <n v="1"/>
    <x v="219"/>
    <n v="4"/>
    <x v="0"/>
    <n v="52"/>
    <n v="3"/>
    <n v="2"/>
    <x v="0"/>
    <n v="1"/>
    <s v="Married"/>
    <n v="5940"/>
    <n v="17011"/>
    <n v="2"/>
    <s v="Y"/>
    <s v="No"/>
    <n v="14"/>
    <n v="3"/>
    <n v="4"/>
    <n v="80"/>
    <n v="1"/>
    <n v="16"/>
    <n v="4"/>
    <n v="3"/>
    <x v="0"/>
    <n v="2"/>
    <n v="0"/>
    <n v="5"/>
    <x v="0"/>
    <x v="0"/>
    <s v="Active"/>
    <x v="0"/>
  </r>
  <r>
    <n v="36"/>
    <x v="1"/>
    <s v="Travel Rarely"/>
    <n v="1396"/>
    <x v="1"/>
    <n v="5"/>
    <n v="2"/>
    <s v="Life Sciences"/>
    <n v="1"/>
    <x v="220"/>
    <n v="4"/>
    <x v="1"/>
    <n v="62"/>
    <n v="3"/>
    <n v="2"/>
    <x v="2"/>
    <n v="2"/>
    <s v="Single"/>
    <n v="5914"/>
    <n v="9945"/>
    <n v="8"/>
    <s v="Y"/>
    <s v="No"/>
    <n v="16"/>
    <n v="3"/>
    <n v="4"/>
    <n v="80"/>
    <n v="0"/>
    <n v="16"/>
    <n v="3"/>
    <n v="4"/>
    <x v="20"/>
    <n v="11"/>
    <n v="3"/>
    <n v="7"/>
    <x v="1"/>
    <x v="0"/>
    <s v="Active"/>
    <x v="0"/>
  </r>
  <r>
    <n v="33"/>
    <x v="1"/>
    <s v="Travel Rarely"/>
    <n v="147"/>
    <x v="1"/>
    <n v="4"/>
    <n v="4"/>
    <s v="Medical"/>
    <n v="1"/>
    <x v="221"/>
    <n v="3"/>
    <x v="0"/>
    <n v="47"/>
    <n v="2"/>
    <n v="1"/>
    <x v="1"/>
    <n v="2"/>
    <s v="Married"/>
    <n v="2622"/>
    <n v="13248"/>
    <n v="6"/>
    <s v="Y"/>
    <s v="No"/>
    <n v="21"/>
    <n v="4"/>
    <n v="4"/>
    <n v="80"/>
    <n v="0"/>
    <n v="7"/>
    <n v="3"/>
    <n v="3"/>
    <x v="11"/>
    <n v="2"/>
    <n v="1"/>
    <n v="1"/>
    <x v="1"/>
    <x v="1"/>
    <s v="Active"/>
    <x v="5"/>
  </r>
  <r>
    <n v="37"/>
    <x v="1"/>
    <s v="Travel Frequently"/>
    <n v="663"/>
    <x v="1"/>
    <n v="11"/>
    <n v="3"/>
    <s v="Other"/>
    <n v="1"/>
    <x v="222"/>
    <n v="2"/>
    <x v="1"/>
    <n v="47"/>
    <n v="3"/>
    <n v="3"/>
    <x v="7"/>
    <n v="4"/>
    <s v="Divorced"/>
    <n v="12185"/>
    <n v="10056"/>
    <n v="1"/>
    <s v="Y"/>
    <s v="Yes"/>
    <n v="14"/>
    <n v="3"/>
    <n v="3"/>
    <n v="80"/>
    <n v="3"/>
    <n v="10"/>
    <n v="1"/>
    <n v="3"/>
    <x v="1"/>
    <n v="8"/>
    <n v="0"/>
    <n v="7"/>
    <x v="1"/>
    <x v="2"/>
    <s v="Active"/>
    <x v="0"/>
  </r>
  <r>
    <n v="38"/>
    <x v="1"/>
    <s v="Travel Rarely"/>
    <n v="119"/>
    <x v="0"/>
    <n v="3"/>
    <n v="3"/>
    <s v="Life Sciences"/>
    <n v="1"/>
    <x v="223"/>
    <n v="1"/>
    <x v="1"/>
    <n v="76"/>
    <n v="3"/>
    <n v="3"/>
    <x v="0"/>
    <n v="3"/>
    <s v="Divorced"/>
    <n v="10609"/>
    <n v="9647"/>
    <n v="0"/>
    <s v="Y"/>
    <s v="No"/>
    <n v="12"/>
    <n v="3"/>
    <n v="3"/>
    <n v="80"/>
    <n v="2"/>
    <n v="17"/>
    <n v="6"/>
    <n v="2"/>
    <x v="22"/>
    <n v="10"/>
    <n v="5"/>
    <n v="13"/>
    <x v="1"/>
    <x v="2"/>
    <s v="Active"/>
    <x v="0"/>
  </r>
  <r>
    <n v="31"/>
    <x v="1"/>
    <s v="Non Travel"/>
    <n v="979"/>
    <x v="1"/>
    <n v="1"/>
    <n v="4"/>
    <s v="Medical"/>
    <n v="1"/>
    <x v="224"/>
    <n v="3"/>
    <x v="1"/>
    <n v="90"/>
    <n v="1"/>
    <n v="2"/>
    <x v="3"/>
    <n v="3"/>
    <s v="Married"/>
    <n v="4345"/>
    <n v="4381"/>
    <n v="0"/>
    <s v="Y"/>
    <s v="No"/>
    <n v="12"/>
    <n v="3"/>
    <n v="4"/>
    <n v="80"/>
    <n v="1"/>
    <n v="6"/>
    <n v="2"/>
    <n v="3"/>
    <x v="8"/>
    <n v="4"/>
    <n v="1"/>
    <n v="4"/>
    <x v="1"/>
    <x v="1"/>
    <s v="Active"/>
    <x v="3"/>
  </r>
  <r>
    <n v="59"/>
    <x v="1"/>
    <s v="Travel Rarely"/>
    <n v="142"/>
    <x v="1"/>
    <n v="3"/>
    <n v="3"/>
    <s v="Life Sciences"/>
    <n v="1"/>
    <x v="225"/>
    <n v="3"/>
    <x v="1"/>
    <n v="70"/>
    <n v="2"/>
    <n v="1"/>
    <x v="1"/>
    <n v="4"/>
    <s v="Married"/>
    <n v="2177"/>
    <n v="8456"/>
    <n v="3"/>
    <s v="Y"/>
    <s v="No"/>
    <n v="17"/>
    <n v="3"/>
    <n v="1"/>
    <n v="80"/>
    <n v="1"/>
    <n v="7"/>
    <n v="6"/>
    <n v="3"/>
    <x v="6"/>
    <n v="0"/>
    <n v="0"/>
    <n v="0"/>
    <x v="0"/>
    <x v="1"/>
    <s v="Active"/>
    <x v="1"/>
  </r>
  <r>
    <n v="37"/>
    <x v="1"/>
    <s v="Travel Frequently"/>
    <n v="319"/>
    <x v="0"/>
    <n v="4"/>
    <n v="4"/>
    <s v="Marketing"/>
    <n v="1"/>
    <x v="226"/>
    <n v="1"/>
    <x v="1"/>
    <n v="41"/>
    <n v="3"/>
    <n v="1"/>
    <x v="6"/>
    <n v="4"/>
    <s v="Divorced"/>
    <n v="2793"/>
    <n v="2539"/>
    <n v="4"/>
    <s v="Y"/>
    <s v="No"/>
    <n v="17"/>
    <n v="3"/>
    <n v="3"/>
    <n v="80"/>
    <n v="1"/>
    <n v="13"/>
    <n v="2"/>
    <n v="3"/>
    <x v="7"/>
    <n v="8"/>
    <n v="5"/>
    <n v="8"/>
    <x v="1"/>
    <x v="1"/>
    <s v="Active"/>
    <x v="0"/>
  </r>
  <r>
    <n v="29"/>
    <x v="1"/>
    <s v="Travel Frequently"/>
    <n v="1413"/>
    <x v="0"/>
    <n v="1"/>
    <n v="1"/>
    <s v="Medical"/>
    <n v="1"/>
    <x v="227"/>
    <n v="2"/>
    <x v="0"/>
    <n v="42"/>
    <n v="3"/>
    <n v="3"/>
    <x v="0"/>
    <n v="4"/>
    <s v="Married"/>
    <n v="7918"/>
    <n v="6599"/>
    <n v="1"/>
    <s v="Y"/>
    <s v="No"/>
    <n v="14"/>
    <n v="3"/>
    <n v="4"/>
    <n v="80"/>
    <n v="1"/>
    <n v="11"/>
    <n v="5"/>
    <n v="3"/>
    <x v="19"/>
    <n v="10"/>
    <n v="4"/>
    <n v="1"/>
    <x v="2"/>
    <x v="0"/>
    <s v="Active"/>
    <x v="0"/>
  </r>
  <r>
    <n v="35"/>
    <x v="1"/>
    <s v="Travel Frequently"/>
    <n v="944"/>
    <x v="0"/>
    <n v="1"/>
    <n v="3"/>
    <s v="Marketing"/>
    <n v="1"/>
    <x v="228"/>
    <n v="3"/>
    <x v="0"/>
    <n v="92"/>
    <n v="3"/>
    <n v="3"/>
    <x v="0"/>
    <n v="3"/>
    <s v="Single"/>
    <n v="8789"/>
    <n v="9096"/>
    <n v="1"/>
    <s v="Y"/>
    <s v="No"/>
    <n v="14"/>
    <n v="3"/>
    <n v="1"/>
    <n v="80"/>
    <n v="0"/>
    <n v="10"/>
    <n v="3"/>
    <n v="4"/>
    <x v="1"/>
    <n v="7"/>
    <n v="0"/>
    <n v="8"/>
    <x v="1"/>
    <x v="0"/>
    <s v="Active"/>
    <x v="0"/>
  </r>
  <r>
    <n v="29"/>
    <x v="0"/>
    <s v="Travel Rarely"/>
    <n v="896"/>
    <x v="1"/>
    <n v="18"/>
    <n v="1"/>
    <s v="Medical"/>
    <n v="1"/>
    <x v="229"/>
    <n v="3"/>
    <x v="1"/>
    <n v="86"/>
    <n v="2"/>
    <n v="1"/>
    <x v="1"/>
    <n v="4"/>
    <s v="Single"/>
    <n v="2389"/>
    <n v="14961"/>
    <n v="1"/>
    <s v="Y"/>
    <s v="Yes"/>
    <n v="13"/>
    <n v="3"/>
    <n v="3"/>
    <n v="80"/>
    <n v="0"/>
    <n v="4"/>
    <n v="3"/>
    <n v="2"/>
    <x v="9"/>
    <n v="3"/>
    <n v="0"/>
    <n v="1"/>
    <x v="2"/>
    <x v="1"/>
    <s v="Resigned"/>
    <x v="4"/>
  </r>
  <r>
    <n v="52"/>
    <x v="1"/>
    <s v="Travel Rarely"/>
    <n v="1323"/>
    <x v="1"/>
    <n v="2"/>
    <n v="3"/>
    <s v="Life Sciences"/>
    <n v="1"/>
    <x v="230"/>
    <n v="3"/>
    <x v="0"/>
    <n v="89"/>
    <n v="2"/>
    <n v="1"/>
    <x v="2"/>
    <n v="4"/>
    <s v="Single"/>
    <n v="3212"/>
    <n v="3300"/>
    <n v="7"/>
    <s v="Y"/>
    <s v="No"/>
    <n v="15"/>
    <n v="3"/>
    <n v="2"/>
    <n v="80"/>
    <n v="0"/>
    <n v="6"/>
    <n v="3"/>
    <n v="2"/>
    <x v="4"/>
    <n v="2"/>
    <n v="2"/>
    <n v="2"/>
    <x v="0"/>
    <x v="1"/>
    <s v="Active"/>
    <x v="2"/>
  </r>
  <r>
    <n v="42"/>
    <x v="1"/>
    <s v="Travel Rarely"/>
    <n v="532"/>
    <x v="1"/>
    <n v="4"/>
    <n v="2"/>
    <s v="Technical Degree"/>
    <n v="1"/>
    <x v="231"/>
    <n v="3"/>
    <x v="1"/>
    <n v="58"/>
    <n v="3"/>
    <n v="5"/>
    <x v="5"/>
    <n v="4"/>
    <s v="Married"/>
    <n v="19232"/>
    <n v="4933"/>
    <n v="1"/>
    <s v="Y"/>
    <s v="No"/>
    <n v="11"/>
    <n v="3"/>
    <n v="4"/>
    <n v="80"/>
    <n v="0"/>
    <n v="22"/>
    <n v="3"/>
    <n v="3"/>
    <x v="14"/>
    <n v="17"/>
    <n v="11"/>
    <n v="15"/>
    <x v="0"/>
    <x v="2"/>
    <s v="Active"/>
    <x v="0"/>
  </r>
  <r>
    <n v="59"/>
    <x v="1"/>
    <s v="Travel Rarely"/>
    <n v="818"/>
    <x v="2"/>
    <n v="6"/>
    <n v="2"/>
    <s v="Medical"/>
    <n v="1"/>
    <x v="232"/>
    <n v="2"/>
    <x v="1"/>
    <n v="52"/>
    <n v="3"/>
    <n v="1"/>
    <x v="8"/>
    <n v="3"/>
    <s v="Married"/>
    <n v="2267"/>
    <n v="25657"/>
    <n v="8"/>
    <s v="Y"/>
    <s v="No"/>
    <n v="17"/>
    <n v="3"/>
    <n v="4"/>
    <n v="80"/>
    <n v="0"/>
    <n v="7"/>
    <n v="2"/>
    <n v="2"/>
    <x v="4"/>
    <n v="2"/>
    <n v="2"/>
    <n v="2"/>
    <x v="0"/>
    <x v="1"/>
    <s v="Active"/>
    <x v="2"/>
  </r>
  <r>
    <n v="50"/>
    <x v="1"/>
    <s v="Travel Rarely"/>
    <n v="854"/>
    <x v="0"/>
    <n v="1"/>
    <n v="4"/>
    <s v="Medical"/>
    <n v="1"/>
    <x v="233"/>
    <n v="4"/>
    <x v="0"/>
    <n v="68"/>
    <n v="3"/>
    <n v="5"/>
    <x v="5"/>
    <n v="4"/>
    <s v="Divorced"/>
    <n v="19517"/>
    <n v="24118"/>
    <n v="3"/>
    <s v="Y"/>
    <s v="No"/>
    <n v="11"/>
    <n v="3"/>
    <n v="3"/>
    <n v="80"/>
    <n v="1"/>
    <n v="32"/>
    <n v="3"/>
    <n v="2"/>
    <x v="5"/>
    <n v="0"/>
    <n v="0"/>
    <n v="6"/>
    <x v="0"/>
    <x v="2"/>
    <s v="Active"/>
    <x v="0"/>
  </r>
  <r>
    <n v="33"/>
    <x v="0"/>
    <s v="Travel Rarely"/>
    <n v="813"/>
    <x v="1"/>
    <n v="14"/>
    <n v="3"/>
    <s v="Medical"/>
    <n v="1"/>
    <x v="234"/>
    <n v="3"/>
    <x v="1"/>
    <n v="58"/>
    <n v="3"/>
    <n v="1"/>
    <x v="2"/>
    <n v="4"/>
    <s v="Married"/>
    <n v="2436"/>
    <n v="22149"/>
    <n v="5"/>
    <s v="Y"/>
    <s v="Yes"/>
    <n v="13"/>
    <n v="3"/>
    <n v="3"/>
    <n v="80"/>
    <n v="1"/>
    <n v="8"/>
    <n v="2"/>
    <n v="1"/>
    <x v="8"/>
    <n v="4"/>
    <n v="0"/>
    <n v="4"/>
    <x v="1"/>
    <x v="1"/>
    <s v="Resigned"/>
    <x v="3"/>
  </r>
  <r>
    <n v="43"/>
    <x v="1"/>
    <s v="Travel Rarely"/>
    <n v="1034"/>
    <x v="0"/>
    <n v="16"/>
    <n v="3"/>
    <s v="Marketing"/>
    <n v="1"/>
    <x v="235"/>
    <n v="4"/>
    <x v="0"/>
    <n v="80"/>
    <n v="3"/>
    <n v="4"/>
    <x v="5"/>
    <n v="4"/>
    <s v="Married"/>
    <n v="16064"/>
    <n v="7744"/>
    <n v="5"/>
    <s v="Y"/>
    <s v="Yes"/>
    <n v="22"/>
    <n v="4"/>
    <n v="3"/>
    <n v="80"/>
    <n v="1"/>
    <n v="22"/>
    <n v="3"/>
    <n v="3"/>
    <x v="18"/>
    <n v="13"/>
    <n v="1"/>
    <n v="9"/>
    <x v="0"/>
    <x v="2"/>
    <s v="Active"/>
    <x v="0"/>
  </r>
  <r>
    <n v="33"/>
    <x v="0"/>
    <s v="Travel Rarely"/>
    <n v="465"/>
    <x v="1"/>
    <n v="2"/>
    <n v="2"/>
    <s v="Life Sciences"/>
    <n v="1"/>
    <x v="236"/>
    <n v="1"/>
    <x v="0"/>
    <n v="39"/>
    <n v="3"/>
    <n v="1"/>
    <x v="2"/>
    <n v="1"/>
    <s v="Married"/>
    <n v="2707"/>
    <n v="21509"/>
    <n v="7"/>
    <s v="Y"/>
    <s v="No"/>
    <n v="20"/>
    <n v="4"/>
    <n v="1"/>
    <n v="80"/>
    <n v="0"/>
    <n v="13"/>
    <n v="3"/>
    <n v="4"/>
    <x v="7"/>
    <n v="7"/>
    <n v="1"/>
    <n v="7"/>
    <x v="1"/>
    <x v="1"/>
    <s v="Resigned"/>
    <x v="0"/>
  </r>
  <r>
    <n v="52"/>
    <x v="1"/>
    <s v="Non Travel"/>
    <n v="771"/>
    <x v="0"/>
    <n v="2"/>
    <n v="4"/>
    <s v="Life Sciences"/>
    <n v="1"/>
    <x v="237"/>
    <n v="1"/>
    <x v="1"/>
    <n v="79"/>
    <n v="2"/>
    <n v="5"/>
    <x v="5"/>
    <n v="3"/>
    <s v="Single"/>
    <n v="19068"/>
    <n v="21030"/>
    <n v="1"/>
    <s v="Y"/>
    <s v="Yes"/>
    <n v="18"/>
    <n v="3"/>
    <n v="4"/>
    <n v="80"/>
    <n v="0"/>
    <n v="33"/>
    <n v="2"/>
    <n v="4"/>
    <x v="26"/>
    <n v="7"/>
    <n v="15"/>
    <n v="12"/>
    <x v="0"/>
    <x v="2"/>
    <s v="Active"/>
    <x v="0"/>
  </r>
  <r>
    <n v="32"/>
    <x v="1"/>
    <s v="Travel Rarely"/>
    <n v="1401"/>
    <x v="0"/>
    <n v="4"/>
    <n v="2"/>
    <s v="Life Sciences"/>
    <n v="1"/>
    <x v="238"/>
    <n v="3"/>
    <x v="0"/>
    <n v="56"/>
    <n v="3"/>
    <n v="1"/>
    <x v="6"/>
    <n v="2"/>
    <s v="Married"/>
    <n v="3931"/>
    <n v="20990"/>
    <n v="2"/>
    <s v="Y"/>
    <s v="No"/>
    <n v="11"/>
    <n v="3"/>
    <n v="1"/>
    <n v="80"/>
    <n v="1"/>
    <n v="6"/>
    <n v="5"/>
    <n v="3"/>
    <x v="9"/>
    <n v="3"/>
    <n v="1"/>
    <n v="2"/>
    <x v="1"/>
    <x v="1"/>
    <s v="Active"/>
    <x v="4"/>
  </r>
  <r>
    <n v="32"/>
    <x v="0"/>
    <s v="Travel Rarely"/>
    <n v="515"/>
    <x v="1"/>
    <n v="1"/>
    <n v="3"/>
    <s v="Life Sciences"/>
    <n v="1"/>
    <x v="239"/>
    <n v="4"/>
    <x v="1"/>
    <n v="62"/>
    <n v="2"/>
    <n v="1"/>
    <x v="2"/>
    <n v="3"/>
    <s v="Single"/>
    <n v="3730"/>
    <n v="9571"/>
    <n v="0"/>
    <s v="Y"/>
    <s v="Yes"/>
    <n v="14"/>
    <n v="3"/>
    <n v="4"/>
    <n v="80"/>
    <n v="0"/>
    <n v="4"/>
    <n v="2"/>
    <n v="1"/>
    <x v="11"/>
    <n v="2"/>
    <n v="1"/>
    <n v="2"/>
    <x v="1"/>
    <x v="1"/>
    <s v="Resigned"/>
    <x v="5"/>
  </r>
  <r>
    <n v="39"/>
    <x v="1"/>
    <s v="Travel Rarely"/>
    <n v="1431"/>
    <x v="1"/>
    <n v="1"/>
    <n v="4"/>
    <s v="Medical"/>
    <n v="1"/>
    <x v="240"/>
    <n v="3"/>
    <x v="0"/>
    <n v="96"/>
    <n v="3"/>
    <n v="1"/>
    <x v="2"/>
    <n v="3"/>
    <s v="Divorced"/>
    <n v="2232"/>
    <n v="15417"/>
    <n v="7"/>
    <s v="Y"/>
    <s v="No"/>
    <n v="14"/>
    <n v="3"/>
    <n v="3"/>
    <n v="80"/>
    <n v="3"/>
    <n v="7"/>
    <n v="1"/>
    <n v="3"/>
    <x v="11"/>
    <n v="2"/>
    <n v="1"/>
    <n v="2"/>
    <x v="1"/>
    <x v="1"/>
    <s v="Active"/>
    <x v="5"/>
  </r>
  <r>
    <n v="32"/>
    <x v="1"/>
    <s v="Non Travel"/>
    <n v="976"/>
    <x v="0"/>
    <n v="26"/>
    <n v="4"/>
    <s v="Marketing"/>
    <n v="1"/>
    <x v="241"/>
    <n v="3"/>
    <x v="1"/>
    <n v="100"/>
    <n v="3"/>
    <n v="2"/>
    <x v="0"/>
    <n v="4"/>
    <s v="Married"/>
    <n v="4465"/>
    <n v="12069"/>
    <n v="0"/>
    <s v="Y"/>
    <s v="No"/>
    <n v="18"/>
    <n v="3"/>
    <n v="1"/>
    <n v="80"/>
    <n v="0"/>
    <n v="4"/>
    <n v="2"/>
    <n v="3"/>
    <x v="11"/>
    <n v="2"/>
    <n v="2"/>
    <n v="2"/>
    <x v="1"/>
    <x v="1"/>
    <s v="Active"/>
    <x v="5"/>
  </r>
  <r>
    <n v="41"/>
    <x v="1"/>
    <s v="Travel Rarely"/>
    <n v="1411"/>
    <x v="1"/>
    <n v="19"/>
    <n v="2"/>
    <s v="Life Sciences"/>
    <n v="1"/>
    <x v="242"/>
    <n v="3"/>
    <x v="1"/>
    <n v="36"/>
    <n v="3"/>
    <n v="2"/>
    <x v="1"/>
    <n v="1"/>
    <s v="Divorced"/>
    <n v="3072"/>
    <n v="19877"/>
    <n v="2"/>
    <s v="Y"/>
    <s v="No"/>
    <n v="16"/>
    <n v="3"/>
    <n v="1"/>
    <n v="80"/>
    <n v="2"/>
    <n v="17"/>
    <n v="2"/>
    <n v="2"/>
    <x v="6"/>
    <n v="0"/>
    <n v="0"/>
    <n v="0"/>
    <x v="0"/>
    <x v="1"/>
    <s v="Active"/>
    <x v="1"/>
  </r>
  <r>
    <n v="40"/>
    <x v="1"/>
    <s v="Travel Rarely"/>
    <n v="1300"/>
    <x v="1"/>
    <n v="24"/>
    <n v="2"/>
    <s v="Technical Degree"/>
    <n v="1"/>
    <x v="243"/>
    <n v="1"/>
    <x v="1"/>
    <n v="62"/>
    <n v="3"/>
    <n v="2"/>
    <x v="1"/>
    <n v="4"/>
    <s v="Divorced"/>
    <n v="3319"/>
    <n v="24447"/>
    <n v="1"/>
    <s v="Y"/>
    <s v="No"/>
    <n v="17"/>
    <n v="3"/>
    <n v="1"/>
    <n v="80"/>
    <n v="2"/>
    <n v="9"/>
    <n v="3"/>
    <n v="3"/>
    <x v="7"/>
    <n v="8"/>
    <n v="4"/>
    <n v="7"/>
    <x v="1"/>
    <x v="1"/>
    <s v="Active"/>
    <x v="0"/>
  </r>
  <r>
    <n v="45"/>
    <x v="1"/>
    <s v="Travel Rarely"/>
    <n v="252"/>
    <x v="1"/>
    <n v="1"/>
    <n v="3"/>
    <s v="Other"/>
    <n v="1"/>
    <x v="244"/>
    <n v="3"/>
    <x v="1"/>
    <n v="70"/>
    <n v="4"/>
    <n v="5"/>
    <x v="5"/>
    <n v="4"/>
    <s v="Married"/>
    <n v="19202"/>
    <n v="15970"/>
    <n v="0"/>
    <s v="Y"/>
    <s v="No"/>
    <n v="11"/>
    <n v="3"/>
    <n v="3"/>
    <n v="80"/>
    <n v="1"/>
    <n v="25"/>
    <n v="2"/>
    <n v="3"/>
    <x v="25"/>
    <n v="0"/>
    <n v="1"/>
    <n v="7"/>
    <x v="0"/>
    <x v="2"/>
    <s v="Active"/>
    <x v="0"/>
  </r>
  <r>
    <n v="31"/>
    <x v="1"/>
    <s v="Travel Frequently"/>
    <n v="1327"/>
    <x v="1"/>
    <n v="3"/>
    <n v="4"/>
    <s v="Medical"/>
    <n v="1"/>
    <x v="245"/>
    <n v="2"/>
    <x v="1"/>
    <n v="73"/>
    <n v="3"/>
    <n v="3"/>
    <x v="7"/>
    <n v="3"/>
    <s v="Divorced"/>
    <n v="13675"/>
    <n v="13523"/>
    <n v="9"/>
    <s v="Y"/>
    <s v="No"/>
    <n v="12"/>
    <n v="3"/>
    <n v="1"/>
    <n v="80"/>
    <n v="1"/>
    <n v="9"/>
    <n v="3"/>
    <n v="3"/>
    <x v="4"/>
    <n v="2"/>
    <n v="2"/>
    <n v="2"/>
    <x v="1"/>
    <x v="2"/>
    <s v="Active"/>
    <x v="2"/>
  </r>
  <r>
    <n v="33"/>
    <x v="1"/>
    <s v="Travel Rarely"/>
    <n v="832"/>
    <x v="1"/>
    <n v="5"/>
    <n v="4"/>
    <s v="Life Sciences"/>
    <n v="1"/>
    <x v="246"/>
    <n v="3"/>
    <x v="0"/>
    <n v="63"/>
    <n v="2"/>
    <n v="1"/>
    <x v="1"/>
    <n v="4"/>
    <s v="Married"/>
    <n v="2911"/>
    <n v="14776"/>
    <n v="1"/>
    <s v="Y"/>
    <s v="No"/>
    <n v="13"/>
    <n v="3"/>
    <n v="3"/>
    <n v="80"/>
    <n v="1"/>
    <n v="2"/>
    <n v="2"/>
    <n v="2"/>
    <x v="4"/>
    <n v="2"/>
    <n v="0"/>
    <n v="2"/>
    <x v="1"/>
    <x v="1"/>
    <s v="Active"/>
    <x v="2"/>
  </r>
  <r>
    <n v="34"/>
    <x v="1"/>
    <s v="Travel Rarely"/>
    <n v="470"/>
    <x v="1"/>
    <n v="2"/>
    <n v="4"/>
    <s v="Life Sciences"/>
    <n v="1"/>
    <x v="247"/>
    <n v="4"/>
    <x v="1"/>
    <n v="84"/>
    <n v="2"/>
    <n v="2"/>
    <x v="3"/>
    <n v="1"/>
    <s v="Married"/>
    <n v="5957"/>
    <n v="23687"/>
    <n v="6"/>
    <s v="Y"/>
    <s v="No"/>
    <n v="13"/>
    <n v="3"/>
    <n v="2"/>
    <n v="80"/>
    <n v="1"/>
    <n v="13"/>
    <n v="3"/>
    <n v="3"/>
    <x v="19"/>
    <n v="9"/>
    <n v="5"/>
    <n v="9"/>
    <x v="1"/>
    <x v="0"/>
    <s v="Active"/>
    <x v="0"/>
  </r>
  <r>
    <n v="37"/>
    <x v="1"/>
    <s v="Travel Rarely"/>
    <n v="1017"/>
    <x v="1"/>
    <n v="1"/>
    <n v="2"/>
    <s v="Medical"/>
    <n v="1"/>
    <x v="248"/>
    <n v="3"/>
    <x v="0"/>
    <n v="83"/>
    <n v="2"/>
    <n v="1"/>
    <x v="1"/>
    <n v="1"/>
    <s v="Married"/>
    <n v="3920"/>
    <n v="18697"/>
    <n v="2"/>
    <s v="Y"/>
    <s v="No"/>
    <n v="14"/>
    <n v="3"/>
    <n v="1"/>
    <n v="80"/>
    <n v="1"/>
    <n v="17"/>
    <n v="2"/>
    <n v="2"/>
    <x v="11"/>
    <n v="1"/>
    <n v="0"/>
    <n v="2"/>
    <x v="1"/>
    <x v="1"/>
    <s v="Active"/>
    <x v="5"/>
  </r>
  <r>
    <n v="45"/>
    <x v="1"/>
    <s v="Travel Frequently"/>
    <n v="1199"/>
    <x v="1"/>
    <n v="7"/>
    <n v="4"/>
    <s v="Life Sciences"/>
    <n v="1"/>
    <x v="249"/>
    <n v="1"/>
    <x v="1"/>
    <n v="77"/>
    <n v="4"/>
    <n v="2"/>
    <x v="3"/>
    <n v="3"/>
    <s v="Married"/>
    <n v="6434"/>
    <n v="5118"/>
    <n v="4"/>
    <s v="Y"/>
    <s v="No"/>
    <n v="17"/>
    <n v="3"/>
    <n v="4"/>
    <n v="80"/>
    <n v="1"/>
    <n v="9"/>
    <n v="1"/>
    <n v="3"/>
    <x v="11"/>
    <n v="2"/>
    <n v="0"/>
    <n v="2"/>
    <x v="0"/>
    <x v="0"/>
    <s v="Active"/>
    <x v="5"/>
  </r>
  <r>
    <n v="37"/>
    <x v="0"/>
    <s v="Travel Frequently"/>
    <n v="504"/>
    <x v="1"/>
    <n v="10"/>
    <n v="3"/>
    <s v="Medical"/>
    <n v="1"/>
    <x v="250"/>
    <n v="1"/>
    <x v="1"/>
    <n v="61"/>
    <n v="3"/>
    <n v="3"/>
    <x v="3"/>
    <n v="3"/>
    <s v="Divorced"/>
    <n v="10048"/>
    <n v="22573"/>
    <n v="6"/>
    <s v="Y"/>
    <s v="No"/>
    <n v="11"/>
    <n v="3"/>
    <n v="2"/>
    <n v="80"/>
    <n v="2"/>
    <n v="17"/>
    <n v="5"/>
    <n v="3"/>
    <x v="6"/>
    <n v="0"/>
    <n v="0"/>
    <n v="0"/>
    <x v="1"/>
    <x v="2"/>
    <s v="Resigned"/>
    <x v="1"/>
  </r>
  <r>
    <n v="39"/>
    <x v="1"/>
    <s v="Travel Frequently"/>
    <n v="505"/>
    <x v="1"/>
    <n v="2"/>
    <n v="4"/>
    <s v="Technical Degree"/>
    <n v="1"/>
    <x v="251"/>
    <n v="3"/>
    <x v="0"/>
    <n v="64"/>
    <n v="3"/>
    <n v="3"/>
    <x v="4"/>
    <n v="3"/>
    <s v="Single"/>
    <n v="10938"/>
    <n v="6420"/>
    <n v="0"/>
    <s v="Y"/>
    <s v="No"/>
    <n v="25"/>
    <n v="4"/>
    <n v="4"/>
    <n v="80"/>
    <n v="0"/>
    <n v="20"/>
    <n v="1"/>
    <n v="3"/>
    <x v="27"/>
    <n v="6"/>
    <n v="11"/>
    <n v="8"/>
    <x v="1"/>
    <x v="2"/>
    <s v="Active"/>
    <x v="0"/>
  </r>
  <r>
    <n v="29"/>
    <x v="1"/>
    <s v="Travel Rarely"/>
    <n v="665"/>
    <x v="1"/>
    <n v="15"/>
    <n v="3"/>
    <s v="Life Sciences"/>
    <n v="1"/>
    <x v="252"/>
    <n v="3"/>
    <x v="1"/>
    <n v="60"/>
    <n v="3"/>
    <n v="1"/>
    <x v="1"/>
    <n v="4"/>
    <s v="Single"/>
    <n v="2340"/>
    <n v="22673"/>
    <n v="1"/>
    <s v="Y"/>
    <s v="No"/>
    <n v="19"/>
    <n v="3"/>
    <n v="1"/>
    <n v="80"/>
    <n v="0"/>
    <n v="6"/>
    <n v="1"/>
    <n v="3"/>
    <x v="0"/>
    <n v="5"/>
    <n v="1"/>
    <n v="5"/>
    <x v="2"/>
    <x v="1"/>
    <s v="Active"/>
    <x v="0"/>
  </r>
  <r>
    <n v="42"/>
    <x v="1"/>
    <s v="Travel Rarely"/>
    <n v="916"/>
    <x v="1"/>
    <n v="17"/>
    <n v="2"/>
    <s v="Life Sciences"/>
    <n v="1"/>
    <x v="253"/>
    <n v="4"/>
    <x v="0"/>
    <n v="82"/>
    <n v="4"/>
    <n v="2"/>
    <x v="1"/>
    <n v="1"/>
    <s v="Single"/>
    <n v="6545"/>
    <n v="23016"/>
    <n v="3"/>
    <s v="Y"/>
    <s v="Yes"/>
    <n v="13"/>
    <n v="3"/>
    <n v="3"/>
    <n v="80"/>
    <n v="0"/>
    <n v="10"/>
    <n v="1"/>
    <n v="3"/>
    <x v="11"/>
    <n v="2"/>
    <n v="0"/>
    <n v="2"/>
    <x v="0"/>
    <x v="0"/>
    <s v="Active"/>
    <x v="5"/>
  </r>
  <r>
    <n v="29"/>
    <x v="1"/>
    <s v="Travel Rarely"/>
    <n v="1247"/>
    <x v="0"/>
    <n v="20"/>
    <n v="2"/>
    <s v="Marketing"/>
    <n v="1"/>
    <x v="254"/>
    <n v="4"/>
    <x v="1"/>
    <n v="45"/>
    <n v="3"/>
    <n v="2"/>
    <x v="0"/>
    <n v="4"/>
    <s v="Divorced"/>
    <n v="6931"/>
    <n v="10732"/>
    <n v="2"/>
    <s v="Y"/>
    <s v="No"/>
    <n v="14"/>
    <n v="3"/>
    <n v="4"/>
    <n v="80"/>
    <n v="1"/>
    <n v="10"/>
    <n v="2"/>
    <n v="3"/>
    <x v="11"/>
    <n v="2"/>
    <n v="0"/>
    <n v="2"/>
    <x v="2"/>
    <x v="0"/>
    <s v="Active"/>
    <x v="5"/>
  </r>
  <r>
    <n v="25"/>
    <x v="1"/>
    <s v="Travel Rarely"/>
    <n v="685"/>
    <x v="1"/>
    <n v="1"/>
    <n v="3"/>
    <s v="Life Sciences"/>
    <n v="1"/>
    <x v="255"/>
    <n v="1"/>
    <x v="0"/>
    <n v="62"/>
    <n v="3"/>
    <n v="2"/>
    <x v="3"/>
    <n v="3"/>
    <s v="Married"/>
    <n v="4898"/>
    <n v="7505"/>
    <n v="0"/>
    <s v="Y"/>
    <s v="No"/>
    <n v="12"/>
    <n v="3"/>
    <n v="4"/>
    <n v="80"/>
    <n v="2"/>
    <n v="5"/>
    <n v="3"/>
    <n v="3"/>
    <x v="9"/>
    <n v="2"/>
    <n v="1"/>
    <n v="2"/>
    <x v="2"/>
    <x v="1"/>
    <s v="Active"/>
    <x v="4"/>
  </r>
  <r>
    <n v="42"/>
    <x v="1"/>
    <s v="Travel Rarely"/>
    <n v="269"/>
    <x v="1"/>
    <n v="2"/>
    <n v="3"/>
    <s v="Medical"/>
    <n v="1"/>
    <x v="256"/>
    <n v="4"/>
    <x v="0"/>
    <n v="56"/>
    <n v="2"/>
    <n v="1"/>
    <x v="2"/>
    <n v="1"/>
    <s v="Divorced"/>
    <n v="2593"/>
    <n v="8007"/>
    <n v="0"/>
    <s v="Y"/>
    <s v="Yes"/>
    <n v="11"/>
    <n v="3"/>
    <n v="3"/>
    <n v="80"/>
    <n v="1"/>
    <n v="10"/>
    <n v="4"/>
    <n v="3"/>
    <x v="7"/>
    <n v="6"/>
    <n v="7"/>
    <n v="8"/>
    <x v="0"/>
    <x v="1"/>
    <s v="Active"/>
    <x v="0"/>
  </r>
  <r>
    <n v="40"/>
    <x v="1"/>
    <s v="Travel Rarely"/>
    <n v="1416"/>
    <x v="1"/>
    <n v="2"/>
    <n v="2"/>
    <s v="Medical"/>
    <n v="1"/>
    <x v="257"/>
    <n v="1"/>
    <x v="1"/>
    <n v="49"/>
    <n v="3"/>
    <n v="5"/>
    <x v="7"/>
    <n v="3"/>
    <s v="Divorced"/>
    <n v="19436"/>
    <n v="5949"/>
    <n v="0"/>
    <s v="Y"/>
    <s v="No"/>
    <n v="19"/>
    <n v="3"/>
    <n v="4"/>
    <n v="80"/>
    <n v="1"/>
    <n v="22"/>
    <n v="5"/>
    <n v="3"/>
    <x v="17"/>
    <n v="7"/>
    <n v="3"/>
    <n v="9"/>
    <x v="1"/>
    <x v="2"/>
    <s v="Active"/>
    <x v="0"/>
  </r>
  <r>
    <n v="51"/>
    <x v="1"/>
    <s v="Travel Rarely"/>
    <n v="833"/>
    <x v="1"/>
    <n v="1"/>
    <n v="3"/>
    <s v="Life Sciences"/>
    <n v="1"/>
    <x v="258"/>
    <n v="3"/>
    <x v="1"/>
    <n v="96"/>
    <n v="3"/>
    <n v="1"/>
    <x v="1"/>
    <n v="4"/>
    <s v="Married"/>
    <n v="2723"/>
    <n v="23231"/>
    <n v="1"/>
    <s v="Y"/>
    <s v="No"/>
    <n v="11"/>
    <n v="3"/>
    <n v="2"/>
    <n v="80"/>
    <n v="0"/>
    <n v="1"/>
    <n v="0"/>
    <n v="2"/>
    <x v="6"/>
    <n v="0"/>
    <n v="0"/>
    <n v="0"/>
    <x v="0"/>
    <x v="1"/>
    <s v="Active"/>
    <x v="1"/>
  </r>
  <r>
    <n v="31"/>
    <x v="0"/>
    <s v="Travel Frequently"/>
    <n v="307"/>
    <x v="1"/>
    <n v="29"/>
    <n v="2"/>
    <s v="Medical"/>
    <n v="1"/>
    <x v="259"/>
    <n v="3"/>
    <x v="1"/>
    <n v="71"/>
    <n v="2"/>
    <n v="1"/>
    <x v="2"/>
    <n v="2"/>
    <s v="Single"/>
    <n v="3479"/>
    <n v="11652"/>
    <n v="0"/>
    <s v="Y"/>
    <s v="No"/>
    <n v="11"/>
    <n v="3"/>
    <n v="2"/>
    <n v="80"/>
    <n v="0"/>
    <n v="6"/>
    <n v="2"/>
    <n v="4"/>
    <x v="8"/>
    <n v="4"/>
    <n v="1"/>
    <n v="4"/>
    <x v="1"/>
    <x v="1"/>
    <s v="Resigned"/>
    <x v="3"/>
  </r>
  <r>
    <n v="32"/>
    <x v="1"/>
    <s v="Travel Frequently"/>
    <n v="1311"/>
    <x v="1"/>
    <n v="7"/>
    <n v="3"/>
    <s v="Life Sciences"/>
    <n v="1"/>
    <x v="260"/>
    <n v="2"/>
    <x v="1"/>
    <n v="100"/>
    <n v="4"/>
    <n v="1"/>
    <x v="2"/>
    <n v="2"/>
    <s v="Married"/>
    <n v="2794"/>
    <n v="26062"/>
    <n v="1"/>
    <s v="Y"/>
    <s v="No"/>
    <n v="20"/>
    <n v="4"/>
    <n v="3"/>
    <n v="80"/>
    <n v="0"/>
    <n v="5"/>
    <n v="3"/>
    <n v="1"/>
    <x v="8"/>
    <n v="1"/>
    <n v="0"/>
    <n v="3"/>
    <x v="1"/>
    <x v="1"/>
    <s v="Active"/>
    <x v="3"/>
  </r>
  <r>
    <n v="38"/>
    <x v="1"/>
    <s v="Non Travel"/>
    <n v="1327"/>
    <x v="0"/>
    <n v="2"/>
    <n v="2"/>
    <s v="Life Sciences"/>
    <n v="1"/>
    <x v="261"/>
    <n v="4"/>
    <x v="1"/>
    <n v="39"/>
    <n v="2"/>
    <n v="2"/>
    <x v="0"/>
    <n v="4"/>
    <s v="Married"/>
    <n v="5249"/>
    <n v="19682"/>
    <n v="3"/>
    <s v="Y"/>
    <s v="No"/>
    <n v="18"/>
    <n v="3"/>
    <n v="4"/>
    <n v="80"/>
    <n v="1"/>
    <n v="13"/>
    <n v="0"/>
    <n v="3"/>
    <x v="3"/>
    <n v="7"/>
    <n v="7"/>
    <n v="5"/>
    <x v="1"/>
    <x v="0"/>
    <s v="Active"/>
    <x v="0"/>
  </r>
  <r>
    <n v="32"/>
    <x v="1"/>
    <s v="Travel Rarely"/>
    <n v="128"/>
    <x v="1"/>
    <n v="2"/>
    <n v="1"/>
    <s v="Technical Degree"/>
    <n v="1"/>
    <x v="262"/>
    <n v="4"/>
    <x v="1"/>
    <n v="84"/>
    <n v="2"/>
    <n v="2"/>
    <x v="2"/>
    <n v="1"/>
    <s v="Single"/>
    <n v="2176"/>
    <n v="19737"/>
    <n v="4"/>
    <s v="Y"/>
    <s v="No"/>
    <n v="13"/>
    <n v="3"/>
    <n v="4"/>
    <n v="80"/>
    <n v="0"/>
    <n v="9"/>
    <n v="5"/>
    <n v="3"/>
    <x v="0"/>
    <n v="2"/>
    <n v="0"/>
    <n v="4"/>
    <x v="1"/>
    <x v="1"/>
    <s v="Active"/>
    <x v="0"/>
  </r>
  <r>
    <n v="46"/>
    <x v="1"/>
    <s v="Travel Rarely"/>
    <n v="488"/>
    <x v="0"/>
    <n v="2"/>
    <n v="3"/>
    <s v="Technical Degree"/>
    <n v="1"/>
    <x v="263"/>
    <n v="3"/>
    <x v="0"/>
    <n v="75"/>
    <n v="1"/>
    <n v="4"/>
    <x v="5"/>
    <n v="2"/>
    <s v="Married"/>
    <n v="16872"/>
    <n v="14977"/>
    <n v="3"/>
    <s v="Y"/>
    <s v="Yes"/>
    <n v="12"/>
    <n v="3"/>
    <n v="2"/>
    <n v="80"/>
    <n v="1"/>
    <n v="28"/>
    <n v="2"/>
    <n v="2"/>
    <x v="5"/>
    <n v="7"/>
    <n v="7"/>
    <n v="7"/>
    <x v="0"/>
    <x v="2"/>
    <s v="Active"/>
    <x v="0"/>
  </r>
  <r>
    <n v="28"/>
    <x v="0"/>
    <s v="Travel Rarely"/>
    <n v="529"/>
    <x v="1"/>
    <n v="2"/>
    <n v="4"/>
    <s v="Life Sciences"/>
    <n v="1"/>
    <x v="264"/>
    <n v="1"/>
    <x v="1"/>
    <n v="79"/>
    <n v="3"/>
    <n v="1"/>
    <x v="2"/>
    <n v="3"/>
    <s v="Single"/>
    <n v="3485"/>
    <n v="14935"/>
    <n v="2"/>
    <s v="Y"/>
    <s v="No"/>
    <n v="11"/>
    <n v="3"/>
    <n v="3"/>
    <n v="80"/>
    <n v="0"/>
    <n v="5"/>
    <n v="5"/>
    <n v="1"/>
    <x v="2"/>
    <n v="0"/>
    <n v="0"/>
    <n v="0"/>
    <x v="2"/>
    <x v="1"/>
    <s v="Resigned"/>
    <x v="1"/>
  </r>
  <r>
    <n v="29"/>
    <x v="1"/>
    <s v="Travel Rarely"/>
    <n v="1210"/>
    <x v="0"/>
    <n v="2"/>
    <n v="3"/>
    <s v="Medical"/>
    <n v="1"/>
    <x v="265"/>
    <n v="1"/>
    <x v="1"/>
    <n v="78"/>
    <n v="2"/>
    <n v="2"/>
    <x v="0"/>
    <n v="2"/>
    <s v="Married"/>
    <n v="6644"/>
    <n v="3687"/>
    <n v="2"/>
    <s v="Y"/>
    <s v="No"/>
    <n v="19"/>
    <n v="3"/>
    <n v="2"/>
    <n v="80"/>
    <n v="2"/>
    <n v="10"/>
    <n v="2"/>
    <n v="3"/>
    <x v="2"/>
    <n v="0"/>
    <n v="0"/>
    <n v="0"/>
    <x v="2"/>
    <x v="0"/>
    <s v="Active"/>
    <x v="1"/>
  </r>
  <r>
    <n v="31"/>
    <x v="1"/>
    <s v="Travel Rarely"/>
    <n v="1463"/>
    <x v="1"/>
    <n v="23"/>
    <n v="3"/>
    <s v="Medical"/>
    <n v="1"/>
    <x v="266"/>
    <n v="2"/>
    <x v="1"/>
    <n v="64"/>
    <n v="2"/>
    <n v="2"/>
    <x v="4"/>
    <n v="4"/>
    <s v="Married"/>
    <n v="5582"/>
    <n v="14408"/>
    <n v="0"/>
    <s v="Y"/>
    <s v="No"/>
    <n v="21"/>
    <n v="4"/>
    <n v="2"/>
    <n v="80"/>
    <n v="1"/>
    <n v="10"/>
    <n v="2"/>
    <n v="3"/>
    <x v="7"/>
    <n v="0"/>
    <n v="7"/>
    <n v="8"/>
    <x v="1"/>
    <x v="0"/>
    <s v="Active"/>
    <x v="0"/>
  </r>
  <r>
    <n v="25"/>
    <x v="1"/>
    <s v="Non Travel"/>
    <n v="675"/>
    <x v="1"/>
    <n v="5"/>
    <n v="2"/>
    <s v="Life Sciences"/>
    <n v="1"/>
    <x v="267"/>
    <n v="2"/>
    <x v="1"/>
    <n v="85"/>
    <n v="4"/>
    <n v="2"/>
    <x v="4"/>
    <n v="1"/>
    <s v="Divorced"/>
    <n v="4000"/>
    <n v="18384"/>
    <n v="1"/>
    <s v="Y"/>
    <s v="No"/>
    <n v="12"/>
    <n v="3"/>
    <n v="4"/>
    <n v="80"/>
    <n v="2"/>
    <n v="6"/>
    <n v="2"/>
    <n v="3"/>
    <x v="0"/>
    <n v="3"/>
    <n v="1"/>
    <n v="5"/>
    <x v="2"/>
    <x v="1"/>
    <s v="Active"/>
    <x v="0"/>
  </r>
  <r>
    <n v="45"/>
    <x v="1"/>
    <s v="Travel Rarely"/>
    <n v="1385"/>
    <x v="1"/>
    <n v="20"/>
    <n v="2"/>
    <s v="Medical"/>
    <n v="1"/>
    <x v="268"/>
    <n v="3"/>
    <x v="1"/>
    <n v="79"/>
    <n v="3"/>
    <n v="4"/>
    <x v="4"/>
    <n v="4"/>
    <s v="Married"/>
    <n v="13496"/>
    <n v="7501"/>
    <n v="0"/>
    <s v="Y"/>
    <s v="Yes"/>
    <n v="14"/>
    <n v="3"/>
    <n v="2"/>
    <n v="80"/>
    <n v="0"/>
    <n v="21"/>
    <n v="2"/>
    <n v="3"/>
    <x v="23"/>
    <n v="7"/>
    <n v="4"/>
    <n v="10"/>
    <x v="0"/>
    <x v="2"/>
    <s v="Active"/>
    <x v="0"/>
  </r>
  <r>
    <n v="36"/>
    <x v="1"/>
    <s v="Travel Rarely"/>
    <n v="1403"/>
    <x v="1"/>
    <n v="6"/>
    <n v="3"/>
    <s v="Life Sciences"/>
    <n v="1"/>
    <x v="269"/>
    <n v="4"/>
    <x v="1"/>
    <n v="47"/>
    <n v="3"/>
    <n v="1"/>
    <x v="2"/>
    <n v="4"/>
    <s v="Married"/>
    <n v="3210"/>
    <n v="20251"/>
    <n v="0"/>
    <s v="Y"/>
    <s v="No"/>
    <n v="11"/>
    <n v="3"/>
    <n v="3"/>
    <n v="80"/>
    <n v="1"/>
    <n v="16"/>
    <n v="4"/>
    <n v="3"/>
    <x v="15"/>
    <n v="13"/>
    <n v="10"/>
    <n v="11"/>
    <x v="1"/>
    <x v="1"/>
    <s v="Active"/>
    <x v="0"/>
  </r>
  <r>
    <n v="55"/>
    <x v="1"/>
    <s v="Travel Rarely"/>
    <n v="452"/>
    <x v="1"/>
    <n v="1"/>
    <n v="3"/>
    <s v="Medical"/>
    <n v="1"/>
    <x v="270"/>
    <n v="4"/>
    <x v="1"/>
    <n v="81"/>
    <n v="3"/>
    <n v="5"/>
    <x v="5"/>
    <n v="1"/>
    <s v="Single"/>
    <n v="19045"/>
    <n v="18938"/>
    <n v="0"/>
    <s v="Y"/>
    <s v="Yes"/>
    <n v="14"/>
    <n v="3"/>
    <n v="3"/>
    <n v="80"/>
    <n v="0"/>
    <n v="37"/>
    <n v="2"/>
    <n v="3"/>
    <x v="28"/>
    <n v="10"/>
    <n v="4"/>
    <n v="13"/>
    <x v="0"/>
    <x v="2"/>
    <s v="Active"/>
    <x v="0"/>
  </r>
  <r>
    <n v="47"/>
    <x v="0"/>
    <s v="Non Travel"/>
    <n v="666"/>
    <x v="1"/>
    <n v="29"/>
    <n v="4"/>
    <s v="Life Sciences"/>
    <n v="1"/>
    <x v="271"/>
    <n v="1"/>
    <x v="1"/>
    <n v="88"/>
    <n v="3"/>
    <n v="3"/>
    <x v="5"/>
    <n v="2"/>
    <s v="Married"/>
    <n v="11849"/>
    <n v="10268"/>
    <n v="1"/>
    <s v="Y"/>
    <s v="Yes"/>
    <n v="12"/>
    <n v="3"/>
    <n v="4"/>
    <n v="80"/>
    <n v="1"/>
    <n v="10"/>
    <n v="2"/>
    <n v="2"/>
    <x v="1"/>
    <n v="7"/>
    <n v="9"/>
    <n v="9"/>
    <x v="0"/>
    <x v="2"/>
    <s v="Resigned"/>
    <x v="0"/>
  </r>
  <r>
    <n v="28"/>
    <x v="1"/>
    <s v="Travel Rarely"/>
    <n v="1158"/>
    <x v="1"/>
    <n v="9"/>
    <n v="3"/>
    <s v="Medical"/>
    <n v="1"/>
    <x v="272"/>
    <n v="4"/>
    <x v="1"/>
    <n v="94"/>
    <n v="3"/>
    <n v="1"/>
    <x v="1"/>
    <n v="4"/>
    <s v="Married"/>
    <n v="2070"/>
    <n v="2613"/>
    <n v="1"/>
    <s v="Y"/>
    <s v="No"/>
    <n v="23"/>
    <n v="4"/>
    <n v="4"/>
    <n v="80"/>
    <n v="1"/>
    <n v="5"/>
    <n v="3"/>
    <n v="2"/>
    <x v="8"/>
    <n v="2"/>
    <n v="0"/>
    <n v="4"/>
    <x v="2"/>
    <x v="1"/>
    <s v="Active"/>
    <x v="3"/>
  </r>
  <r>
    <n v="37"/>
    <x v="1"/>
    <s v="Travel Rarely"/>
    <n v="228"/>
    <x v="0"/>
    <n v="6"/>
    <n v="4"/>
    <s v="Medical"/>
    <n v="1"/>
    <x v="273"/>
    <n v="3"/>
    <x v="1"/>
    <n v="98"/>
    <n v="3"/>
    <n v="2"/>
    <x v="0"/>
    <n v="4"/>
    <s v="Married"/>
    <n v="6502"/>
    <n v="22825"/>
    <n v="4"/>
    <s v="Y"/>
    <s v="No"/>
    <n v="14"/>
    <n v="3"/>
    <n v="2"/>
    <n v="80"/>
    <n v="1"/>
    <n v="7"/>
    <n v="5"/>
    <n v="4"/>
    <x v="8"/>
    <n v="4"/>
    <n v="0"/>
    <n v="1"/>
    <x v="1"/>
    <x v="0"/>
    <s v="Active"/>
    <x v="3"/>
  </r>
  <r>
    <n v="21"/>
    <x v="1"/>
    <s v="Travel Rarely"/>
    <n v="996"/>
    <x v="1"/>
    <n v="3"/>
    <n v="2"/>
    <s v="Medical"/>
    <n v="1"/>
    <x v="274"/>
    <n v="4"/>
    <x v="1"/>
    <n v="100"/>
    <n v="2"/>
    <n v="1"/>
    <x v="1"/>
    <n v="3"/>
    <s v="Single"/>
    <n v="3230"/>
    <n v="10531"/>
    <n v="1"/>
    <s v="Y"/>
    <s v="No"/>
    <n v="17"/>
    <n v="3"/>
    <n v="1"/>
    <n v="80"/>
    <n v="0"/>
    <n v="3"/>
    <n v="4"/>
    <n v="4"/>
    <x v="11"/>
    <n v="2"/>
    <n v="1"/>
    <n v="0"/>
    <x v="2"/>
    <x v="1"/>
    <s v="Active"/>
    <x v="5"/>
  </r>
  <r>
    <n v="37"/>
    <x v="1"/>
    <s v="Non Travel"/>
    <n v="728"/>
    <x v="1"/>
    <n v="1"/>
    <n v="4"/>
    <s v="Medical"/>
    <n v="1"/>
    <x v="275"/>
    <n v="1"/>
    <x v="0"/>
    <n v="80"/>
    <n v="3"/>
    <n v="3"/>
    <x v="7"/>
    <n v="4"/>
    <s v="Divorced"/>
    <n v="13603"/>
    <n v="11677"/>
    <n v="2"/>
    <s v="Y"/>
    <s v="Yes"/>
    <n v="18"/>
    <n v="3"/>
    <n v="1"/>
    <n v="80"/>
    <n v="2"/>
    <n v="15"/>
    <n v="2"/>
    <n v="3"/>
    <x v="8"/>
    <n v="2"/>
    <n v="0"/>
    <n v="2"/>
    <x v="1"/>
    <x v="2"/>
    <s v="Active"/>
    <x v="3"/>
  </r>
  <r>
    <n v="35"/>
    <x v="1"/>
    <s v="Travel Rarely"/>
    <n v="1315"/>
    <x v="1"/>
    <n v="22"/>
    <n v="3"/>
    <s v="Life Sciences"/>
    <n v="1"/>
    <x v="276"/>
    <n v="2"/>
    <x v="0"/>
    <n v="71"/>
    <n v="4"/>
    <n v="3"/>
    <x v="5"/>
    <n v="2"/>
    <s v="Divorced"/>
    <n v="11996"/>
    <n v="19100"/>
    <n v="7"/>
    <s v="Y"/>
    <s v="No"/>
    <n v="18"/>
    <n v="3"/>
    <n v="2"/>
    <n v="80"/>
    <n v="1"/>
    <n v="10"/>
    <n v="6"/>
    <n v="2"/>
    <x v="5"/>
    <n v="7"/>
    <n v="6"/>
    <n v="2"/>
    <x v="1"/>
    <x v="2"/>
    <s v="Active"/>
    <x v="0"/>
  </r>
  <r>
    <n v="38"/>
    <x v="1"/>
    <s v="Travel Rarely"/>
    <n v="322"/>
    <x v="0"/>
    <n v="7"/>
    <n v="2"/>
    <s v="Medical"/>
    <n v="1"/>
    <x v="277"/>
    <n v="1"/>
    <x v="0"/>
    <n v="44"/>
    <n v="4"/>
    <n v="2"/>
    <x v="0"/>
    <n v="1"/>
    <s v="Divorced"/>
    <n v="5605"/>
    <n v="19191"/>
    <n v="1"/>
    <s v="Y"/>
    <s v="Yes"/>
    <n v="24"/>
    <n v="4"/>
    <n v="3"/>
    <n v="80"/>
    <n v="1"/>
    <n v="8"/>
    <n v="3"/>
    <n v="3"/>
    <x v="3"/>
    <n v="0"/>
    <n v="7"/>
    <n v="7"/>
    <x v="1"/>
    <x v="0"/>
    <s v="Active"/>
    <x v="0"/>
  </r>
  <r>
    <n v="26"/>
    <x v="1"/>
    <s v="Travel Frequently"/>
    <n v="1479"/>
    <x v="1"/>
    <n v="1"/>
    <n v="3"/>
    <s v="Life Sciences"/>
    <n v="1"/>
    <x v="278"/>
    <n v="3"/>
    <x v="0"/>
    <n v="84"/>
    <n v="3"/>
    <n v="2"/>
    <x v="3"/>
    <n v="2"/>
    <s v="Divorced"/>
    <n v="6397"/>
    <n v="26767"/>
    <n v="1"/>
    <s v="Y"/>
    <s v="No"/>
    <n v="20"/>
    <n v="4"/>
    <n v="1"/>
    <n v="80"/>
    <n v="1"/>
    <n v="6"/>
    <n v="6"/>
    <n v="1"/>
    <x v="0"/>
    <n v="5"/>
    <n v="1"/>
    <n v="4"/>
    <x v="2"/>
    <x v="0"/>
    <s v="Active"/>
    <x v="0"/>
  </r>
  <r>
    <n v="50"/>
    <x v="1"/>
    <s v="Travel Rarely"/>
    <n v="797"/>
    <x v="1"/>
    <n v="4"/>
    <n v="1"/>
    <s v="Life Sciences"/>
    <n v="1"/>
    <x v="279"/>
    <n v="1"/>
    <x v="1"/>
    <n v="96"/>
    <n v="3"/>
    <n v="5"/>
    <x v="7"/>
    <n v="2"/>
    <s v="Divorced"/>
    <n v="19144"/>
    <n v="15815"/>
    <n v="3"/>
    <s v="Y"/>
    <s v="No"/>
    <n v="14"/>
    <n v="3"/>
    <n v="1"/>
    <n v="80"/>
    <n v="2"/>
    <n v="28"/>
    <n v="4"/>
    <n v="2"/>
    <x v="1"/>
    <n v="4"/>
    <n v="1"/>
    <n v="6"/>
    <x v="0"/>
    <x v="2"/>
    <s v="Active"/>
    <x v="0"/>
  </r>
  <r>
    <n v="53"/>
    <x v="1"/>
    <s v="Travel Rarely"/>
    <n v="1070"/>
    <x v="1"/>
    <n v="3"/>
    <n v="4"/>
    <s v="Medical"/>
    <n v="1"/>
    <x v="280"/>
    <n v="3"/>
    <x v="1"/>
    <n v="45"/>
    <n v="3"/>
    <n v="4"/>
    <x v="7"/>
    <n v="3"/>
    <s v="Married"/>
    <n v="17584"/>
    <n v="21016"/>
    <n v="3"/>
    <s v="Y"/>
    <s v="Yes"/>
    <n v="16"/>
    <n v="3"/>
    <n v="4"/>
    <n v="80"/>
    <n v="3"/>
    <n v="21"/>
    <n v="5"/>
    <n v="2"/>
    <x v="8"/>
    <n v="3"/>
    <n v="1"/>
    <n v="3"/>
    <x v="0"/>
    <x v="2"/>
    <s v="Active"/>
    <x v="3"/>
  </r>
  <r>
    <n v="42"/>
    <x v="1"/>
    <s v="Travel Rarely"/>
    <n v="635"/>
    <x v="0"/>
    <n v="1"/>
    <n v="1"/>
    <s v="Life Sciences"/>
    <n v="1"/>
    <x v="281"/>
    <n v="2"/>
    <x v="1"/>
    <n v="99"/>
    <n v="3"/>
    <n v="2"/>
    <x v="0"/>
    <n v="3"/>
    <s v="Married"/>
    <n v="4907"/>
    <n v="24532"/>
    <n v="1"/>
    <s v="Y"/>
    <s v="No"/>
    <n v="25"/>
    <n v="4"/>
    <n v="3"/>
    <n v="80"/>
    <n v="0"/>
    <n v="20"/>
    <n v="3"/>
    <n v="3"/>
    <x v="23"/>
    <n v="16"/>
    <n v="11"/>
    <n v="6"/>
    <x v="0"/>
    <x v="1"/>
    <s v="Active"/>
    <x v="0"/>
  </r>
  <r>
    <n v="29"/>
    <x v="1"/>
    <s v="Travel Frequently"/>
    <n v="442"/>
    <x v="0"/>
    <n v="2"/>
    <n v="2"/>
    <s v="Life Sciences"/>
    <n v="1"/>
    <x v="282"/>
    <n v="2"/>
    <x v="1"/>
    <n v="44"/>
    <n v="3"/>
    <n v="2"/>
    <x v="0"/>
    <n v="4"/>
    <s v="Single"/>
    <n v="4554"/>
    <n v="20260"/>
    <n v="1"/>
    <s v="Y"/>
    <s v="No"/>
    <n v="18"/>
    <n v="3"/>
    <n v="1"/>
    <n v="80"/>
    <n v="0"/>
    <n v="10"/>
    <n v="3"/>
    <n v="2"/>
    <x v="1"/>
    <n v="7"/>
    <n v="0"/>
    <n v="9"/>
    <x v="2"/>
    <x v="1"/>
    <s v="Active"/>
    <x v="0"/>
  </r>
  <r>
    <n v="55"/>
    <x v="1"/>
    <s v="Travel Rarely"/>
    <n v="147"/>
    <x v="1"/>
    <n v="20"/>
    <n v="2"/>
    <s v="Technical Degree"/>
    <n v="1"/>
    <x v="283"/>
    <n v="2"/>
    <x v="1"/>
    <n v="37"/>
    <n v="3"/>
    <n v="2"/>
    <x v="2"/>
    <n v="4"/>
    <s v="Married"/>
    <n v="5415"/>
    <n v="15972"/>
    <n v="3"/>
    <s v="Y"/>
    <s v="Yes"/>
    <n v="19"/>
    <n v="3"/>
    <n v="4"/>
    <n v="80"/>
    <n v="1"/>
    <n v="12"/>
    <n v="4"/>
    <n v="3"/>
    <x v="1"/>
    <n v="7"/>
    <n v="0"/>
    <n v="8"/>
    <x v="0"/>
    <x v="0"/>
    <s v="Active"/>
    <x v="0"/>
  </r>
  <r>
    <n v="26"/>
    <x v="1"/>
    <s v="Travel Frequently"/>
    <n v="496"/>
    <x v="1"/>
    <n v="11"/>
    <n v="2"/>
    <s v="Medical"/>
    <n v="1"/>
    <x v="284"/>
    <n v="1"/>
    <x v="1"/>
    <n v="60"/>
    <n v="3"/>
    <n v="2"/>
    <x v="4"/>
    <n v="1"/>
    <s v="Married"/>
    <n v="4741"/>
    <n v="22722"/>
    <n v="1"/>
    <s v="Y"/>
    <s v="Yes"/>
    <n v="13"/>
    <n v="3"/>
    <n v="3"/>
    <n v="80"/>
    <n v="1"/>
    <n v="5"/>
    <n v="3"/>
    <n v="3"/>
    <x v="8"/>
    <n v="3"/>
    <n v="3"/>
    <n v="3"/>
    <x v="2"/>
    <x v="1"/>
    <s v="Active"/>
    <x v="3"/>
  </r>
  <r>
    <n v="37"/>
    <x v="1"/>
    <s v="Travel Rarely"/>
    <n v="1372"/>
    <x v="1"/>
    <n v="1"/>
    <n v="3"/>
    <s v="Life Sciences"/>
    <n v="1"/>
    <x v="285"/>
    <n v="4"/>
    <x v="0"/>
    <n v="42"/>
    <n v="3"/>
    <n v="1"/>
    <x v="1"/>
    <n v="4"/>
    <s v="Single"/>
    <n v="2115"/>
    <n v="15881"/>
    <n v="1"/>
    <s v="Y"/>
    <s v="No"/>
    <n v="12"/>
    <n v="3"/>
    <n v="2"/>
    <n v="80"/>
    <n v="0"/>
    <n v="17"/>
    <n v="3"/>
    <n v="3"/>
    <x v="18"/>
    <n v="12"/>
    <n v="5"/>
    <n v="7"/>
    <x v="1"/>
    <x v="1"/>
    <s v="Active"/>
    <x v="0"/>
  </r>
  <r>
    <n v="44"/>
    <x v="0"/>
    <s v="Travel Frequently"/>
    <n v="920"/>
    <x v="1"/>
    <n v="24"/>
    <n v="3"/>
    <s v="Life Sciences"/>
    <n v="1"/>
    <x v="286"/>
    <n v="4"/>
    <x v="1"/>
    <n v="43"/>
    <n v="3"/>
    <n v="1"/>
    <x v="2"/>
    <n v="3"/>
    <s v="Divorced"/>
    <n v="3161"/>
    <n v="19920"/>
    <n v="3"/>
    <s v="Y"/>
    <s v="Yes"/>
    <n v="22"/>
    <n v="4"/>
    <n v="4"/>
    <n v="80"/>
    <n v="1"/>
    <n v="19"/>
    <n v="0"/>
    <n v="1"/>
    <x v="6"/>
    <n v="0"/>
    <n v="0"/>
    <n v="0"/>
    <x v="0"/>
    <x v="1"/>
    <s v="Resigned"/>
    <x v="1"/>
  </r>
  <r>
    <n v="38"/>
    <x v="1"/>
    <s v="Travel Rarely"/>
    <n v="688"/>
    <x v="1"/>
    <n v="23"/>
    <n v="4"/>
    <s v="Life Sciences"/>
    <n v="1"/>
    <x v="287"/>
    <n v="4"/>
    <x v="1"/>
    <n v="82"/>
    <n v="3"/>
    <n v="2"/>
    <x v="4"/>
    <n v="4"/>
    <s v="Divorced"/>
    <n v="5745"/>
    <n v="18899"/>
    <n v="9"/>
    <s v="Y"/>
    <s v="No"/>
    <n v="14"/>
    <n v="3"/>
    <n v="2"/>
    <n v="80"/>
    <n v="1"/>
    <n v="10"/>
    <n v="2"/>
    <n v="3"/>
    <x v="4"/>
    <n v="2"/>
    <n v="1"/>
    <n v="2"/>
    <x v="1"/>
    <x v="0"/>
    <s v="Active"/>
    <x v="2"/>
  </r>
  <r>
    <n v="26"/>
    <x v="0"/>
    <s v="Travel Rarely"/>
    <n v="1449"/>
    <x v="1"/>
    <n v="16"/>
    <n v="4"/>
    <s v="Medical"/>
    <n v="1"/>
    <x v="288"/>
    <n v="1"/>
    <x v="1"/>
    <n v="45"/>
    <n v="3"/>
    <n v="1"/>
    <x v="2"/>
    <n v="2"/>
    <s v="Divorced"/>
    <n v="2373"/>
    <n v="14180"/>
    <n v="2"/>
    <s v="Y"/>
    <s v="Yes"/>
    <n v="13"/>
    <n v="3"/>
    <n v="4"/>
    <n v="80"/>
    <n v="1"/>
    <n v="5"/>
    <n v="2"/>
    <n v="3"/>
    <x v="11"/>
    <n v="2"/>
    <n v="0"/>
    <n v="2"/>
    <x v="2"/>
    <x v="1"/>
    <s v="Resigned"/>
    <x v="5"/>
  </r>
  <r>
    <n v="28"/>
    <x v="1"/>
    <s v="Travel Rarely"/>
    <n v="1117"/>
    <x v="1"/>
    <n v="8"/>
    <n v="2"/>
    <s v="Life Sciences"/>
    <n v="1"/>
    <x v="289"/>
    <n v="4"/>
    <x v="0"/>
    <n v="66"/>
    <n v="3"/>
    <n v="1"/>
    <x v="1"/>
    <n v="4"/>
    <s v="Single"/>
    <n v="3310"/>
    <n v="4488"/>
    <n v="1"/>
    <s v="Y"/>
    <s v="No"/>
    <n v="21"/>
    <n v="4"/>
    <n v="4"/>
    <n v="80"/>
    <n v="0"/>
    <n v="5"/>
    <n v="3"/>
    <n v="3"/>
    <x v="8"/>
    <n v="3"/>
    <n v="0"/>
    <n v="2"/>
    <x v="2"/>
    <x v="1"/>
    <s v="Active"/>
    <x v="3"/>
  </r>
  <r>
    <n v="49"/>
    <x v="1"/>
    <s v="Travel Frequently"/>
    <n v="636"/>
    <x v="1"/>
    <n v="10"/>
    <n v="4"/>
    <s v="Life Sciences"/>
    <n v="1"/>
    <x v="290"/>
    <n v="3"/>
    <x v="0"/>
    <n v="35"/>
    <n v="3"/>
    <n v="5"/>
    <x v="7"/>
    <n v="1"/>
    <s v="Single"/>
    <n v="18665"/>
    <n v="25594"/>
    <n v="9"/>
    <s v="Y"/>
    <s v="Yes"/>
    <n v="11"/>
    <n v="3"/>
    <n v="4"/>
    <n v="80"/>
    <n v="0"/>
    <n v="22"/>
    <n v="4"/>
    <n v="3"/>
    <x v="11"/>
    <n v="2"/>
    <n v="1"/>
    <n v="2"/>
    <x v="0"/>
    <x v="2"/>
    <s v="Active"/>
    <x v="5"/>
  </r>
  <r>
    <n v="36"/>
    <x v="1"/>
    <s v="Travel Rarely"/>
    <n v="506"/>
    <x v="1"/>
    <n v="3"/>
    <n v="3"/>
    <s v="Technical Degree"/>
    <n v="1"/>
    <x v="291"/>
    <n v="3"/>
    <x v="1"/>
    <n v="30"/>
    <n v="3"/>
    <n v="2"/>
    <x v="1"/>
    <n v="2"/>
    <s v="Single"/>
    <n v="4485"/>
    <n v="26285"/>
    <n v="4"/>
    <s v="Y"/>
    <s v="No"/>
    <n v="12"/>
    <n v="3"/>
    <n v="4"/>
    <n v="80"/>
    <n v="0"/>
    <n v="10"/>
    <n v="2"/>
    <n v="3"/>
    <x v="3"/>
    <n v="0"/>
    <n v="7"/>
    <n v="7"/>
    <x v="1"/>
    <x v="1"/>
    <s v="Active"/>
    <x v="0"/>
  </r>
  <r>
    <n v="31"/>
    <x v="1"/>
    <s v="Travel Frequently"/>
    <n v="444"/>
    <x v="0"/>
    <n v="5"/>
    <n v="3"/>
    <s v="Marketing"/>
    <n v="1"/>
    <x v="292"/>
    <n v="4"/>
    <x v="0"/>
    <n v="84"/>
    <n v="3"/>
    <n v="1"/>
    <x v="6"/>
    <n v="2"/>
    <s v="Divorced"/>
    <n v="2789"/>
    <n v="3909"/>
    <n v="1"/>
    <s v="Y"/>
    <s v="No"/>
    <n v="11"/>
    <n v="3"/>
    <n v="3"/>
    <n v="80"/>
    <n v="1"/>
    <n v="2"/>
    <n v="5"/>
    <n v="2"/>
    <x v="4"/>
    <n v="2"/>
    <n v="2"/>
    <n v="2"/>
    <x v="1"/>
    <x v="1"/>
    <s v="Active"/>
    <x v="2"/>
  </r>
  <r>
    <n v="26"/>
    <x v="0"/>
    <s v="Travel Rarely"/>
    <n v="950"/>
    <x v="0"/>
    <n v="4"/>
    <n v="4"/>
    <s v="Marketing"/>
    <n v="1"/>
    <x v="293"/>
    <n v="4"/>
    <x v="1"/>
    <n v="48"/>
    <n v="2"/>
    <n v="2"/>
    <x v="0"/>
    <n v="4"/>
    <s v="Single"/>
    <n v="5828"/>
    <n v="8450"/>
    <n v="1"/>
    <s v="Y"/>
    <s v="Yes"/>
    <n v="12"/>
    <n v="3"/>
    <n v="2"/>
    <n v="80"/>
    <n v="0"/>
    <n v="8"/>
    <n v="0"/>
    <n v="3"/>
    <x v="3"/>
    <n v="7"/>
    <n v="7"/>
    <n v="4"/>
    <x v="2"/>
    <x v="0"/>
    <s v="Resigned"/>
    <x v="0"/>
  </r>
  <r>
    <n v="37"/>
    <x v="1"/>
    <s v="Travel Frequently"/>
    <n v="889"/>
    <x v="1"/>
    <n v="9"/>
    <n v="3"/>
    <s v="Medical"/>
    <n v="1"/>
    <x v="294"/>
    <n v="2"/>
    <x v="1"/>
    <n v="53"/>
    <n v="3"/>
    <n v="1"/>
    <x v="1"/>
    <n v="4"/>
    <s v="Married"/>
    <n v="2326"/>
    <n v="11411"/>
    <n v="1"/>
    <s v="Y"/>
    <s v="Yes"/>
    <n v="12"/>
    <n v="3"/>
    <n v="3"/>
    <n v="80"/>
    <n v="3"/>
    <n v="4"/>
    <n v="3"/>
    <n v="2"/>
    <x v="9"/>
    <n v="2"/>
    <n v="1"/>
    <n v="2"/>
    <x v="1"/>
    <x v="1"/>
    <s v="Active"/>
    <x v="4"/>
  </r>
  <r>
    <n v="42"/>
    <x v="1"/>
    <s v="Travel Frequently"/>
    <n v="555"/>
    <x v="0"/>
    <n v="26"/>
    <n v="3"/>
    <s v="Marketing"/>
    <n v="1"/>
    <x v="295"/>
    <n v="3"/>
    <x v="0"/>
    <n v="77"/>
    <n v="3"/>
    <n v="4"/>
    <x v="0"/>
    <n v="2"/>
    <s v="Married"/>
    <n v="13525"/>
    <n v="14864"/>
    <n v="5"/>
    <s v="Y"/>
    <s v="No"/>
    <n v="14"/>
    <n v="3"/>
    <n v="4"/>
    <n v="80"/>
    <n v="1"/>
    <n v="23"/>
    <n v="2"/>
    <n v="4"/>
    <x v="23"/>
    <n v="4"/>
    <n v="4"/>
    <n v="8"/>
    <x v="0"/>
    <x v="2"/>
    <s v="Active"/>
    <x v="0"/>
  </r>
  <r>
    <n v="18"/>
    <x v="0"/>
    <s v="Travel Rarely"/>
    <n v="230"/>
    <x v="1"/>
    <n v="3"/>
    <n v="3"/>
    <s v="Life Sciences"/>
    <n v="1"/>
    <x v="296"/>
    <n v="3"/>
    <x v="1"/>
    <n v="54"/>
    <n v="3"/>
    <n v="1"/>
    <x v="2"/>
    <n v="3"/>
    <s v="Single"/>
    <n v="1420"/>
    <n v="25233"/>
    <n v="1"/>
    <s v="Y"/>
    <s v="No"/>
    <n v="13"/>
    <n v="3"/>
    <n v="3"/>
    <n v="80"/>
    <n v="0"/>
    <n v="0"/>
    <n v="2"/>
    <n v="3"/>
    <x v="2"/>
    <n v="0"/>
    <n v="0"/>
    <n v="0"/>
    <x v="2"/>
    <x v="1"/>
    <s v="Resigned"/>
    <x v="1"/>
  </r>
  <r>
    <n v="35"/>
    <x v="1"/>
    <s v="Travel Rarely"/>
    <n v="1232"/>
    <x v="0"/>
    <n v="16"/>
    <n v="3"/>
    <s v="Marketing"/>
    <n v="1"/>
    <x v="297"/>
    <n v="3"/>
    <x v="1"/>
    <n v="96"/>
    <n v="3"/>
    <n v="3"/>
    <x v="0"/>
    <n v="2"/>
    <s v="Married"/>
    <n v="8020"/>
    <n v="5100"/>
    <n v="0"/>
    <s v="Y"/>
    <s v="No"/>
    <n v="15"/>
    <n v="3"/>
    <n v="3"/>
    <n v="80"/>
    <n v="2"/>
    <n v="12"/>
    <n v="3"/>
    <n v="2"/>
    <x v="19"/>
    <n v="9"/>
    <n v="6"/>
    <n v="9"/>
    <x v="1"/>
    <x v="0"/>
    <s v="Active"/>
    <x v="0"/>
  </r>
  <r>
    <n v="36"/>
    <x v="1"/>
    <s v="Travel Frequently"/>
    <n v="566"/>
    <x v="1"/>
    <n v="18"/>
    <n v="4"/>
    <s v="Life Sciences"/>
    <n v="1"/>
    <x v="298"/>
    <n v="3"/>
    <x v="1"/>
    <n v="81"/>
    <n v="4"/>
    <n v="1"/>
    <x v="2"/>
    <n v="4"/>
    <s v="Married"/>
    <n v="3688"/>
    <n v="7122"/>
    <n v="4"/>
    <s v="Y"/>
    <s v="No"/>
    <n v="18"/>
    <n v="3"/>
    <n v="4"/>
    <n v="80"/>
    <n v="2"/>
    <n v="4"/>
    <n v="2"/>
    <n v="3"/>
    <x v="6"/>
    <n v="0"/>
    <n v="0"/>
    <n v="0"/>
    <x v="1"/>
    <x v="1"/>
    <s v="Active"/>
    <x v="1"/>
  </r>
  <r>
    <n v="51"/>
    <x v="1"/>
    <s v="Travel Rarely"/>
    <n v="1302"/>
    <x v="1"/>
    <n v="2"/>
    <n v="3"/>
    <s v="Medical"/>
    <n v="1"/>
    <x v="299"/>
    <n v="4"/>
    <x v="1"/>
    <n v="84"/>
    <n v="1"/>
    <n v="2"/>
    <x v="3"/>
    <n v="2"/>
    <s v="Divorced"/>
    <n v="5482"/>
    <n v="16321"/>
    <n v="5"/>
    <s v="Y"/>
    <s v="No"/>
    <n v="18"/>
    <n v="3"/>
    <n v="4"/>
    <n v="80"/>
    <n v="1"/>
    <n v="13"/>
    <n v="3"/>
    <n v="3"/>
    <x v="9"/>
    <n v="1"/>
    <n v="1"/>
    <n v="2"/>
    <x v="0"/>
    <x v="0"/>
    <s v="Active"/>
    <x v="4"/>
  </r>
  <r>
    <n v="41"/>
    <x v="1"/>
    <s v="Travel Rarely"/>
    <n v="334"/>
    <x v="0"/>
    <n v="2"/>
    <n v="4"/>
    <s v="Life Sciences"/>
    <n v="1"/>
    <x v="300"/>
    <n v="4"/>
    <x v="1"/>
    <n v="88"/>
    <n v="3"/>
    <n v="4"/>
    <x v="5"/>
    <n v="2"/>
    <s v="Single"/>
    <n v="16015"/>
    <n v="15896"/>
    <n v="1"/>
    <s v="Y"/>
    <s v="No"/>
    <n v="19"/>
    <n v="3"/>
    <n v="2"/>
    <n v="80"/>
    <n v="0"/>
    <n v="22"/>
    <n v="2"/>
    <n v="3"/>
    <x v="14"/>
    <n v="10"/>
    <n v="0"/>
    <n v="4"/>
    <x v="0"/>
    <x v="2"/>
    <s v="Active"/>
    <x v="0"/>
  </r>
  <r>
    <n v="18"/>
    <x v="1"/>
    <s v="Travel Rarely"/>
    <n v="812"/>
    <x v="0"/>
    <n v="10"/>
    <n v="3"/>
    <s v="Medical"/>
    <n v="1"/>
    <x v="301"/>
    <n v="4"/>
    <x v="0"/>
    <n v="69"/>
    <n v="2"/>
    <n v="1"/>
    <x v="6"/>
    <n v="3"/>
    <s v="Single"/>
    <n v="1200"/>
    <n v="9724"/>
    <n v="1"/>
    <s v="Y"/>
    <s v="No"/>
    <n v="12"/>
    <n v="3"/>
    <n v="1"/>
    <n v="80"/>
    <n v="0"/>
    <n v="0"/>
    <n v="2"/>
    <n v="3"/>
    <x v="2"/>
    <n v="0"/>
    <n v="0"/>
    <n v="0"/>
    <x v="2"/>
    <x v="1"/>
    <s v="Active"/>
    <x v="1"/>
  </r>
  <r>
    <n v="28"/>
    <x v="1"/>
    <s v="Travel Rarely"/>
    <n v="1476"/>
    <x v="1"/>
    <n v="16"/>
    <n v="2"/>
    <s v="Medical"/>
    <n v="1"/>
    <x v="302"/>
    <n v="2"/>
    <x v="1"/>
    <n v="68"/>
    <n v="4"/>
    <n v="2"/>
    <x v="4"/>
    <n v="1"/>
    <s v="Single"/>
    <n v="5661"/>
    <n v="4824"/>
    <n v="0"/>
    <s v="Y"/>
    <s v="No"/>
    <n v="19"/>
    <n v="3"/>
    <n v="3"/>
    <n v="80"/>
    <n v="0"/>
    <n v="9"/>
    <n v="2"/>
    <n v="3"/>
    <x v="3"/>
    <n v="3"/>
    <n v="0"/>
    <n v="7"/>
    <x v="2"/>
    <x v="0"/>
    <s v="Active"/>
    <x v="0"/>
  </r>
  <r>
    <n v="31"/>
    <x v="1"/>
    <s v="Travel Rarely"/>
    <n v="218"/>
    <x v="0"/>
    <n v="7"/>
    <n v="3"/>
    <s v="Technical Degree"/>
    <n v="1"/>
    <x v="303"/>
    <n v="2"/>
    <x v="1"/>
    <n v="100"/>
    <n v="4"/>
    <n v="2"/>
    <x v="0"/>
    <n v="4"/>
    <s v="Married"/>
    <n v="6929"/>
    <n v="12241"/>
    <n v="4"/>
    <s v="Y"/>
    <s v="No"/>
    <n v="11"/>
    <n v="3"/>
    <n v="2"/>
    <n v="80"/>
    <n v="1"/>
    <n v="10"/>
    <n v="3"/>
    <n v="2"/>
    <x v="3"/>
    <n v="7"/>
    <n v="7"/>
    <n v="7"/>
    <x v="1"/>
    <x v="0"/>
    <s v="Active"/>
    <x v="0"/>
  </r>
  <r>
    <n v="39"/>
    <x v="1"/>
    <s v="Travel Rarely"/>
    <n v="1132"/>
    <x v="1"/>
    <n v="1"/>
    <n v="3"/>
    <s v="Medical"/>
    <n v="1"/>
    <x v="304"/>
    <n v="3"/>
    <x v="1"/>
    <n v="48"/>
    <n v="4"/>
    <n v="3"/>
    <x v="4"/>
    <n v="4"/>
    <s v="Divorced"/>
    <n v="9613"/>
    <n v="10942"/>
    <n v="0"/>
    <s v="Y"/>
    <s v="No"/>
    <n v="17"/>
    <n v="3"/>
    <n v="1"/>
    <n v="80"/>
    <n v="3"/>
    <n v="19"/>
    <n v="5"/>
    <n v="2"/>
    <x v="29"/>
    <n v="10"/>
    <n v="3"/>
    <n v="7"/>
    <x v="1"/>
    <x v="0"/>
    <s v="Active"/>
    <x v="0"/>
  </r>
  <r>
    <n v="36"/>
    <x v="1"/>
    <s v="Non Travel"/>
    <n v="1105"/>
    <x v="1"/>
    <n v="24"/>
    <n v="4"/>
    <s v="Life Sciences"/>
    <n v="1"/>
    <x v="305"/>
    <n v="2"/>
    <x v="0"/>
    <n v="47"/>
    <n v="3"/>
    <n v="2"/>
    <x v="2"/>
    <n v="2"/>
    <s v="Married"/>
    <n v="5674"/>
    <n v="6927"/>
    <n v="7"/>
    <s v="Y"/>
    <s v="No"/>
    <n v="15"/>
    <n v="3"/>
    <n v="3"/>
    <n v="80"/>
    <n v="1"/>
    <n v="11"/>
    <n v="3"/>
    <n v="3"/>
    <x v="7"/>
    <n v="8"/>
    <n v="0"/>
    <n v="8"/>
    <x v="1"/>
    <x v="0"/>
    <s v="Active"/>
    <x v="0"/>
  </r>
  <r>
    <n v="32"/>
    <x v="1"/>
    <s v="Travel Rarely"/>
    <n v="906"/>
    <x v="0"/>
    <n v="7"/>
    <n v="3"/>
    <s v="Life Sciences"/>
    <n v="1"/>
    <x v="306"/>
    <n v="4"/>
    <x v="1"/>
    <n v="91"/>
    <n v="2"/>
    <n v="2"/>
    <x v="0"/>
    <n v="3"/>
    <s v="Married"/>
    <n v="5484"/>
    <n v="16985"/>
    <n v="1"/>
    <s v="Y"/>
    <s v="No"/>
    <n v="14"/>
    <n v="3"/>
    <n v="3"/>
    <n v="80"/>
    <n v="1"/>
    <n v="13"/>
    <n v="3"/>
    <n v="2"/>
    <x v="20"/>
    <n v="8"/>
    <n v="4"/>
    <n v="8"/>
    <x v="1"/>
    <x v="0"/>
    <s v="Active"/>
    <x v="0"/>
  </r>
  <r>
    <n v="38"/>
    <x v="1"/>
    <s v="Travel Rarely"/>
    <n v="849"/>
    <x v="1"/>
    <n v="25"/>
    <n v="2"/>
    <s v="Life Sciences"/>
    <n v="1"/>
    <x v="307"/>
    <n v="1"/>
    <x v="0"/>
    <n v="81"/>
    <n v="2"/>
    <n v="3"/>
    <x v="7"/>
    <n v="2"/>
    <s v="Married"/>
    <n v="12061"/>
    <n v="26707"/>
    <n v="3"/>
    <s v="Y"/>
    <s v="No"/>
    <n v="17"/>
    <n v="3"/>
    <n v="3"/>
    <n v="80"/>
    <n v="1"/>
    <n v="19"/>
    <n v="2"/>
    <n v="3"/>
    <x v="1"/>
    <n v="8"/>
    <n v="0"/>
    <n v="1"/>
    <x v="1"/>
    <x v="2"/>
    <s v="Active"/>
    <x v="0"/>
  </r>
  <r>
    <n v="58"/>
    <x v="1"/>
    <s v="Non Travel"/>
    <n v="390"/>
    <x v="1"/>
    <n v="1"/>
    <n v="4"/>
    <s v="Life Sciences"/>
    <n v="1"/>
    <x v="308"/>
    <n v="4"/>
    <x v="1"/>
    <n v="32"/>
    <n v="1"/>
    <n v="2"/>
    <x v="4"/>
    <n v="3"/>
    <s v="Divorced"/>
    <n v="5660"/>
    <n v="17056"/>
    <n v="2"/>
    <s v="Y"/>
    <s v="Yes"/>
    <n v="13"/>
    <n v="3"/>
    <n v="4"/>
    <n v="80"/>
    <n v="1"/>
    <n v="12"/>
    <n v="2"/>
    <n v="3"/>
    <x v="8"/>
    <n v="3"/>
    <n v="1"/>
    <n v="2"/>
    <x v="0"/>
    <x v="0"/>
    <s v="Active"/>
    <x v="3"/>
  </r>
  <r>
    <n v="31"/>
    <x v="1"/>
    <s v="Travel Rarely"/>
    <n v="691"/>
    <x v="1"/>
    <n v="5"/>
    <n v="4"/>
    <s v="Technical Degree"/>
    <n v="1"/>
    <x v="309"/>
    <n v="3"/>
    <x v="1"/>
    <n v="86"/>
    <n v="3"/>
    <n v="1"/>
    <x v="1"/>
    <n v="4"/>
    <s v="Married"/>
    <n v="4821"/>
    <n v="10077"/>
    <n v="0"/>
    <s v="Y"/>
    <s v="Yes"/>
    <n v="12"/>
    <n v="3"/>
    <n v="3"/>
    <n v="80"/>
    <n v="1"/>
    <n v="6"/>
    <n v="4"/>
    <n v="3"/>
    <x v="8"/>
    <n v="2"/>
    <n v="0"/>
    <n v="3"/>
    <x v="1"/>
    <x v="1"/>
    <s v="Active"/>
    <x v="3"/>
  </r>
  <r>
    <n v="31"/>
    <x v="1"/>
    <s v="Travel Rarely"/>
    <n v="106"/>
    <x v="2"/>
    <n v="2"/>
    <n v="3"/>
    <s v="Human Resources"/>
    <n v="1"/>
    <x v="310"/>
    <n v="1"/>
    <x v="1"/>
    <n v="62"/>
    <n v="2"/>
    <n v="2"/>
    <x v="8"/>
    <n v="1"/>
    <s v="Married"/>
    <n v="6410"/>
    <n v="17822"/>
    <n v="3"/>
    <s v="Y"/>
    <s v="No"/>
    <n v="12"/>
    <n v="3"/>
    <n v="4"/>
    <n v="80"/>
    <n v="0"/>
    <n v="9"/>
    <n v="1"/>
    <n v="3"/>
    <x v="4"/>
    <n v="2"/>
    <n v="1"/>
    <n v="0"/>
    <x v="1"/>
    <x v="0"/>
    <s v="Active"/>
    <x v="2"/>
  </r>
  <r>
    <n v="45"/>
    <x v="1"/>
    <s v="Travel Frequently"/>
    <n v="1249"/>
    <x v="1"/>
    <n v="7"/>
    <n v="3"/>
    <s v="Life Sciences"/>
    <n v="1"/>
    <x v="311"/>
    <n v="1"/>
    <x v="1"/>
    <n v="97"/>
    <n v="3"/>
    <n v="3"/>
    <x v="2"/>
    <n v="1"/>
    <s v="Divorced"/>
    <n v="5210"/>
    <n v="20308"/>
    <n v="1"/>
    <s v="Y"/>
    <s v="No"/>
    <n v="18"/>
    <n v="3"/>
    <n v="1"/>
    <n v="80"/>
    <n v="1"/>
    <n v="24"/>
    <n v="2"/>
    <n v="3"/>
    <x v="25"/>
    <n v="9"/>
    <n v="9"/>
    <n v="11"/>
    <x v="0"/>
    <x v="0"/>
    <s v="Active"/>
    <x v="0"/>
  </r>
  <r>
    <n v="31"/>
    <x v="1"/>
    <s v="Travel Rarely"/>
    <n v="192"/>
    <x v="1"/>
    <n v="2"/>
    <n v="4"/>
    <s v="Life Sciences"/>
    <n v="1"/>
    <x v="312"/>
    <n v="3"/>
    <x v="1"/>
    <n v="32"/>
    <n v="3"/>
    <n v="1"/>
    <x v="1"/>
    <n v="4"/>
    <s v="Divorced"/>
    <n v="2695"/>
    <n v="7747"/>
    <n v="0"/>
    <s v="Y"/>
    <s v="Yes"/>
    <n v="18"/>
    <n v="3"/>
    <n v="2"/>
    <n v="80"/>
    <n v="1"/>
    <n v="3"/>
    <n v="2"/>
    <n v="1"/>
    <x v="4"/>
    <n v="2"/>
    <n v="2"/>
    <n v="2"/>
    <x v="1"/>
    <x v="1"/>
    <s v="Active"/>
    <x v="2"/>
  </r>
  <r>
    <n v="33"/>
    <x v="1"/>
    <s v="Travel Frequently"/>
    <n v="553"/>
    <x v="1"/>
    <n v="5"/>
    <n v="4"/>
    <s v="Life Sciences"/>
    <n v="1"/>
    <x v="313"/>
    <n v="4"/>
    <x v="0"/>
    <n v="74"/>
    <n v="3"/>
    <n v="3"/>
    <x v="5"/>
    <n v="2"/>
    <s v="Married"/>
    <n v="11878"/>
    <n v="23364"/>
    <n v="6"/>
    <s v="Y"/>
    <s v="No"/>
    <n v="11"/>
    <n v="3"/>
    <n v="2"/>
    <n v="80"/>
    <n v="2"/>
    <n v="12"/>
    <n v="2"/>
    <n v="3"/>
    <x v="1"/>
    <n v="6"/>
    <n v="8"/>
    <n v="8"/>
    <x v="1"/>
    <x v="2"/>
    <s v="Active"/>
    <x v="0"/>
  </r>
  <r>
    <n v="39"/>
    <x v="1"/>
    <s v="Travel Rarely"/>
    <n v="117"/>
    <x v="1"/>
    <n v="10"/>
    <n v="1"/>
    <s v="Medical"/>
    <n v="1"/>
    <x v="314"/>
    <n v="3"/>
    <x v="1"/>
    <n v="99"/>
    <n v="3"/>
    <n v="4"/>
    <x v="5"/>
    <n v="1"/>
    <s v="Married"/>
    <n v="17068"/>
    <n v="5355"/>
    <n v="1"/>
    <s v="Y"/>
    <s v="Yes"/>
    <n v="14"/>
    <n v="3"/>
    <n v="4"/>
    <n v="80"/>
    <n v="0"/>
    <n v="21"/>
    <n v="3"/>
    <n v="3"/>
    <x v="17"/>
    <n v="9"/>
    <n v="11"/>
    <n v="10"/>
    <x v="1"/>
    <x v="2"/>
    <s v="Active"/>
    <x v="0"/>
  </r>
  <r>
    <n v="43"/>
    <x v="1"/>
    <s v="Travel Frequently"/>
    <n v="185"/>
    <x v="1"/>
    <n v="10"/>
    <n v="4"/>
    <s v="Life Sciences"/>
    <n v="1"/>
    <x v="315"/>
    <n v="3"/>
    <x v="0"/>
    <n v="33"/>
    <n v="3"/>
    <n v="1"/>
    <x v="2"/>
    <n v="4"/>
    <s v="Single"/>
    <n v="2455"/>
    <n v="10675"/>
    <n v="0"/>
    <s v="Y"/>
    <s v="No"/>
    <n v="19"/>
    <n v="3"/>
    <n v="1"/>
    <n v="80"/>
    <n v="0"/>
    <n v="9"/>
    <n v="5"/>
    <n v="3"/>
    <x v="3"/>
    <n v="7"/>
    <n v="1"/>
    <n v="7"/>
    <x v="0"/>
    <x v="1"/>
    <s v="Active"/>
    <x v="0"/>
  </r>
  <r>
    <n v="49"/>
    <x v="1"/>
    <s v="Travel Rarely"/>
    <n v="1091"/>
    <x v="1"/>
    <n v="1"/>
    <n v="2"/>
    <s v="Technical Degree"/>
    <n v="1"/>
    <x v="316"/>
    <n v="3"/>
    <x v="0"/>
    <n v="90"/>
    <n v="2"/>
    <n v="4"/>
    <x v="4"/>
    <n v="3"/>
    <s v="Single"/>
    <n v="13964"/>
    <n v="17810"/>
    <n v="7"/>
    <s v="Y"/>
    <s v="Yes"/>
    <n v="12"/>
    <n v="3"/>
    <n v="4"/>
    <n v="80"/>
    <n v="0"/>
    <n v="25"/>
    <n v="2"/>
    <n v="3"/>
    <x v="5"/>
    <n v="1"/>
    <n v="0"/>
    <n v="7"/>
    <x v="0"/>
    <x v="2"/>
    <s v="Active"/>
    <x v="0"/>
  </r>
  <r>
    <n v="52"/>
    <x v="0"/>
    <s v="Travel Rarely"/>
    <n v="723"/>
    <x v="1"/>
    <n v="8"/>
    <n v="4"/>
    <s v="Medical"/>
    <n v="1"/>
    <x v="317"/>
    <n v="3"/>
    <x v="1"/>
    <n v="85"/>
    <n v="2"/>
    <n v="2"/>
    <x v="1"/>
    <n v="2"/>
    <s v="Married"/>
    <n v="4941"/>
    <n v="17747"/>
    <n v="2"/>
    <s v="Y"/>
    <s v="No"/>
    <n v="15"/>
    <n v="3"/>
    <n v="1"/>
    <n v="80"/>
    <n v="0"/>
    <n v="11"/>
    <n v="3"/>
    <n v="2"/>
    <x v="3"/>
    <n v="2"/>
    <n v="7"/>
    <n v="7"/>
    <x v="0"/>
    <x v="1"/>
    <s v="Resigned"/>
    <x v="0"/>
  </r>
  <r>
    <n v="27"/>
    <x v="1"/>
    <s v="Travel Rarely"/>
    <n v="1220"/>
    <x v="1"/>
    <n v="5"/>
    <n v="3"/>
    <s v="Life Sciences"/>
    <n v="1"/>
    <x v="318"/>
    <n v="3"/>
    <x v="0"/>
    <n v="85"/>
    <n v="3"/>
    <n v="1"/>
    <x v="1"/>
    <n v="2"/>
    <s v="Single"/>
    <n v="2478"/>
    <n v="20938"/>
    <n v="1"/>
    <s v="Y"/>
    <s v="Yes"/>
    <n v="12"/>
    <n v="3"/>
    <n v="2"/>
    <n v="80"/>
    <n v="0"/>
    <n v="4"/>
    <n v="2"/>
    <n v="2"/>
    <x v="9"/>
    <n v="3"/>
    <n v="1"/>
    <n v="2"/>
    <x v="2"/>
    <x v="1"/>
    <s v="Active"/>
    <x v="4"/>
  </r>
  <r>
    <n v="32"/>
    <x v="1"/>
    <s v="Travel Rarely"/>
    <n v="588"/>
    <x v="0"/>
    <n v="8"/>
    <n v="2"/>
    <s v="Technical Degree"/>
    <n v="1"/>
    <x v="319"/>
    <n v="3"/>
    <x v="0"/>
    <n v="65"/>
    <n v="2"/>
    <n v="2"/>
    <x v="0"/>
    <n v="2"/>
    <s v="Married"/>
    <n v="5228"/>
    <n v="24624"/>
    <n v="1"/>
    <s v="Y"/>
    <s v="Yes"/>
    <n v="11"/>
    <n v="3"/>
    <n v="4"/>
    <n v="80"/>
    <n v="0"/>
    <n v="13"/>
    <n v="2"/>
    <n v="3"/>
    <x v="20"/>
    <n v="12"/>
    <n v="11"/>
    <n v="9"/>
    <x v="1"/>
    <x v="0"/>
    <s v="Active"/>
    <x v="0"/>
  </r>
  <r>
    <n v="27"/>
    <x v="1"/>
    <s v="Travel Rarely"/>
    <n v="1377"/>
    <x v="0"/>
    <n v="2"/>
    <n v="3"/>
    <s v="Life Sciences"/>
    <n v="1"/>
    <x v="320"/>
    <n v="4"/>
    <x v="1"/>
    <n v="74"/>
    <n v="3"/>
    <n v="2"/>
    <x v="0"/>
    <n v="3"/>
    <s v="Single"/>
    <n v="4478"/>
    <n v="5242"/>
    <n v="1"/>
    <s v="Y"/>
    <s v="Yes"/>
    <n v="11"/>
    <n v="3"/>
    <n v="1"/>
    <n v="80"/>
    <n v="0"/>
    <n v="5"/>
    <n v="3"/>
    <n v="3"/>
    <x v="8"/>
    <n v="4"/>
    <n v="0"/>
    <n v="4"/>
    <x v="2"/>
    <x v="1"/>
    <s v="Active"/>
    <x v="3"/>
  </r>
  <r>
    <n v="31"/>
    <x v="1"/>
    <s v="Travel Rarely"/>
    <n v="691"/>
    <x v="0"/>
    <n v="7"/>
    <n v="3"/>
    <s v="Marketing"/>
    <n v="1"/>
    <x v="321"/>
    <n v="4"/>
    <x v="1"/>
    <n v="73"/>
    <n v="3"/>
    <n v="2"/>
    <x v="0"/>
    <n v="4"/>
    <s v="Divorced"/>
    <n v="7547"/>
    <n v="7143"/>
    <n v="4"/>
    <s v="Y"/>
    <s v="No"/>
    <n v="12"/>
    <n v="3"/>
    <n v="4"/>
    <n v="80"/>
    <n v="3"/>
    <n v="13"/>
    <n v="3"/>
    <n v="3"/>
    <x v="5"/>
    <n v="7"/>
    <n v="1"/>
    <n v="7"/>
    <x v="1"/>
    <x v="0"/>
    <s v="Active"/>
    <x v="0"/>
  </r>
  <r>
    <n v="32"/>
    <x v="1"/>
    <s v="Travel Rarely"/>
    <n v="1018"/>
    <x v="1"/>
    <n v="2"/>
    <n v="4"/>
    <s v="Medical"/>
    <n v="1"/>
    <x v="322"/>
    <n v="1"/>
    <x v="0"/>
    <n v="74"/>
    <n v="4"/>
    <n v="2"/>
    <x v="1"/>
    <n v="4"/>
    <s v="Single"/>
    <n v="5055"/>
    <n v="10557"/>
    <n v="7"/>
    <s v="Y"/>
    <s v="No"/>
    <n v="16"/>
    <n v="3"/>
    <n v="3"/>
    <n v="80"/>
    <n v="0"/>
    <n v="10"/>
    <n v="0"/>
    <n v="2"/>
    <x v="5"/>
    <n v="7"/>
    <n v="0"/>
    <n v="7"/>
    <x v="1"/>
    <x v="0"/>
    <s v="Active"/>
    <x v="0"/>
  </r>
  <r>
    <n v="28"/>
    <x v="0"/>
    <s v="Travel Rarely"/>
    <n v="1157"/>
    <x v="1"/>
    <n v="2"/>
    <n v="4"/>
    <s v="Medical"/>
    <n v="1"/>
    <x v="323"/>
    <n v="1"/>
    <x v="1"/>
    <n v="84"/>
    <n v="1"/>
    <n v="1"/>
    <x v="1"/>
    <n v="4"/>
    <s v="Married"/>
    <n v="3464"/>
    <n v="24737"/>
    <n v="5"/>
    <s v="Y"/>
    <s v="Yes"/>
    <n v="13"/>
    <n v="3"/>
    <n v="4"/>
    <n v="80"/>
    <n v="0"/>
    <n v="5"/>
    <n v="4"/>
    <n v="2"/>
    <x v="11"/>
    <n v="2"/>
    <n v="2"/>
    <n v="2"/>
    <x v="2"/>
    <x v="1"/>
    <s v="Resigned"/>
    <x v="5"/>
  </r>
  <r>
    <n v="30"/>
    <x v="1"/>
    <s v="Travel Rarely"/>
    <n v="1275"/>
    <x v="1"/>
    <n v="28"/>
    <n v="2"/>
    <s v="Medical"/>
    <n v="1"/>
    <x v="324"/>
    <n v="4"/>
    <x v="0"/>
    <n v="64"/>
    <n v="3"/>
    <n v="2"/>
    <x v="1"/>
    <n v="4"/>
    <s v="Married"/>
    <n v="5775"/>
    <n v="11934"/>
    <n v="1"/>
    <s v="Y"/>
    <s v="No"/>
    <n v="13"/>
    <n v="3"/>
    <n v="4"/>
    <n v="80"/>
    <n v="2"/>
    <n v="11"/>
    <n v="2"/>
    <n v="3"/>
    <x v="1"/>
    <n v="8"/>
    <n v="1"/>
    <n v="9"/>
    <x v="1"/>
    <x v="0"/>
    <s v="Active"/>
    <x v="0"/>
  </r>
  <r>
    <n v="31"/>
    <x v="1"/>
    <s v="Travel Frequently"/>
    <n v="798"/>
    <x v="1"/>
    <n v="7"/>
    <n v="2"/>
    <s v="Life Sciences"/>
    <n v="1"/>
    <x v="325"/>
    <n v="3"/>
    <x v="0"/>
    <n v="48"/>
    <n v="2"/>
    <n v="3"/>
    <x v="3"/>
    <n v="3"/>
    <s v="Married"/>
    <n v="8943"/>
    <n v="14034"/>
    <n v="1"/>
    <s v="Y"/>
    <s v="No"/>
    <n v="24"/>
    <n v="4"/>
    <n v="1"/>
    <n v="80"/>
    <n v="1"/>
    <n v="10"/>
    <n v="2"/>
    <n v="3"/>
    <x v="1"/>
    <n v="9"/>
    <n v="8"/>
    <n v="9"/>
    <x v="1"/>
    <x v="0"/>
    <s v="Active"/>
    <x v="0"/>
  </r>
  <r>
    <n v="39"/>
    <x v="1"/>
    <s v="Travel Frequently"/>
    <n v="672"/>
    <x v="1"/>
    <n v="7"/>
    <n v="2"/>
    <s v="Medical"/>
    <n v="1"/>
    <x v="326"/>
    <n v="3"/>
    <x v="1"/>
    <n v="54"/>
    <n v="2"/>
    <n v="5"/>
    <x v="5"/>
    <n v="4"/>
    <s v="Married"/>
    <n v="19272"/>
    <n v="21141"/>
    <n v="1"/>
    <s v="Y"/>
    <s v="No"/>
    <n v="15"/>
    <n v="3"/>
    <n v="1"/>
    <n v="80"/>
    <n v="1"/>
    <n v="21"/>
    <n v="2"/>
    <n v="3"/>
    <x v="17"/>
    <n v="9"/>
    <n v="13"/>
    <n v="3"/>
    <x v="1"/>
    <x v="2"/>
    <s v="Active"/>
    <x v="0"/>
  </r>
  <r>
    <n v="39"/>
    <x v="0"/>
    <s v="Travel Rarely"/>
    <n v="1162"/>
    <x v="0"/>
    <n v="3"/>
    <n v="2"/>
    <s v="Medical"/>
    <n v="1"/>
    <x v="327"/>
    <n v="4"/>
    <x v="0"/>
    <n v="41"/>
    <n v="3"/>
    <n v="2"/>
    <x v="0"/>
    <n v="3"/>
    <s v="Married"/>
    <n v="5238"/>
    <n v="17778"/>
    <n v="4"/>
    <s v="Y"/>
    <s v="Yes"/>
    <n v="18"/>
    <n v="3"/>
    <n v="1"/>
    <n v="80"/>
    <n v="0"/>
    <n v="12"/>
    <n v="3"/>
    <n v="2"/>
    <x v="6"/>
    <n v="0"/>
    <n v="0"/>
    <n v="0"/>
    <x v="1"/>
    <x v="0"/>
    <s v="Resigned"/>
    <x v="1"/>
  </r>
  <r>
    <n v="33"/>
    <x v="1"/>
    <s v="Travel Frequently"/>
    <n v="508"/>
    <x v="0"/>
    <n v="10"/>
    <n v="3"/>
    <s v="Marketing"/>
    <n v="1"/>
    <x v="328"/>
    <n v="2"/>
    <x v="1"/>
    <n v="46"/>
    <n v="2"/>
    <n v="2"/>
    <x v="0"/>
    <n v="4"/>
    <s v="Single"/>
    <n v="4682"/>
    <n v="4317"/>
    <n v="3"/>
    <s v="Y"/>
    <s v="No"/>
    <n v="14"/>
    <n v="3"/>
    <n v="3"/>
    <n v="80"/>
    <n v="0"/>
    <n v="9"/>
    <n v="6"/>
    <n v="2"/>
    <x v="5"/>
    <n v="7"/>
    <n v="0"/>
    <n v="1"/>
    <x v="1"/>
    <x v="1"/>
    <s v="Active"/>
    <x v="0"/>
  </r>
  <r>
    <n v="47"/>
    <x v="1"/>
    <s v="Travel Rarely"/>
    <n v="1482"/>
    <x v="1"/>
    <n v="5"/>
    <n v="5"/>
    <s v="Life Sciences"/>
    <n v="1"/>
    <x v="329"/>
    <n v="4"/>
    <x v="1"/>
    <n v="42"/>
    <n v="3"/>
    <n v="5"/>
    <x v="7"/>
    <n v="3"/>
    <s v="Married"/>
    <n v="18300"/>
    <n v="16375"/>
    <n v="4"/>
    <s v="Y"/>
    <s v="No"/>
    <n v="11"/>
    <n v="3"/>
    <n v="2"/>
    <n v="80"/>
    <n v="1"/>
    <n v="21"/>
    <n v="2"/>
    <n v="3"/>
    <x v="11"/>
    <n v="2"/>
    <n v="1"/>
    <n v="1"/>
    <x v="0"/>
    <x v="2"/>
    <s v="Active"/>
    <x v="5"/>
  </r>
  <r>
    <n v="43"/>
    <x v="1"/>
    <s v="Travel Frequently"/>
    <n v="559"/>
    <x v="1"/>
    <n v="10"/>
    <n v="4"/>
    <s v="Life Sciences"/>
    <n v="1"/>
    <x v="330"/>
    <n v="3"/>
    <x v="0"/>
    <n v="82"/>
    <n v="2"/>
    <n v="2"/>
    <x v="2"/>
    <n v="3"/>
    <s v="Divorced"/>
    <n v="5257"/>
    <n v="6227"/>
    <n v="1"/>
    <s v="Y"/>
    <s v="No"/>
    <n v="11"/>
    <n v="3"/>
    <n v="2"/>
    <n v="80"/>
    <n v="1"/>
    <n v="9"/>
    <n v="3"/>
    <n v="4"/>
    <x v="7"/>
    <n v="7"/>
    <n v="0"/>
    <n v="0"/>
    <x v="0"/>
    <x v="0"/>
    <s v="Active"/>
    <x v="0"/>
  </r>
  <r>
    <n v="27"/>
    <x v="1"/>
    <s v="Non Travel"/>
    <n v="210"/>
    <x v="0"/>
    <n v="1"/>
    <n v="1"/>
    <s v="Marketing"/>
    <n v="1"/>
    <x v="331"/>
    <n v="3"/>
    <x v="1"/>
    <n v="73"/>
    <n v="3"/>
    <n v="2"/>
    <x v="0"/>
    <n v="2"/>
    <s v="Married"/>
    <n v="6349"/>
    <n v="22107"/>
    <n v="0"/>
    <s v="Y"/>
    <s v="Yes"/>
    <n v="13"/>
    <n v="3"/>
    <n v="4"/>
    <n v="80"/>
    <n v="1"/>
    <n v="6"/>
    <n v="0"/>
    <n v="3"/>
    <x v="8"/>
    <n v="4"/>
    <n v="1"/>
    <n v="4"/>
    <x v="2"/>
    <x v="0"/>
    <s v="Active"/>
    <x v="3"/>
  </r>
  <r>
    <n v="54"/>
    <x v="1"/>
    <s v="Travel Frequently"/>
    <n v="928"/>
    <x v="1"/>
    <n v="20"/>
    <n v="4"/>
    <s v="Life Sciences"/>
    <n v="1"/>
    <x v="332"/>
    <n v="4"/>
    <x v="0"/>
    <n v="31"/>
    <n v="3"/>
    <n v="2"/>
    <x v="1"/>
    <n v="3"/>
    <s v="Single"/>
    <n v="4869"/>
    <n v="16885"/>
    <n v="3"/>
    <s v="Y"/>
    <s v="No"/>
    <n v="12"/>
    <n v="3"/>
    <n v="4"/>
    <n v="80"/>
    <n v="0"/>
    <n v="20"/>
    <n v="4"/>
    <n v="2"/>
    <x v="9"/>
    <n v="3"/>
    <n v="0"/>
    <n v="3"/>
    <x v="0"/>
    <x v="1"/>
    <s v="Active"/>
    <x v="4"/>
  </r>
  <r>
    <n v="43"/>
    <x v="1"/>
    <s v="Travel Rarely"/>
    <n v="1001"/>
    <x v="1"/>
    <n v="7"/>
    <n v="3"/>
    <s v="Life Sciences"/>
    <n v="1"/>
    <x v="333"/>
    <n v="3"/>
    <x v="0"/>
    <n v="43"/>
    <n v="3"/>
    <n v="3"/>
    <x v="4"/>
    <n v="1"/>
    <s v="Married"/>
    <n v="9985"/>
    <n v="9262"/>
    <n v="8"/>
    <s v="Y"/>
    <s v="No"/>
    <n v="16"/>
    <n v="3"/>
    <n v="1"/>
    <n v="80"/>
    <n v="1"/>
    <n v="10"/>
    <n v="1"/>
    <n v="2"/>
    <x v="6"/>
    <n v="0"/>
    <n v="0"/>
    <n v="0"/>
    <x v="0"/>
    <x v="0"/>
    <s v="Active"/>
    <x v="1"/>
  </r>
  <r>
    <n v="45"/>
    <x v="1"/>
    <s v="Travel Rarely"/>
    <n v="549"/>
    <x v="1"/>
    <n v="8"/>
    <n v="4"/>
    <s v="Other"/>
    <n v="1"/>
    <x v="334"/>
    <n v="4"/>
    <x v="1"/>
    <n v="75"/>
    <n v="3"/>
    <n v="2"/>
    <x v="1"/>
    <n v="4"/>
    <s v="Married"/>
    <n v="3697"/>
    <n v="9278"/>
    <n v="9"/>
    <s v="Y"/>
    <s v="No"/>
    <n v="14"/>
    <n v="3"/>
    <n v="1"/>
    <n v="80"/>
    <n v="2"/>
    <n v="12"/>
    <n v="3"/>
    <n v="3"/>
    <x v="1"/>
    <n v="9"/>
    <n v="9"/>
    <n v="8"/>
    <x v="0"/>
    <x v="1"/>
    <s v="Active"/>
    <x v="0"/>
  </r>
  <r>
    <n v="40"/>
    <x v="1"/>
    <s v="Travel Rarely"/>
    <n v="1124"/>
    <x v="0"/>
    <n v="1"/>
    <n v="2"/>
    <s v="Medical"/>
    <n v="1"/>
    <x v="335"/>
    <n v="2"/>
    <x v="1"/>
    <n v="57"/>
    <n v="1"/>
    <n v="2"/>
    <x v="0"/>
    <n v="4"/>
    <s v="Married"/>
    <n v="7457"/>
    <n v="13273"/>
    <n v="2"/>
    <s v="Y"/>
    <s v="Yes"/>
    <n v="22"/>
    <n v="4"/>
    <n v="3"/>
    <n v="80"/>
    <n v="3"/>
    <n v="6"/>
    <n v="2"/>
    <n v="2"/>
    <x v="9"/>
    <n v="3"/>
    <n v="0"/>
    <n v="2"/>
    <x v="1"/>
    <x v="0"/>
    <s v="Active"/>
    <x v="4"/>
  </r>
  <r>
    <n v="29"/>
    <x v="0"/>
    <s v="Travel Rarely"/>
    <n v="318"/>
    <x v="1"/>
    <n v="8"/>
    <n v="4"/>
    <s v="Other"/>
    <n v="1"/>
    <x v="336"/>
    <n v="2"/>
    <x v="1"/>
    <n v="77"/>
    <n v="1"/>
    <n v="1"/>
    <x v="2"/>
    <n v="1"/>
    <s v="Married"/>
    <n v="2119"/>
    <n v="4759"/>
    <n v="1"/>
    <s v="Y"/>
    <s v="Yes"/>
    <n v="11"/>
    <n v="3"/>
    <n v="4"/>
    <n v="80"/>
    <n v="0"/>
    <n v="7"/>
    <n v="4"/>
    <n v="2"/>
    <x v="5"/>
    <n v="7"/>
    <n v="0"/>
    <n v="7"/>
    <x v="2"/>
    <x v="1"/>
    <s v="Resigned"/>
    <x v="0"/>
  </r>
  <r>
    <n v="29"/>
    <x v="1"/>
    <s v="Travel Rarely"/>
    <n v="738"/>
    <x v="1"/>
    <n v="9"/>
    <n v="5"/>
    <s v="Other"/>
    <n v="1"/>
    <x v="337"/>
    <n v="2"/>
    <x v="1"/>
    <n v="30"/>
    <n v="2"/>
    <n v="1"/>
    <x v="2"/>
    <n v="4"/>
    <s v="Single"/>
    <n v="3983"/>
    <n v="7621"/>
    <n v="0"/>
    <s v="Y"/>
    <s v="No"/>
    <n v="17"/>
    <n v="3"/>
    <n v="3"/>
    <n v="80"/>
    <n v="0"/>
    <n v="4"/>
    <n v="2"/>
    <n v="3"/>
    <x v="11"/>
    <n v="2"/>
    <n v="2"/>
    <n v="2"/>
    <x v="2"/>
    <x v="1"/>
    <s v="Active"/>
    <x v="5"/>
  </r>
  <r>
    <n v="30"/>
    <x v="1"/>
    <s v="Travel Rarely"/>
    <n v="570"/>
    <x v="0"/>
    <n v="5"/>
    <n v="3"/>
    <s v="Marketing"/>
    <n v="1"/>
    <x v="338"/>
    <n v="4"/>
    <x v="0"/>
    <n v="30"/>
    <n v="2"/>
    <n v="2"/>
    <x v="0"/>
    <n v="3"/>
    <s v="Divorced"/>
    <n v="6118"/>
    <n v="5431"/>
    <n v="1"/>
    <s v="Y"/>
    <s v="No"/>
    <n v="13"/>
    <n v="3"/>
    <n v="3"/>
    <n v="80"/>
    <n v="3"/>
    <n v="10"/>
    <n v="2"/>
    <n v="3"/>
    <x v="1"/>
    <n v="9"/>
    <n v="1"/>
    <n v="2"/>
    <x v="1"/>
    <x v="0"/>
    <s v="Active"/>
    <x v="0"/>
  </r>
  <r>
    <n v="27"/>
    <x v="1"/>
    <s v="Travel Rarely"/>
    <n v="1130"/>
    <x v="0"/>
    <n v="8"/>
    <n v="4"/>
    <s v="Marketing"/>
    <n v="1"/>
    <x v="339"/>
    <n v="2"/>
    <x v="0"/>
    <n v="56"/>
    <n v="3"/>
    <n v="2"/>
    <x v="0"/>
    <n v="2"/>
    <s v="Married"/>
    <n v="6214"/>
    <n v="3415"/>
    <n v="1"/>
    <s v="Y"/>
    <s v="No"/>
    <n v="18"/>
    <n v="3"/>
    <n v="1"/>
    <n v="80"/>
    <n v="1"/>
    <n v="8"/>
    <n v="3"/>
    <n v="3"/>
    <x v="3"/>
    <n v="7"/>
    <n v="0"/>
    <n v="7"/>
    <x v="2"/>
    <x v="0"/>
    <s v="Active"/>
    <x v="0"/>
  </r>
  <r>
    <n v="37"/>
    <x v="1"/>
    <s v="Travel Rarely"/>
    <n v="1192"/>
    <x v="1"/>
    <n v="5"/>
    <n v="2"/>
    <s v="Medical"/>
    <n v="1"/>
    <x v="340"/>
    <n v="4"/>
    <x v="1"/>
    <n v="61"/>
    <n v="3"/>
    <n v="2"/>
    <x v="3"/>
    <n v="4"/>
    <s v="Divorced"/>
    <n v="6347"/>
    <n v="23177"/>
    <n v="7"/>
    <s v="Y"/>
    <s v="No"/>
    <n v="16"/>
    <n v="3"/>
    <n v="3"/>
    <n v="80"/>
    <n v="2"/>
    <n v="8"/>
    <n v="2"/>
    <n v="2"/>
    <x v="0"/>
    <n v="2"/>
    <n v="0"/>
    <n v="4"/>
    <x v="1"/>
    <x v="0"/>
    <s v="Active"/>
    <x v="0"/>
  </r>
  <r>
    <n v="38"/>
    <x v="1"/>
    <s v="Travel Rarely"/>
    <n v="343"/>
    <x v="1"/>
    <n v="15"/>
    <n v="2"/>
    <s v="Life Sciences"/>
    <n v="1"/>
    <x v="341"/>
    <n v="3"/>
    <x v="1"/>
    <n v="92"/>
    <n v="2"/>
    <n v="3"/>
    <x v="7"/>
    <n v="4"/>
    <s v="Divorced"/>
    <n v="11510"/>
    <n v="15682"/>
    <n v="0"/>
    <s v="Y"/>
    <s v="Yes"/>
    <n v="14"/>
    <n v="3"/>
    <n v="2"/>
    <n v="80"/>
    <n v="1"/>
    <n v="12"/>
    <n v="3"/>
    <n v="3"/>
    <x v="19"/>
    <n v="10"/>
    <n v="2"/>
    <n v="9"/>
    <x v="1"/>
    <x v="2"/>
    <s v="Active"/>
    <x v="0"/>
  </r>
  <r>
    <n v="31"/>
    <x v="1"/>
    <s v="Travel Rarely"/>
    <n v="1232"/>
    <x v="1"/>
    <n v="7"/>
    <n v="4"/>
    <s v="Medical"/>
    <n v="1"/>
    <x v="342"/>
    <n v="3"/>
    <x v="0"/>
    <n v="39"/>
    <n v="3"/>
    <n v="3"/>
    <x v="3"/>
    <n v="4"/>
    <s v="Single"/>
    <n v="7143"/>
    <n v="25713"/>
    <n v="1"/>
    <s v="Y"/>
    <s v="Yes"/>
    <n v="14"/>
    <n v="3"/>
    <n v="3"/>
    <n v="80"/>
    <n v="0"/>
    <n v="11"/>
    <n v="2"/>
    <n v="2"/>
    <x v="19"/>
    <n v="9"/>
    <n v="4"/>
    <n v="10"/>
    <x v="1"/>
    <x v="0"/>
    <s v="Active"/>
    <x v="0"/>
  </r>
  <r>
    <n v="29"/>
    <x v="1"/>
    <s v="Travel Rarely"/>
    <n v="144"/>
    <x v="0"/>
    <n v="10"/>
    <n v="1"/>
    <s v="Marketing"/>
    <n v="1"/>
    <x v="343"/>
    <n v="4"/>
    <x v="0"/>
    <n v="39"/>
    <n v="2"/>
    <n v="2"/>
    <x v="0"/>
    <n v="2"/>
    <s v="Divorced"/>
    <n v="8268"/>
    <n v="11866"/>
    <n v="1"/>
    <s v="Y"/>
    <s v="Yes"/>
    <n v="14"/>
    <n v="3"/>
    <n v="1"/>
    <n v="80"/>
    <n v="2"/>
    <n v="7"/>
    <n v="2"/>
    <n v="3"/>
    <x v="5"/>
    <n v="7"/>
    <n v="1"/>
    <n v="7"/>
    <x v="2"/>
    <x v="0"/>
    <s v="Active"/>
    <x v="0"/>
  </r>
  <r>
    <n v="35"/>
    <x v="1"/>
    <s v="Travel Rarely"/>
    <n v="1296"/>
    <x v="1"/>
    <n v="5"/>
    <n v="4"/>
    <s v="Technical Degree"/>
    <n v="1"/>
    <x v="344"/>
    <n v="3"/>
    <x v="1"/>
    <n v="62"/>
    <n v="3"/>
    <n v="3"/>
    <x v="3"/>
    <n v="2"/>
    <s v="Single"/>
    <n v="8095"/>
    <n v="18264"/>
    <n v="0"/>
    <s v="Y"/>
    <s v="No"/>
    <n v="13"/>
    <n v="3"/>
    <n v="4"/>
    <n v="80"/>
    <n v="0"/>
    <n v="17"/>
    <n v="5"/>
    <n v="3"/>
    <x v="22"/>
    <n v="6"/>
    <n v="0"/>
    <n v="13"/>
    <x v="1"/>
    <x v="0"/>
    <s v="Active"/>
    <x v="0"/>
  </r>
  <r>
    <n v="23"/>
    <x v="1"/>
    <s v="Travel Rarely"/>
    <n v="1309"/>
    <x v="1"/>
    <n v="26"/>
    <n v="1"/>
    <s v="Life Sciences"/>
    <n v="1"/>
    <x v="345"/>
    <n v="3"/>
    <x v="1"/>
    <n v="83"/>
    <n v="3"/>
    <n v="1"/>
    <x v="1"/>
    <n v="4"/>
    <s v="Divorced"/>
    <n v="2904"/>
    <n v="16092"/>
    <n v="1"/>
    <s v="Y"/>
    <s v="No"/>
    <n v="12"/>
    <n v="3"/>
    <n v="3"/>
    <n v="80"/>
    <n v="2"/>
    <n v="4"/>
    <n v="2"/>
    <n v="2"/>
    <x v="9"/>
    <n v="2"/>
    <n v="0"/>
    <n v="2"/>
    <x v="2"/>
    <x v="1"/>
    <s v="Active"/>
    <x v="4"/>
  </r>
  <r>
    <n v="41"/>
    <x v="1"/>
    <s v="Travel Rarely"/>
    <n v="483"/>
    <x v="1"/>
    <n v="6"/>
    <n v="3"/>
    <s v="Medical"/>
    <n v="1"/>
    <x v="346"/>
    <n v="4"/>
    <x v="1"/>
    <n v="95"/>
    <n v="2"/>
    <n v="2"/>
    <x v="3"/>
    <n v="2"/>
    <s v="Single"/>
    <n v="6032"/>
    <n v="10110"/>
    <n v="6"/>
    <s v="Y"/>
    <s v="Yes"/>
    <n v="15"/>
    <n v="3"/>
    <n v="4"/>
    <n v="80"/>
    <n v="0"/>
    <n v="8"/>
    <n v="3"/>
    <n v="3"/>
    <x v="8"/>
    <n v="4"/>
    <n v="1"/>
    <n v="2"/>
    <x v="0"/>
    <x v="0"/>
    <s v="Active"/>
    <x v="3"/>
  </r>
  <r>
    <n v="47"/>
    <x v="1"/>
    <s v="Travel Frequently"/>
    <n v="1309"/>
    <x v="0"/>
    <n v="4"/>
    <n v="1"/>
    <s v="Medical"/>
    <n v="1"/>
    <x v="347"/>
    <n v="2"/>
    <x v="1"/>
    <n v="99"/>
    <n v="3"/>
    <n v="2"/>
    <x v="6"/>
    <n v="3"/>
    <s v="Single"/>
    <n v="2976"/>
    <n v="25751"/>
    <n v="3"/>
    <s v="Y"/>
    <s v="No"/>
    <n v="19"/>
    <n v="3"/>
    <n v="1"/>
    <n v="80"/>
    <n v="0"/>
    <n v="5"/>
    <n v="3"/>
    <n v="3"/>
    <x v="2"/>
    <n v="0"/>
    <n v="0"/>
    <n v="0"/>
    <x v="0"/>
    <x v="1"/>
    <s v="Active"/>
    <x v="1"/>
  </r>
  <r>
    <n v="42"/>
    <x v="1"/>
    <s v="Travel Rarely"/>
    <n v="810"/>
    <x v="1"/>
    <n v="23"/>
    <n v="5"/>
    <s v="Life Sciences"/>
    <n v="1"/>
    <x v="348"/>
    <n v="1"/>
    <x v="0"/>
    <n v="44"/>
    <n v="3"/>
    <n v="4"/>
    <x v="7"/>
    <n v="4"/>
    <s v="Single"/>
    <n v="15992"/>
    <n v="15901"/>
    <n v="2"/>
    <s v="Y"/>
    <s v="No"/>
    <n v="14"/>
    <n v="3"/>
    <n v="2"/>
    <n v="80"/>
    <n v="0"/>
    <n v="16"/>
    <n v="2"/>
    <n v="3"/>
    <x v="6"/>
    <n v="0"/>
    <n v="0"/>
    <n v="0"/>
    <x v="0"/>
    <x v="2"/>
    <s v="Active"/>
    <x v="1"/>
  </r>
  <r>
    <n v="29"/>
    <x v="1"/>
    <s v="Non Travel"/>
    <n v="746"/>
    <x v="0"/>
    <n v="2"/>
    <n v="3"/>
    <s v="Life Sciences"/>
    <n v="1"/>
    <x v="349"/>
    <n v="4"/>
    <x v="1"/>
    <n v="61"/>
    <n v="3"/>
    <n v="2"/>
    <x v="0"/>
    <n v="3"/>
    <s v="Married"/>
    <n v="4649"/>
    <n v="16928"/>
    <n v="1"/>
    <s v="Y"/>
    <s v="No"/>
    <n v="14"/>
    <n v="3"/>
    <n v="1"/>
    <n v="80"/>
    <n v="1"/>
    <n v="4"/>
    <n v="3"/>
    <n v="2"/>
    <x v="9"/>
    <n v="3"/>
    <n v="0"/>
    <n v="2"/>
    <x v="2"/>
    <x v="1"/>
    <s v="Active"/>
    <x v="4"/>
  </r>
  <r>
    <n v="42"/>
    <x v="1"/>
    <s v="Travel Rarely"/>
    <n v="544"/>
    <x v="2"/>
    <n v="2"/>
    <n v="1"/>
    <s v="Technical Degree"/>
    <n v="1"/>
    <x v="350"/>
    <n v="3"/>
    <x v="1"/>
    <n v="52"/>
    <n v="3"/>
    <n v="1"/>
    <x v="8"/>
    <n v="3"/>
    <s v="Divorced"/>
    <n v="2696"/>
    <n v="24017"/>
    <n v="0"/>
    <s v="Y"/>
    <s v="Yes"/>
    <n v="11"/>
    <n v="3"/>
    <n v="3"/>
    <n v="80"/>
    <n v="1"/>
    <n v="4"/>
    <n v="5"/>
    <n v="3"/>
    <x v="11"/>
    <n v="2"/>
    <n v="1"/>
    <n v="0"/>
    <x v="0"/>
    <x v="1"/>
    <s v="Active"/>
    <x v="5"/>
  </r>
  <r>
    <n v="32"/>
    <x v="1"/>
    <s v="Travel Rarely"/>
    <n v="1062"/>
    <x v="1"/>
    <n v="2"/>
    <n v="3"/>
    <s v="Medical"/>
    <n v="1"/>
    <x v="351"/>
    <n v="3"/>
    <x v="0"/>
    <n v="75"/>
    <n v="3"/>
    <n v="1"/>
    <x v="2"/>
    <n v="2"/>
    <s v="Married"/>
    <n v="2370"/>
    <n v="3956"/>
    <n v="1"/>
    <s v="Y"/>
    <s v="No"/>
    <n v="13"/>
    <n v="3"/>
    <n v="3"/>
    <n v="80"/>
    <n v="1"/>
    <n v="8"/>
    <n v="4"/>
    <n v="3"/>
    <x v="3"/>
    <n v="0"/>
    <n v="0"/>
    <n v="7"/>
    <x v="1"/>
    <x v="1"/>
    <s v="Active"/>
    <x v="0"/>
  </r>
  <r>
    <n v="48"/>
    <x v="1"/>
    <s v="Travel Rarely"/>
    <n v="530"/>
    <x v="0"/>
    <n v="29"/>
    <n v="1"/>
    <s v="Medical"/>
    <n v="1"/>
    <x v="352"/>
    <n v="1"/>
    <x v="0"/>
    <n v="91"/>
    <n v="3"/>
    <n v="3"/>
    <x v="5"/>
    <n v="3"/>
    <s v="Married"/>
    <n v="12504"/>
    <n v="23978"/>
    <n v="3"/>
    <s v="Y"/>
    <s v="No"/>
    <n v="21"/>
    <n v="4"/>
    <n v="2"/>
    <n v="80"/>
    <n v="1"/>
    <n v="15"/>
    <n v="3"/>
    <n v="1"/>
    <x v="2"/>
    <n v="0"/>
    <n v="0"/>
    <n v="0"/>
    <x v="0"/>
    <x v="2"/>
    <s v="Active"/>
    <x v="1"/>
  </r>
  <r>
    <n v="37"/>
    <x v="1"/>
    <s v="Travel Rarely"/>
    <n v="1319"/>
    <x v="1"/>
    <n v="6"/>
    <n v="3"/>
    <s v="Medical"/>
    <n v="1"/>
    <x v="353"/>
    <n v="3"/>
    <x v="1"/>
    <n v="51"/>
    <n v="4"/>
    <n v="2"/>
    <x v="1"/>
    <n v="1"/>
    <s v="Divorced"/>
    <n v="5974"/>
    <n v="17001"/>
    <n v="4"/>
    <s v="Y"/>
    <s v="Yes"/>
    <n v="13"/>
    <n v="3"/>
    <n v="1"/>
    <n v="80"/>
    <n v="2"/>
    <n v="13"/>
    <n v="2"/>
    <n v="3"/>
    <x v="5"/>
    <n v="7"/>
    <n v="6"/>
    <n v="7"/>
    <x v="1"/>
    <x v="0"/>
    <s v="Active"/>
    <x v="0"/>
  </r>
  <r>
    <n v="30"/>
    <x v="1"/>
    <s v="Non Travel"/>
    <n v="641"/>
    <x v="0"/>
    <n v="25"/>
    <n v="2"/>
    <s v="Technical Degree"/>
    <n v="1"/>
    <x v="354"/>
    <n v="4"/>
    <x v="0"/>
    <n v="85"/>
    <n v="3"/>
    <n v="2"/>
    <x v="0"/>
    <n v="3"/>
    <s v="Married"/>
    <n v="4736"/>
    <n v="6069"/>
    <n v="7"/>
    <s v="Y"/>
    <s v="Yes"/>
    <n v="12"/>
    <n v="3"/>
    <n v="2"/>
    <n v="80"/>
    <n v="1"/>
    <n v="4"/>
    <n v="2"/>
    <n v="4"/>
    <x v="4"/>
    <n v="2"/>
    <n v="2"/>
    <n v="2"/>
    <x v="1"/>
    <x v="1"/>
    <s v="Active"/>
    <x v="2"/>
  </r>
  <r>
    <n v="26"/>
    <x v="1"/>
    <s v="Travel Rarely"/>
    <n v="933"/>
    <x v="0"/>
    <n v="1"/>
    <n v="3"/>
    <s v="Life Sciences"/>
    <n v="1"/>
    <x v="355"/>
    <n v="3"/>
    <x v="1"/>
    <n v="57"/>
    <n v="3"/>
    <n v="2"/>
    <x v="0"/>
    <n v="3"/>
    <s v="Married"/>
    <n v="5296"/>
    <n v="20156"/>
    <n v="1"/>
    <s v="Y"/>
    <s v="No"/>
    <n v="17"/>
    <n v="3"/>
    <n v="2"/>
    <n v="80"/>
    <n v="1"/>
    <n v="8"/>
    <n v="3"/>
    <n v="3"/>
    <x v="3"/>
    <n v="7"/>
    <n v="7"/>
    <n v="7"/>
    <x v="2"/>
    <x v="0"/>
    <s v="Active"/>
    <x v="0"/>
  </r>
  <r>
    <n v="42"/>
    <x v="1"/>
    <s v="Travel Rarely"/>
    <n v="1332"/>
    <x v="1"/>
    <n v="2"/>
    <n v="4"/>
    <s v="Other"/>
    <n v="1"/>
    <x v="356"/>
    <n v="1"/>
    <x v="1"/>
    <n v="98"/>
    <n v="2"/>
    <n v="2"/>
    <x v="4"/>
    <n v="4"/>
    <s v="Single"/>
    <n v="6781"/>
    <n v="17078"/>
    <n v="3"/>
    <s v="Y"/>
    <s v="No"/>
    <n v="23"/>
    <n v="4"/>
    <n v="2"/>
    <n v="80"/>
    <n v="0"/>
    <n v="14"/>
    <n v="6"/>
    <n v="3"/>
    <x v="6"/>
    <n v="0"/>
    <n v="0"/>
    <n v="0"/>
    <x v="0"/>
    <x v="0"/>
    <s v="Active"/>
    <x v="1"/>
  </r>
  <r>
    <n v="21"/>
    <x v="0"/>
    <s v="Travel Frequently"/>
    <n v="756"/>
    <x v="0"/>
    <n v="1"/>
    <n v="1"/>
    <s v="Technical Degree"/>
    <n v="1"/>
    <x v="357"/>
    <n v="1"/>
    <x v="0"/>
    <n v="99"/>
    <n v="2"/>
    <n v="1"/>
    <x v="6"/>
    <n v="2"/>
    <s v="Single"/>
    <n v="2174"/>
    <n v="9150"/>
    <n v="1"/>
    <s v="Y"/>
    <s v="Yes"/>
    <n v="11"/>
    <n v="3"/>
    <n v="3"/>
    <n v="80"/>
    <n v="0"/>
    <n v="3"/>
    <n v="3"/>
    <n v="3"/>
    <x v="11"/>
    <n v="2"/>
    <n v="1"/>
    <n v="2"/>
    <x v="2"/>
    <x v="1"/>
    <s v="Resigned"/>
    <x v="5"/>
  </r>
  <r>
    <n v="36"/>
    <x v="1"/>
    <s v="Non Travel"/>
    <n v="845"/>
    <x v="0"/>
    <n v="1"/>
    <n v="5"/>
    <s v="Medical"/>
    <n v="1"/>
    <x v="358"/>
    <n v="4"/>
    <x v="0"/>
    <n v="45"/>
    <n v="3"/>
    <n v="2"/>
    <x v="0"/>
    <n v="4"/>
    <s v="Single"/>
    <n v="6653"/>
    <n v="15276"/>
    <n v="4"/>
    <s v="Y"/>
    <s v="No"/>
    <n v="15"/>
    <n v="3"/>
    <n v="2"/>
    <n v="80"/>
    <n v="0"/>
    <n v="7"/>
    <n v="6"/>
    <n v="3"/>
    <x v="6"/>
    <n v="0"/>
    <n v="0"/>
    <n v="0"/>
    <x v="1"/>
    <x v="0"/>
    <s v="Active"/>
    <x v="1"/>
  </r>
  <r>
    <n v="36"/>
    <x v="1"/>
    <s v="Travel Frequently"/>
    <n v="541"/>
    <x v="0"/>
    <n v="3"/>
    <n v="4"/>
    <s v="Medical"/>
    <n v="1"/>
    <x v="359"/>
    <n v="1"/>
    <x v="1"/>
    <n v="48"/>
    <n v="2"/>
    <n v="3"/>
    <x v="0"/>
    <n v="4"/>
    <s v="Married"/>
    <n v="9699"/>
    <n v="7246"/>
    <n v="4"/>
    <s v="Y"/>
    <s v="No"/>
    <n v="11"/>
    <n v="3"/>
    <n v="1"/>
    <n v="80"/>
    <n v="1"/>
    <n v="16"/>
    <n v="2"/>
    <n v="3"/>
    <x v="20"/>
    <n v="9"/>
    <n v="1"/>
    <n v="12"/>
    <x v="1"/>
    <x v="0"/>
    <s v="Active"/>
    <x v="0"/>
  </r>
  <r>
    <n v="57"/>
    <x v="1"/>
    <s v="Travel Rarely"/>
    <n v="593"/>
    <x v="1"/>
    <n v="1"/>
    <n v="4"/>
    <s v="Medical"/>
    <n v="1"/>
    <x v="360"/>
    <n v="4"/>
    <x v="1"/>
    <n v="88"/>
    <n v="3"/>
    <n v="2"/>
    <x v="4"/>
    <n v="3"/>
    <s v="Married"/>
    <n v="6755"/>
    <n v="2967"/>
    <n v="2"/>
    <s v="Y"/>
    <s v="No"/>
    <n v="11"/>
    <n v="3"/>
    <n v="3"/>
    <n v="80"/>
    <n v="0"/>
    <n v="15"/>
    <n v="2"/>
    <n v="3"/>
    <x v="11"/>
    <n v="2"/>
    <n v="1"/>
    <n v="2"/>
    <x v="0"/>
    <x v="0"/>
    <s v="Active"/>
    <x v="5"/>
  </r>
  <r>
    <n v="40"/>
    <x v="1"/>
    <s v="Travel Rarely"/>
    <n v="1171"/>
    <x v="1"/>
    <n v="10"/>
    <n v="4"/>
    <s v="Life Sciences"/>
    <n v="1"/>
    <x v="361"/>
    <n v="4"/>
    <x v="0"/>
    <n v="46"/>
    <n v="4"/>
    <n v="1"/>
    <x v="2"/>
    <n v="3"/>
    <s v="Married"/>
    <n v="2213"/>
    <n v="22495"/>
    <n v="3"/>
    <s v="Y"/>
    <s v="Yes"/>
    <n v="13"/>
    <n v="3"/>
    <n v="3"/>
    <n v="80"/>
    <n v="1"/>
    <n v="10"/>
    <n v="3"/>
    <n v="3"/>
    <x v="5"/>
    <n v="7"/>
    <n v="1"/>
    <n v="7"/>
    <x v="1"/>
    <x v="1"/>
    <s v="Active"/>
    <x v="0"/>
  </r>
  <r>
    <n v="21"/>
    <x v="1"/>
    <s v="Non Travel"/>
    <n v="895"/>
    <x v="0"/>
    <n v="9"/>
    <n v="2"/>
    <s v="Medical"/>
    <n v="1"/>
    <x v="362"/>
    <n v="1"/>
    <x v="1"/>
    <n v="39"/>
    <n v="3"/>
    <n v="1"/>
    <x v="6"/>
    <n v="4"/>
    <s v="Single"/>
    <n v="2610"/>
    <n v="2851"/>
    <n v="1"/>
    <s v="Y"/>
    <s v="No"/>
    <n v="24"/>
    <n v="4"/>
    <n v="3"/>
    <n v="80"/>
    <n v="0"/>
    <n v="3"/>
    <n v="3"/>
    <n v="2"/>
    <x v="11"/>
    <n v="2"/>
    <n v="2"/>
    <n v="2"/>
    <x v="2"/>
    <x v="1"/>
    <s v="Active"/>
    <x v="5"/>
  </r>
  <r>
    <n v="33"/>
    <x v="0"/>
    <s v="Travel Rarely"/>
    <n v="350"/>
    <x v="0"/>
    <n v="5"/>
    <n v="3"/>
    <s v="Marketing"/>
    <n v="1"/>
    <x v="363"/>
    <n v="4"/>
    <x v="0"/>
    <n v="34"/>
    <n v="3"/>
    <n v="1"/>
    <x v="6"/>
    <n v="3"/>
    <s v="Single"/>
    <n v="2851"/>
    <n v="9150"/>
    <n v="1"/>
    <s v="Y"/>
    <s v="Yes"/>
    <n v="13"/>
    <n v="3"/>
    <n v="2"/>
    <n v="80"/>
    <n v="0"/>
    <n v="1"/>
    <n v="2"/>
    <n v="3"/>
    <x v="6"/>
    <n v="0"/>
    <n v="0"/>
    <n v="0"/>
    <x v="1"/>
    <x v="1"/>
    <s v="Resigned"/>
    <x v="1"/>
  </r>
  <r>
    <n v="37"/>
    <x v="1"/>
    <s v="Travel Rarely"/>
    <n v="921"/>
    <x v="1"/>
    <n v="10"/>
    <n v="3"/>
    <s v="Medical"/>
    <n v="1"/>
    <x v="364"/>
    <n v="3"/>
    <x v="0"/>
    <n v="98"/>
    <n v="3"/>
    <n v="1"/>
    <x v="2"/>
    <n v="1"/>
    <s v="Married"/>
    <n v="3452"/>
    <n v="17663"/>
    <n v="6"/>
    <s v="Y"/>
    <s v="No"/>
    <n v="20"/>
    <n v="4"/>
    <n v="2"/>
    <n v="80"/>
    <n v="1"/>
    <n v="17"/>
    <n v="3"/>
    <n v="3"/>
    <x v="8"/>
    <n v="4"/>
    <n v="0"/>
    <n v="3"/>
    <x v="1"/>
    <x v="1"/>
    <s v="Active"/>
    <x v="3"/>
  </r>
  <r>
    <n v="46"/>
    <x v="1"/>
    <s v="Non Travel"/>
    <n v="1144"/>
    <x v="1"/>
    <n v="7"/>
    <n v="4"/>
    <s v="Medical"/>
    <n v="1"/>
    <x v="365"/>
    <n v="3"/>
    <x v="0"/>
    <n v="30"/>
    <n v="3"/>
    <n v="2"/>
    <x v="3"/>
    <n v="3"/>
    <s v="Married"/>
    <n v="5258"/>
    <n v="16044"/>
    <n v="2"/>
    <s v="Y"/>
    <s v="No"/>
    <n v="14"/>
    <n v="3"/>
    <n v="3"/>
    <n v="80"/>
    <n v="0"/>
    <n v="7"/>
    <n v="2"/>
    <n v="4"/>
    <x v="6"/>
    <n v="0"/>
    <n v="0"/>
    <n v="0"/>
    <x v="0"/>
    <x v="0"/>
    <s v="Active"/>
    <x v="1"/>
  </r>
  <r>
    <n v="41"/>
    <x v="0"/>
    <s v="Travel Frequently"/>
    <n v="143"/>
    <x v="0"/>
    <n v="4"/>
    <n v="3"/>
    <s v="Marketing"/>
    <n v="1"/>
    <x v="366"/>
    <n v="1"/>
    <x v="1"/>
    <n v="56"/>
    <n v="3"/>
    <n v="2"/>
    <x v="0"/>
    <n v="2"/>
    <s v="Single"/>
    <n v="9355"/>
    <n v="9558"/>
    <n v="1"/>
    <s v="Y"/>
    <s v="No"/>
    <n v="18"/>
    <n v="3"/>
    <n v="3"/>
    <n v="80"/>
    <n v="0"/>
    <n v="8"/>
    <n v="5"/>
    <n v="3"/>
    <x v="3"/>
    <n v="7"/>
    <n v="7"/>
    <n v="7"/>
    <x v="0"/>
    <x v="0"/>
    <s v="Resigned"/>
    <x v="0"/>
  </r>
  <r>
    <n v="50"/>
    <x v="1"/>
    <s v="Travel Rarely"/>
    <n v="1046"/>
    <x v="1"/>
    <n v="10"/>
    <n v="3"/>
    <s v="Technical Degree"/>
    <n v="1"/>
    <x v="367"/>
    <n v="4"/>
    <x v="1"/>
    <n v="100"/>
    <n v="2"/>
    <n v="3"/>
    <x v="4"/>
    <n v="4"/>
    <s v="Single"/>
    <n v="10496"/>
    <n v="2755"/>
    <n v="6"/>
    <s v="Y"/>
    <s v="No"/>
    <n v="15"/>
    <n v="3"/>
    <n v="4"/>
    <n v="80"/>
    <n v="0"/>
    <n v="20"/>
    <n v="2"/>
    <n v="3"/>
    <x v="9"/>
    <n v="3"/>
    <n v="1"/>
    <n v="3"/>
    <x v="0"/>
    <x v="2"/>
    <s v="Active"/>
    <x v="4"/>
  </r>
  <r>
    <n v="40"/>
    <x v="0"/>
    <s v="Travel Rarely"/>
    <n v="575"/>
    <x v="0"/>
    <n v="22"/>
    <n v="2"/>
    <s v="Marketing"/>
    <n v="1"/>
    <x v="368"/>
    <n v="3"/>
    <x v="1"/>
    <n v="68"/>
    <n v="2"/>
    <n v="2"/>
    <x v="0"/>
    <n v="3"/>
    <s v="Married"/>
    <n v="6380"/>
    <n v="6110"/>
    <n v="2"/>
    <s v="Y"/>
    <s v="Yes"/>
    <n v="12"/>
    <n v="3"/>
    <n v="1"/>
    <n v="80"/>
    <n v="2"/>
    <n v="8"/>
    <n v="6"/>
    <n v="3"/>
    <x v="0"/>
    <n v="4"/>
    <n v="1"/>
    <n v="0"/>
    <x v="1"/>
    <x v="0"/>
    <s v="Resigned"/>
    <x v="0"/>
  </r>
  <r>
    <n v="31"/>
    <x v="1"/>
    <s v="Travel Rarely"/>
    <n v="408"/>
    <x v="1"/>
    <n v="9"/>
    <n v="4"/>
    <s v="Life Sciences"/>
    <n v="1"/>
    <x v="369"/>
    <n v="3"/>
    <x v="1"/>
    <n v="42"/>
    <n v="2"/>
    <n v="1"/>
    <x v="1"/>
    <n v="2"/>
    <s v="Single"/>
    <n v="2657"/>
    <n v="7551"/>
    <n v="0"/>
    <s v="Y"/>
    <s v="Yes"/>
    <n v="16"/>
    <n v="3"/>
    <n v="4"/>
    <n v="80"/>
    <n v="0"/>
    <n v="3"/>
    <n v="5"/>
    <n v="3"/>
    <x v="4"/>
    <n v="2"/>
    <n v="2"/>
    <n v="2"/>
    <x v="1"/>
    <x v="1"/>
    <s v="Active"/>
    <x v="2"/>
  </r>
  <r>
    <n v="21"/>
    <x v="0"/>
    <s v="Travel Rarely"/>
    <n v="156"/>
    <x v="0"/>
    <n v="12"/>
    <n v="3"/>
    <s v="Life Sciences"/>
    <n v="1"/>
    <x v="370"/>
    <n v="3"/>
    <x v="0"/>
    <n v="90"/>
    <n v="4"/>
    <n v="1"/>
    <x v="6"/>
    <n v="2"/>
    <s v="Single"/>
    <n v="2716"/>
    <n v="25422"/>
    <n v="1"/>
    <s v="Y"/>
    <s v="No"/>
    <n v="15"/>
    <n v="3"/>
    <n v="4"/>
    <n v="80"/>
    <n v="0"/>
    <n v="1"/>
    <n v="0"/>
    <n v="3"/>
    <x v="6"/>
    <n v="0"/>
    <n v="0"/>
    <n v="0"/>
    <x v="2"/>
    <x v="1"/>
    <s v="Resigned"/>
    <x v="1"/>
  </r>
  <r>
    <n v="29"/>
    <x v="1"/>
    <s v="Travel Rarely"/>
    <n v="1283"/>
    <x v="1"/>
    <n v="23"/>
    <n v="3"/>
    <s v="Life Sciences"/>
    <n v="1"/>
    <x v="371"/>
    <n v="4"/>
    <x v="1"/>
    <n v="54"/>
    <n v="3"/>
    <n v="1"/>
    <x v="1"/>
    <n v="4"/>
    <s v="Single"/>
    <n v="2201"/>
    <n v="18168"/>
    <n v="9"/>
    <s v="Y"/>
    <s v="No"/>
    <n v="16"/>
    <n v="3"/>
    <n v="4"/>
    <n v="80"/>
    <n v="0"/>
    <n v="6"/>
    <n v="4"/>
    <n v="3"/>
    <x v="11"/>
    <n v="2"/>
    <n v="1"/>
    <n v="2"/>
    <x v="2"/>
    <x v="1"/>
    <s v="Active"/>
    <x v="5"/>
  </r>
  <r>
    <n v="35"/>
    <x v="1"/>
    <s v="Travel Rarely"/>
    <n v="755"/>
    <x v="1"/>
    <n v="9"/>
    <n v="4"/>
    <s v="Life Sciences"/>
    <n v="1"/>
    <x v="372"/>
    <n v="3"/>
    <x v="1"/>
    <n v="97"/>
    <n v="2"/>
    <n v="2"/>
    <x v="4"/>
    <n v="2"/>
    <s v="Single"/>
    <n v="6540"/>
    <n v="19394"/>
    <n v="9"/>
    <s v="Y"/>
    <s v="No"/>
    <n v="19"/>
    <n v="3"/>
    <n v="3"/>
    <n v="80"/>
    <n v="0"/>
    <n v="10"/>
    <n v="5"/>
    <n v="3"/>
    <x v="6"/>
    <n v="1"/>
    <n v="0"/>
    <n v="0"/>
    <x v="1"/>
    <x v="0"/>
    <s v="Active"/>
    <x v="1"/>
  </r>
  <r>
    <n v="27"/>
    <x v="1"/>
    <s v="Travel Rarely"/>
    <n v="1469"/>
    <x v="1"/>
    <n v="1"/>
    <n v="2"/>
    <s v="Medical"/>
    <n v="1"/>
    <x v="373"/>
    <n v="4"/>
    <x v="1"/>
    <n v="82"/>
    <n v="3"/>
    <n v="1"/>
    <x v="2"/>
    <n v="2"/>
    <s v="Divorced"/>
    <n v="3816"/>
    <n v="17881"/>
    <n v="1"/>
    <s v="Y"/>
    <s v="No"/>
    <n v="11"/>
    <n v="3"/>
    <n v="2"/>
    <n v="80"/>
    <n v="1"/>
    <n v="5"/>
    <n v="2"/>
    <n v="3"/>
    <x v="8"/>
    <n v="2"/>
    <n v="0"/>
    <n v="4"/>
    <x v="2"/>
    <x v="1"/>
    <s v="Active"/>
    <x v="3"/>
  </r>
  <r>
    <n v="28"/>
    <x v="1"/>
    <s v="Travel Rarely"/>
    <n v="304"/>
    <x v="0"/>
    <n v="9"/>
    <n v="4"/>
    <s v="Life Sciences"/>
    <n v="1"/>
    <x v="374"/>
    <n v="2"/>
    <x v="1"/>
    <n v="92"/>
    <n v="3"/>
    <n v="2"/>
    <x v="0"/>
    <n v="4"/>
    <s v="Single"/>
    <n v="5253"/>
    <n v="20750"/>
    <n v="1"/>
    <s v="Y"/>
    <s v="No"/>
    <n v="16"/>
    <n v="3"/>
    <n v="4"/>
    <n v="80"/>
    <n v="0"/>
    <n v="7"/>
    <n v="1"/>
    <n v="3"/>
    <x v="5"/>
    <n v="5"/>
    <n v="0"/>
    <n v="7"/>
    <x v="2"/>
    <x v="0"/>
    <s v="Active"/>
    <x v="0"/>
  </r>
  <r>
    <n v="49"/>
    <x v="1"/>
    <s v="Travel Rarely"/>
    <n v="1261"/>
    <x v="1"/>
    <n v="7"/>
    <n v="3"/>
    <s v="Other"/>
    <n v="1"/>
    <x v="375"/>
    <n v="2"/>
    <x v="1"/>
    <n v="31"/>
    <n v="2"/>
    <n v="3"/>
    <x v="4"/>
    <n v="3"/>
    <s v="Single"/>
    <n v="10965"/>
    <n v="12066"/>
    <n v="8"/>
    <s v="Y"/>
    <s v="No"/>
    <n v="24"/>
    <n v="4"/>
    <n v="3"/>
    <n v="80"/>
    <n v="0"/>
    <n v="26"/>
    <n v="2"/>
    <n v="3"/>
    <x v="8"/>
    <n v="2"/>
    <n v="0"/>
    <n v="0"/>
    <x v="0"/>
    <x v="2"/>
    <s v="Active"/>
    <x v="3"/>
  </r>
  <r>
    <n v="51"/>
    <x v="1"/>
    <s v="Travel Rarely"/>
    <n v="1178"/>
    <x v="0"/>
    <n v="14"/>
    <n v="2"/>
    <s v="Life Sciences"/>
    <n v="1"/>
    <x v="376"/>
    <n v="3"/>
    <x v="0"/>
    <n v="87"/>
    <n v="3"/>
    <n v="2"/>
    <x v="0"/>
    <n v="4"/>
    <s v="Married"/>
    <n v="4936"/>
    <n v="14862"/>
    <n v="4"/>
    <s v="Y"/>
    <s v="No"/>
    <n v="11"/>
    <n v="3"/>
    <n v="3"/>
    <n v="80"/>
    <n v="1"/>
    <n v="18"/>
    <n v="2"/>
    <n v="2"/>
    <x v="5"/>
    <n v="7"/>
    <n v="0"/>
    <n v="7"/>
    <x v="0"/>
    <x v="1"/>
    <s v="Active"/>
    <x v="0"/>
  </r>
  <r>
    <n v="36"/>
    <x v="1"/>
    <s v="Travel Rarely"/>
    <n v="329"/>
    <x v="1"/>
    <n v="2"/>
    <n v="3"/>
    <s v="Life Sciences"/>
    <n v="1"/>
    <x v="377"/>
    <n v="4"/>
    <x v="0"/>
    <n v="96"/>
    <n v="3"/>
    <n v="1"/>
    <x v="1"/>
    <n v="3"/>
    <s v="Married"/>
    <n v="2543"/>
    <n v="11868"/>
    <n v="4"/>
    <s v="Y"/>
    <s v="No"/>
    <n v="13"/>
    <n v="3"/>
    <n v="2"/>
    <n v="80"/>
    <n v="1"/>
    <n v="6"/>
    <n v="3"/>
    <n v="3"/>
    <x v="4"/>
    <n v="2"/>
    <n v="2"/>
    <n v="2"/>
    <x v="1"/>
    <x v="1"/>
    <s v="Active"/>
    <x v="2"/>
  </r>
  <r>
    <n v="34"/>
    <x v="0"/>
    <s v="Non Travel"/>
    <n v="1362"/>
    <x v="0"/>
    <n v="19"/>
    <n v="3"/>
    <s v="Marketing"/>
    <n v="1"/>
    <x v="378"/>
    <n v="1"/>
    <x v="1"/>
    <n v="67"/>
    <n v="4"/>
    <n v="2"/>
    <x v="0"/>
    <n v="4"/>
    <s v="Single"/>
    <n v="5304"/>
    <n v="4652"/>
    <n v="8"/>
    <s v="Y"/>
    <s v="Yes"/>
    <n v="13"/>
    <n v="3"/>
    <n v="2"/>
    <n v="80"/>
    <n v="0"/>
    <n v="9"/>
    <n v="3"/>
    <n v="2"/>
    <x v="8"/>
    <n v="2"/>
    <n v="0"/>
    <n v="4"/>
    <x v="1"/>
    <x v="0"/>
    <s v="Resigned"/>
    <x v="3"/>
  </r>
  <r>
    <n v="55"/>
    <x v="1"/>
    <s v="Travel Rarely"/>
    <n v="1311"/>
    <x v="1"/>
    <n v="2"/>
    <n v="3"/>
    <s v="Life Sciences"/>
    <n v="1"/>
    <x v="379"/>
    <n v="3"/>
    <x v="0"/>
    <n v="97"/>
    <n v="3"/>
    <n v="4"/>
    <x v="5"/>
    <n v="4"/>
    <s v="Single"/>
    <n v="16659"/>
    <n v="23258"/>
    <n v="2"/>
    <s v="Y"/>
    <s v="Yes"/>
    <n v="13"/>
    <n v="3"/>
    <n v="3"/>
    <n v="80"/>
    <n v="0"/>
    <n v="30"/>
    <n v="2"/>
    <n v="3"/>
    <x v="8"/>
    <n v="4"/>
    <n v="1"/>
    <n v="2"/>
    <x v="0"/>
    <x v="2"/>
    <s v="Active"/>
    <x v="3"/>
  </r>
  <r>
    <n v="24"/>
    <x v="1"/>
    <s v="Travel Rarely"/>
    <n v="1371"/>
    <x v="0"/>
    <n v="10"/>
    <n v="4"/>
    <s v="Marketing"/>
    <n v="1"/>
    <x v="380"/>
    <n v="4"/>
    <x v="0"/>
    <n v="77"/>
    <n v="3"/>
    <n v="2"/>
    <x v="0"/>
    <n v="3"/>
    <s v="Divorced"/>
    <n v="4260"/>
    <n v="5915"/>
    <n v="1"/>
    <s v="Y"/>
    <s v="Yes"/>
    <n v="12"/>
    <n v="3"/>
    <n v="4"/>
    <n v="80"/>
    <n v="1"/>
    <n v="5"/>
    <n v="2"/>
    <n v="4"/>
    <x v="8"/>
    <n v="2"/>
    <n v="0"/>
    <n v="3"/>
    <x v="2"/>
    <x v="1"/>
    <s v="Active"/>
    <x v="3"/>
  </r>
  <r>
    <n v="30"/>
    <x v="1"/>
    <s v="Travel Rarely"/>
    <n v="202"/>
    <x v="0"/>
    <n v="2"/>
    <n v="1"/>
    <s v="Technical Degree"/>
    <n v="1"/>
    <x v="381"/>
    <n v="3"/>
    <x v="1"/>
    <n v="72"/>
    <n v="3"/>
    <n v="1"/>
    <x v="6"/>
    <n v="2"/>
    <s v="Married"/>
    <n v="2476"/>
    <n v="17434"/>
    <n v="1"/>
    <s v="Y"/>
    <s v="No"/>
    <n v="18"/>
    <n v="3"/>
    <n v="1"/>
    <n v="80"/>
    <n v="1"/>
    <n v="1"/>
    <n v="3"/>
    <n v="3"/>
    <x v="6"/>
    <n v="0"/>
    <n v="0"/>
    <n v="0"/>
    <x v="1"/>
    <x v="1"/>
    <s v="Active"/>
    <x v="1"/>
  </r>
  <r>
    <n v="26"/>
    <x v="0"/>
    <s v="Travel Frequently"/>
    <n v="575"/>
    <x v="1"/>
    <n v="3"/>
    <n v="1"/>
    <s v="Technical Degree"/>
    <n v="1"/>
    <x v="382"/>
    <n v="3"/>
    <x v="1"/>
    <n v="73"/>
    <n v="3"/>
    <n v="1"/>
    <x v="1"/>
    <n v="1"/>
    <s v="Single"/>
    <n v="3102"/>
    <n v="6582"/>
    <n v="0"/>
    <s v="Y"/>
    <s v="No"/>
    <n v="22"/>
    <n v="4"/>
    <n v="3"/>
    <n v="80"/>
    <n v="0"/>
    <n v="7"/>
    <n v="2"/>
    <n v="3"/>
    <x v="0"/>
    <n v="4"/>
    <n v="0"/>
    <n v="4"/>
    <x v="2"/>
    <x v="1"/>
    <s v="Resigned"/>
    <x v="0"/>
  </r>
  <r>
    <n v="22"/>
    <x v="1"/>
    <s v="Travel Rarely"/>
    <n v="253"/>
    <x v="1"/>
    <n v="11"/>
    <n v="3"/>
    <s v="Medical"/>
    <n v="1"/>
    <x v="383"/>
    <n v="1"/>
    <x v="0"/>
    <n v="43"/>
    <n v="3"/>
    <n v="1"/>
    <x v="1"/>
    <n v="2"/>
    <s v="Married"/>
    <n v="2244"/>
    <n v="24440"/>
    <n v="1"/>
    <s v="Y"/>
    <s v="No"/>
    <n v="13"/>
    <n v="3"/>
    <n v="4"/>
    <n v="80"/>
    <n v="1"/>
    <n v="2"/>
    <n v="1"/>
    <n v="3"/>
    <x v="4"/>
    <n v="1"/>
    <n v="1"/>
    <n v="2"/>
    <x v="2"/>
    <x v="1"/>
    <s v="Active"/>
    <x v="2"/>
  </r>
  <r>
    <n v="36"/>
    <x v="1"/>
    <s v="Travel Rarely"/>
    <n v="164"/>
    <x v="0"/>
    <n v="2"/>
    <n v="2"/>
    <s v="Medical"/>
    <n v="1"/>
    <x v="384"/>
    <n v="2"/>
    <x v="1"/>
    <n v="61"/>
    <n v="2"/>
    <n v="3"/>
    <x v="0"/>
    <n v="3"/>
    <s v="Married"/>
    <n v="7596"/>
    <n v="3809"/>
    <n v="1"/>
    <s v="Y"/>
    <s v="No"/>
    <n v="13"/>
    <n v="3"/>
    <n v="2"/>
    <n v="80"/>
    <n v="2"/>
    <n v="10"/>
    <n v="2"/>
    <n v="3"/>
    <x v="1"/>
    <n v="9"/>
    <n v="9"/>
    <n v="0"/>
    <x v="1"/>
    <x v="0"/>
    <s v="Active"/>
    <x v="0"/>
  </r>
  <r>
    <n v="30"/>
    <x v="0"/>
    <s v="Travel Frequently"/>
    <n v="464"/>
    <x v="1"/>
    <n v="4"/>
    <n v="3"/>
    <s v="Technical Degree"/>
    <n v="1"/>
    <x v="385"/>
    <n v="3"/>
    <x v="1"/>
    <n v="40"/>
    <n v="3"/>
    <n v="1"/>
    <x v="1"/>
    <n v="4"/>
    <s v="Single"/>
    <n v="2285"/>
    <n v="3427"/>
    <n v="9"/>
    <s v="Y"/>
    <s v="Yes"/>
    <n v="23"/>
    <n v="4"/>
    <n v="3"/>
    <n v="80"/>
    <n v="0"/>
    <n v="3"/>
    <n v="4"/>
    <n v="3"/>
    <x v="6"/>
    <n v="0"/>
    <n v="0"/>
    <n v="0"/>
    <x v="1"/>
    <x v="1"/>
    <s v="Resigned"/>
    <x v="1"/>
  </r>
  <r>
    <n v="37"/>
    <x v="1"/>
    <s v="Travel Rarely"/>
    <n v="1107"/>
    <x v="1"/>
    <n v="14"/>
    <n v="3"/>
    <s v="Life Sciences"/>
    <n v="1"/>
    <x v="386"/>
    <n v="4"/>
    <x v="0"/>
    <n v="95"/>
    <n v="3"/>
    <n v="1"/>
    <x v="2"/>
    <n v="1"/>
    <s v="Divorced"/>
    <n v="3034"/>
    <n v="26914"/>
    <n v="1"/>
    <s v="Y"/>
    <s v="No"/>
    <n v="12"/>
    <n v="3"/>
    <n v="3"/>
    <n v="80"/>
    <n v="1"/>
    <n v="18"/>
    <n v="2"/>
    <n v="2"/>
    <x v="29"/>
    <n v="7"/>
    <n v="12"/>
    <n v="17"/>
    <x v="1"/>
    <x v="1"/>
    <s v="Active"/>
    <x v="0"/>
  </r>
  <r>
    <n v="40"/>
    <x v="1"/>
    <s v="Travel Rarely"/>
    <n v="759"/>
    <x v="0"/>
    <n v="2"/>
    <n v="2"/>
    <s v="Marketing"/>
    <n v="1"/>
    <x v="387"/>
    <n v="4"/>
    <x v="0"/>
    <n v="46"/>
    <n v="3"/>
    <n v="2"/>
    <x v="0"/>
    <n v="2"/>
    <s v="Divorced"/>
    <n v="5715"/>
    <n v="22553"/>
    <n v="7"/>
    <s v="Y"/>
    <s v="No"/>
    <n v="12"/>
    <n v="3"/>
    <n v="3"/>
    <n v="80"/>
    <n v="2"/>
    <n v="8"/>
    <n v="5"/>
    <n v="3"/>
    <x v="8"/>
    <n v="4"/>
    <n v="1"/>
    <n v="3"/>
    <x v="1"/>
    <x v="0"/>
    <s v="Active"/>
    <x v="3"/>
  </r>
  <r>
    <n v="42"/>
    <x v="1"/>
    <s v="Travel Rarely"/>
    <n v="201"/>
    <x v="1"/>
    <n v="1"/>
    <n v="4"/>
    <s v="Life Sciences"/>
    <n v="1"/>
    <x v="388"/>
    <n v="2"/>
    <x v="0"/>
    <n v="95"/>
    <n v="3"/>
    <n v="1"/>
    <x v="2"/>
    <n v="1"/>
    <s v="Divorced"/>
    <n v="2576"/>
    <n v="20490"/>
    <n v="3"/>
    <s v="Y"/>
    <s v="No"/>
    <n v="16"/>
    <n v="3"/>
    <n v="2"/>
    <n v="80"/>
    <n v="1"/>
    <n v="8"/>
    <n v="5"/>
    <n v="3"/>
    <x v="8"/>
    <n v="2"/>
    <n v="1"/>
    <n v="2"/>
    <x v="0"/>
    <x v="1"/>
    <s v="Active"/>
    <x v="3"/>
  </r>
  <r>
    <n v="37"/>
    <x v="1"/>
    <s v="Travel Rarely"/>
    <n v="1305"/>
    <x v="1"/>
    <n v="10"/>
    <n v="4"/>
    <s v="Life Sciences"/>
    <n v="1"/>
    <x v="389"/>
    <n v="3"/>
    <x v="1"/>
    <n v="49"/>
    <n v="3"/>
    <n v="2"/>
    <x v="3"/>
    <n v="2"/>
    <s v="Single"/>
    <n v="4197"/>
    <n v="21123"/>
    <n v="2"/>
    <s v="Y"/>
    <s v="Yes"/>
    <n v="12"/>
    <n v="3"/>
    <n v="4"/>
    <n v="80"/>
    <n v="0"/>
    <n v="18"/>
    <n v="2"/>
    <n v="2"/>
    <x v="6"/>
    <n v="0"/>
    <n v="0"/>
    <n v="1"/>
    <x v="1"/>
    <x v="1"/>
    <s v="Active"/>
    <x v="1"/>
  </r>
  <r>
    <n v="43"/>
    <x v="1"/>
    <s v="Travel Rarely"/>
    <n v="982"/>
    <x v="1"/>
    <n v="12"/>
    <n v="3"/>
    <s v="Life Sciences"/>
    <n v="1"/>
    <x v="390"/>
    <n v="1"/>
    <x v="1"/>
    <n v="59"/>
    <n v="2"/>
    <n v="4"/>
    <x v="7"/>
    <n v="2"/>
    <s v="Divorced"/>
    <n v="14336"/>
    <n v="4345"/>
    <n v="1"/>
    <s v="Y"/>
    <s v="No"/>
    <n v="11"/>
    <n v="3"/>
    <n v="3"/>
    <n v="80"/>
    <n v="1"/>
    <n v="25"/>
    <n v="3"/>
    <n v="3"/>
    <x v="10"/>
    <n v="10"/>
    <n v="3"/>
    <n v="9"/>
    <x v="0"/>
    <x v="2"/>
    <s v="Active"/>
    <x v="0"/>
  </r>
  <r>
    <n v="40"/>
    <x v="1"/>
    <s v="Travel Rarely"/>
    <n v="555"/>
    <x v="1"/>
    <n v="2"/>
    <n v="3"/>
    <s v="Medical"/>
    <n v="1"/>
    <x v="391"/>
    <n v="2"/>
    <x v="0"/>
    <n v="78"/>
    <n v="2"/>
    <n v="2"/>
    <x v="2"/>
    <n v="3"/>
    <s v="Married"/>
    <n v="3448"/>
    <n v="13436"/>
    <n v="6"/>
    <s v="Y"/>
    <s v="No"/>
    <n v="22"/>
    <n v="4"/>
    <n v="2"/>
    <n v="80"/>
    <n v="1"/>
    <n v="20"/>
    <n v="3"/>
    <n v="3"/>
    <x v="6"/>
    <n v="0"/>
    <n v="0"/>
    <n v="0"/>
    <x v="1"/>
    <x v="1"/>
    <s v="Active"/>
    <x v="1"/>
  </r>
  <r>
    <n v="54"/>
    <x v="1"/>
    <s v="Travel Rarely"/>
    <n v="821"/>
    <x v="1"/>
    <n v="5"/>
    <n v="2"/>
    <s v="Medical"/>
    <n v="1"/>
    <x v="392"/>
    <n v="1"/>
    <x v="1"/>
    <n v="86"/>
    <n v="3"/>
    <n v="5"/>
    <x v="7"/>
    <n v="1"/>
    <s v="Married"/>
    <n v="19406"/>
    <n v="8509"/>
    <n v="4"/>
    <s v="Y"/>
    <s v="No"/>
    <n v="11"/>
    <n v="3"/>
    <n v="3"/>
    <n v="80"/>
    <n v="1"/>
    <n v="24"/>
    <n v="4"/>
    <n v="2"/>
    <x v="9"/>
    <n v="2"/>
    <n v="1"/>
    <n v="2"/>
    <x v="0"/>
    <x v="2"/>
    <s v="Active"/>
    <x v="4"/>
  </r>
  <r>
    <n v="34"/>
    <x v="1"/>
    <s v="Non Travel"/>
    <n v="1381"/>
    <x v="0"/>
    <n v="4"/>
    <n v="4"/>
    <s v="Marketing"/>
    <n v="1"/>
    <x v="393"/>
    <n v="3"/>
    <x v="0"/>
    <n v="72"/>
    <n v="3"/>
    <n v="2"/>
    <x v="0"/>
    <n v="3"/>
    <s v="Married"/>
    <n v="6538"/>
    <n v="12740"/>
    <n v="9"/>
    <s v="Y"/>
    <s v="No"/>
    <n v="15"/>
    <n v="3"/>
    <n v="1"/>
    <n v="80"/>
    <n v="1"/>
    <n v="6"/>
    <n v="3"/>
    <n v="3"/>
    <x v="11"/>
    <n v="2"/>
    <n v="1"/>
    <n v="2"/>
    <x v="1"/>
    <x v="0"/>
    <s v="Active"/>
    <x v="5"/>
  </r>
  <r>
    <n v="31"/>
    <x v="1"/>
    <s v="Travel Rarely"/>
    <n v="480"/>
    <x v="1"/>
    <n v="7"/>
    <n v="2"/>
    <s v="Medical"/>
    <n v="1"/>
    <x v="394"/>
    <n v="2"/>
    <x v="0"/>
    <n v="31"/>
    <n v="3"/>
    <n v="2"/>
    <x v="3"/>
    <n v="1"/>
    <s v="Married"/>
    <n v="4306"/>
    <n v="4156"/>
    <n v="1"/>
    <s v="Y"/>
    <s v="No"/>
    <n v="12"/>
    <n v="3"/>
    <n v="2"/>
    <n v="80"/>
    <n v="1"/>
    <n v="13"/>
    <n v="5"/>
    <n v="1"/>
    <x v="20"/>
    <n v="10"/>
    <n v="3"/>
    <n v="12"/>
    <x v="1"/>
    <x v="1"/>
    <s v="Active"/>
    <x v="0"/>
  </r>
  <r>
    <n v="43"/>
    <x v="1"/>
    <s v="Travel Frequently"/>
    <n v="313"/>
    <x v="1"/>
    <n v="21"/>
    <n v="3"/>
    <s v="Medical"/>
    <n v="1"/>
    <x v="395"/>
    <n v="4"/>
    <x v="1"/>
    <n v="61"/>
    <n v="3"/>
    <n v="1"/>
    <x v="2"/>
    <n v="4"/>
    <s v="Married"/>
    <n v="2258"/>
    <n v="15238"/>
    <n v="7"/>
    <s v="Y"/>
    <s v="No"/>
    <n v="20"/>
    <n v="4"/>
    <n v="1"/>
    <n v="80"/>
    <n v="1"/>
    <n v="8"/>
    <n v="1"/>
    <n v="3"/>
    <x v="11"/>
    <n v="2"/>
    <n v="1"/>
    <n v="2"/>
    <x v="0"/>
    <x v="1"/>
    <s v="Active"/>
    <x v="5"/>
  </r>
  <r>
    <n v="43"/>
    <x v="1"/>
    <s v="Travel Rarely"/>
    <n v="1473"/>
    <x v="1"/>
    <n v="8"/>
    <n v="4"/>
    <s v="Other"/>
    <n v="1"/>
    <x v="396"/>
    <n v="3"/>
    <x v="0"/>
    <n v="74"/>
    <n v="3"/>
    <n v="2"/>
    <x v="4"/>
    <n v="3"/>
    <s v="Divorced"/>
    <n v="4522"/>
    <n v="2227"/>
    <n v="4"/>
    <s v="Y"/>
    <s v="Yes"/>
    <n v="14"/>
    <n v="3"/>
    <n v="4"/>
    <n v="80"/>
    <n v="0"/>
    <n v="8"/>
    <n v="3"/>
    <n v="3"/>
    <x v="8"/>
    <n v="2"/>
    <n v="0"/>
    <n v="2"/>
    <x v="0"/>
    <x v="1"/>
    <s v="Active"/>
    <x v="3"/>
  </r>
  <r>
    <n v="25"/>
    <x v="1"/>
    <s v="Travel Rarely"/>
    <n v="891"/>
    <x v="0"/>
    <n v="4"/>
    <n v="2"/>
    <s v="Life Sciences"/>
    <n v="1"/>
    <x v="397"/>
    <n v="2"/>
    <x v="0"/>
    <n v="99"/>
    <n v="2"/>
    <n v="2"/>
    <x v="0"/>
    <n v="4"/>
    <s v="Single"/>
    <n v="4487"/>
    <n v="12090"/>
    <n v="1"/>
    <s v="Y"/>
    <s v="Yes"/>
    <n v="11"/>
    <n v="3"/>
    <n v="2"/>
    <n v="80"/>
    <n v="0"/>
    <n v="5"/>
    <n v="3"/>
    <n v="3"/>
    <x v="8"/>
    <n v="4"/>
    <n v="1"/>
    <n v="3"/>
    <x v="2"/>
    <x v="1"/>
    <s v="Active"/>
    <x v="3"/>
  </r>
  <r>
    <n v="37"/>
    <x v="1"/>
    <s v="Non Travel"/>
    <n v="1063"/>
    <x v="1"/>
    <n v="25"/>
    <n v="5"/>
    <s v="Medical"/>
    <n v="1"/>
    <x v="398"/>
    <n v="2"/>
    <x v="0"/>
    <n v="72"/>
    <n v="3"/>
    <n v="2"/>
    <x v="1"/>
    <n v="3"/>
    <s v="Married"/>
    <n v="4449"/>
    <n v="23866"/>
    <n v="3"/>
    <s v="Y"/>
    <s v="Yes"/>
    <n v="15"/>
    <n v="3"/>
    <n v="1"/>
    <n v="80"/>
    <n v="2"/>
    <n v="15"/>
    <n v="2"/>
    <n v="3"/>
    <x v="20"/>
    <n v="11"/>
    <n v="10"/>
    <n v="7"/>
    <x v="1"/>
    <x v="1"/>
    <s v="Active"/>
    <x v="0"/>
  </r>
  <r>
    <n v="31"/>
    <x v="1"/>
    <s v="Travel Rarely"/>
    <n v="329"/>
    <x v="1"/>
    <n v="1"/>
    <n v="2"/>
    <s v="Life Sciences"/>
    <n v="1"/>
    <x v="399"/>
    <n v="4"/>
    <x v="1"/>
    <n v="98"/>
    <n v="2"/>
    <n v="1"/>
    <x v="2"/>
    <n v="1"/>
    <s v="Married"/>
    <n v="2218"/>
    <n v="16193"/>
    <n v="1"/>
    <s v="Y"/>
    <s v="No"/>
    <n v="12"/>
    <n v="3"/>
    <n v="3"/>
    <n v="80"/>
    <n v="1"/>
    <n v="4"/>
    <n v="3"/>
    <n v="3"/>
    <x v="9"/>
    <n v="2"/>
    <n v="3"/>
    <n v="2"/>
    <x v="1"/>
    <x v="1"/>
    <s v="Active"/>
    <x v="4"/>
  </r>
  <r>
    <n v="39"/>
    <x v="1"/>
    <s v="Travel Frequently"/>
    <n v="1218"/>
    <x v="1"/>
    <n v="1"/>
    <n v="1"/>
    <s v="Life Sciences"/>
    <n v="1"/>
    <x v="400"/>
    <n v="2"/>
    <x v="1"/>
    <n v="52"/>
    <n v="3"/>
    <n v="5"/>
    <x v="5"/>
    <n v="3"/>
    <s v="Divorced"/>
    <n v="19197"/>
    <n v="8213"/>
    <n v="1"/>
    <s v="Y"/>
    <s v="Yes"/>
    <n v="14"/>
    <n v="3"/>
    <n v="3"/>
    <n v="80"/>
    <n v="1"/>
    <n v="21"/>
    <n v="3"/>
    <n v="3"/>
    <x v="17"/>
    <n v="8"/>
    <n v="1"/>
    <n v="6"/>
    <x v="1"/>
    <x v="2"/>
    <s v="Active"/>
    <x v="0"/>
  </r>
  <r>
    <n v="56"/>
    <x v="1"/>
    <s v="Travel Frequently"/>
    <n v="906"/>
    <x v="0"/>
    <n v="6"/>
    <n v="3"/>
    <s v="Life Sciences"/>
    <n v="1"/>
    <x v="401"/>
    <n v="3"/>
    <x v="0"/>
    <n v="86"/>
    <n v="4"/>
    <n v="4"/>
    <x v="0"/>
    <n v="1"/>
    <s v="Married"/>
    <n v="13212"/>
    <n v="18256"/>
    <n v="9"/>
    <s v="Y"/>
    <s v="No"/>
    <n v="11"/>
    <n v="3"/>
    <n v="4"/>
    <n v="80"/>
    <n v="3"/>
    <n v="36"/>
    <n v="0"/>
    <n v="2"/>
    <x v="5"/>
    <n v="7"/>
    <n v="7"/>
    <n v="7"/>
    <x v="0"/>
    <x v="2"/>
    <s v="Active"/>
    <x v="0"/>
  </r>
  <r>
    <n v="30"/>
    <x v="1"/>
    <s v="Travel Rarely"/>
    <n v="1082"/>
    <x v="0"/>
    <n v="12"/>
    <n v="3"/>
    <s v="Technical Degree"/>
    <n v="1"/>
    <x v="402"/>
    <n v="2"/>
    <x v="0"/>
    <n v="83"/>
    <n v="3"/>
    <n v="2"/>
    <x v="0"/>
    <n v="3"/>
    <s v="Single"/>
    <n v="6577"/>
    <n v="19558"/>
    <n v="0"/>
    <s v="Y"/>
    <s v="No"/>
    <n v="11"/>
    <n v="3"/>
    <n v="2"/>
    <n v="80"/>
    <n v="0"/>
    <n v="6"/>
    <n v="6"/>
    <n v="3"/>
    <x v="8"/>
    <n v="4"/>
    <n v="4"/>
    <n v="4"/>
    <x v="1"/>
    <x v="0"/>
    <s v="Active"/>
    <x v="3"/>
  </r>
  <r>
    <n v="41"/>
    <x v="1"/>
    <s v="Travel Rarely"/>
    <n v="645"/>
    <x v="0"/>
    <n v="1"/>
    <n v="3"/>
    <s v="Marketing"/>
    <n v="1"/>
    <x v="403"/>
    <n v="2"/>
    <x v="1"/>
    <n v="49"/>
    <n v="4"/>
    <n v="3"/>
    <x v="0"/>
    <n v="1"/>
    <s v="Married"/>
    <n v="8392"/>
    <n v="19566"/>
    <n v="1"/>
    <s v="Y"/>
    <s v="No"/>
    <n v="16"/>
    <n v="3"/>
    <n v="3"/>
    <n v="80"/>
    <n v="1"/>
    <n v="10"/>
    <n v="2"/>
    <n v="3"/>
    <x v="1"/>
    <n v="7"/>
    <n v="0"/>
    <n v="7"/>
    <x v="0"/>
    <x v="0"/>
    <s v="Active"/>
    <x v="0"/>
  </r>
  <r>
    <n v="28"/>
    <x v="1"/>
    <s v="Travel Rarely"/>
    <n v="1300"/>
    <x v="1"/>
    <n v="17"/>
    <n v="2"/>
    <s v="Medical"/>
    <n v="1"/>
    <x v="404"/>
    <n v="3"/>
    <x v="1"/>
    <n v="79"/>
    <n v="3"/>
    <n v="2"/>
    <x v="2"/>
    <n v="1"/>
    <s v="Divorced"/>
    <n v="4558"/>
    <n v="13535"/>
    <n v="1"/>
    <s v="Y"/>
    <s v="No"/>
    <n v="12"/>
    <n v="3"/>
    <n v="4"/>
    <n v="80"/>
    <n v="1"/>
    <n v="10"/>
    <n v="2"/>
    <n v="3"/>
    <x v="1"/>
    <n v="0"/>
    <n v="1"/>
    <n v="8"/>
    <x v="2"/>
    <x v="1"/>
    <s v="Active"/>
    <x v="0"/>
  </r>
  <r>
    <n v="25"/>
    <x v="0"/>
    <s v="Travel Rarely"/>
    <n v="688"/>
    <x v="1"/>
    <n v="3"/>
    <n v="3"/>
    <s v="Medical"/>
    <n v="1"/>
    <x v="405"/>
    <n v="1"/>
    <x v="1"/>
    <n v="91"/>
    <n v="3"/>
    <n v="1"/>
    <x v="2"/>
    <n v="1"/>
    <s v="Married"/>
    <n v="4031"/>
    <n v="9396"/>
    <n v="5"/>
    <s v="Y"/>
    <s v="No"/>
    <n v="13"/>
    <n v="3"/>
    <n v="3"/>
    <n v="80"/>
    <n v="1"/>
    <n v="6"/>
    <n v="5"/>
    <n v="3"/>
    <x v="4"/>
    <n v="2"/>
    <n v="0"/>
    <n v="2"/>
    <x v="2"/>
    <x v="1"/>
    <s v="Resigned"/>
    <x v="2"/>
  </r>
  <r>
    <n v="52"/>
    <x v="1"/>
    <s v="Travel Rarely"/>
    <n v="319"/>
    <x v="1"/>
    <n v="3"/>
    <n v="3"/>
    <s v="Medical"/>
    <n v="1"/>
    <x v="406"/>
    <n v="4"/>
    <x v="1"/>
    <n v="39"/>
    <n v="2"/>
    <n v="3"/>
    <x v="3"/>
    <n v="3"/>
    <s v="Married"/>
    <n v="7969"/>
    <n v="19609"/>
    <n v="2"/>
    <s v="Y"/>
    <s v="Yes"/>
    <n v="14"/>
    <n v="3"/>
    <n v="3"/>
    <n v="80"/>
    <n v="0"/>
    <n v="28"/>
    <n v="4"/>
    <n v="3"/>
    <x v="8"/>
    <n v="4"/>
    <n v="0"/>
    <n v="4"/>
    <x v="0"/>
    <x v="0"/>
    <s v="Active"/>
    <x v="3"/>
  </r>
  <r>
    <n v="45"/>
    <x v="1"/>
    <s v="Travel Rarely"/>
    <n v="192"/>
    <x v="1"/>
    <n v="10"/>
    <n v="2"/>
    <s v="Life Sciences"/>
    <n v="1"/>
    <x v="407"/>
    <n v="1"/>
    <x v="1"/>
    <n v="69"/>
    <n v="3"/>
    <n v="1"/>
    <x v="1"/>
    <n v="4"/>
    <s v="Married"/>
    <n v="2654"/>
    <n v="9655"/>
    <n v="3"/>
    <s v="Y"/>
    <s v="No"/>
    <n v="21"/>
    <n v="4"/>
    <n v="4"/>
    <n v="80"/>
    <n v="2"/>
    <n v="8"/>
    <n v="3"/>
    <n v="2"/>
    <x v="4"/>
    <n v="2"/>
    <n v="0"/>
    <n v="2"/>
    <x v="0"/>
    <x v="1"/>
    <s v="Active"/>
    <x v="2"/>
  </r>
  <r>
    <n v="52"/>
    <x v="1"/>
    <s v="Travel Rarely"/>
    <n v="1490"/>
    <x v="1"/>
    <n v="4"/>
    <n v="2"/>
    <s v="Life Sciences"/>
    <n v="1"/>
    <x v="408"/>
    <n v="4"/>
    <x v="0"/>
    <n v="30"/>
    <n v="3"/>
    <n v="4"/>
    <x v="5"/>
    <n v="4"/>
    <s v="Married"/>
    <n v="16555"/>
    <n v="10310"/>
    <n v="2"/>
    <s v="Y"/>
    <s v="No"/>
    <n v="13"/>
    <n v="3"/>
    <n v="4"/>
    <n v="80"/>
    <n v="0"/>
    <n v="31"/>
    <n v="2"/>
    <n v="1"/>
    <x v="8"/>
    <n v="2"/>
    <n v="1"/>
    <n v="4"/>
    <x v="0"/>
    <x v="2"/>
    <s v="Active"/>
    <x v="3"/>
  </r>
  <r>
    <n v="42"/>
    <x v="1"/>
    <s v="Travel Frequently"/>
    <n v="532"/>
    <x v="1"/>
    <n v="29"/>
    <n v="2"/>
    <s v="Life Sciences"/>
    <n v="1"/>
    <x v="409"/>
    <n v="1"/>
    <x v="0"/>
    <n v="92"/>
    <n v="3"/>
    <n v="2"/>
    <x v="1"/>
    <n v="3"/>
    <s v="Divorced"/>
    <n v="4556"/>
    <n v="12932"/>
    <n v="2"/>
    <s v="Y"/>
    <s v="No"/>
    <n v="11"/>
    <n v="3"/>
    <n v="2"/>
    <n v="80"/>
    <n v="1"/>
    <n v="19"/>
    <n v="3"/>
    <n v="3"/>
    <x v="8"/>
    <n v="4"/>
    <n v="0"/>
    <n v="2"/>
    <x v="0"/>
    <x v="1"/>
    <s v="Active"/>
    <x v="3"/>
  </r>
  <r>
    <n v="30"/>
    <x v="1"/>
    <s v="Travel Rarely"/>
    <n v="317"/>
    <x v="1"/>
    <n v="2"/>
    <n v="3"/>
    <s v="Life Sciences"/>
    <n v="1"/>
    <x v="410"/>
    <n v="3"/>
    <x v="0"/>
    <n v="43"/>
    <n v="1"/>
    <n v="2"/>
    <x v="3"/>
    <n v="4"/>
    <s v="Single"/>
    <n v="6091"/>
    <n v="24793"/>
    <n v="2"/>
    <s v="Y"/>
    <s v="No"/>
    <n v="20"/>
    <n v="4"/>
    <n v="3"/>
    <n v="80"/>
    <n v="0"/>
    <n v="11"/>
    <n v="2"/>
    <n v="3"/>
    <x v="8"/>
    <n v="4"/>
    <n v="0"/>
    <n v="2"/>
    <x v="1"/>
    <x v="0"/>
    <s v="Active"/>
    <x v="3"/>
  </r>
  <r>
    <n v="60"/>
    <x v="1"/>
    <s v="Travel Rarely"/>
    <n v="422"/>
    <x v="1"/>
    <n v="7"/>
    <n v="3"/>
    <s v="Life Sciences"/>
    <n v="1"/>
    <x v="411"/>
    <n v="1"/>
    <x v="0"/>
    <n v="41"/>
    <n v="3"/>
    <n v="5"/>
    <x v="5"/>
    <n v="1"/>
    <s v="Married"/>
    <n v="19566"/>
    <n v="3854"/>
    <n v="5"/>
    <s v="Y"/>
    <s v="No"/>
    <n v="11"/>
    <n v="3"/>
    <n v="4"/>
    <n v="80"/>
    <n v="0"/>
    <n v="33"/>
    <n v="5"/>
    <n v="1"/>
    <x v="30"/>
    <n v="8"/>
    <n v="11"/>
    <n v="10"/>
    <x v="0"/>
    <x v="2"/>
    <s v="Active"/>
    <x v="0"/>
  </r>
  <r>
    <n v="46"/>
    <x v="1"/>
    <s v="Travel Rarely"/>
    <n v="1485"/>
    <x v="1"/>
    <n v="18"/>
    <n v="3"/>
    <s v="Medical"/>
    <n v="1"/>
    <x v="412"/>
    <n v="3"/>
    <x v="0"/>
    <n v="87"/>
    <n v="3"/>
    <n v="2"/>
    <x v="3"/>
    <n v="3"/>
    <s v="Divorced"/>
    <n v="4810"/>
    <n v="26314"/>
    <n v="2"/>
    <s v="Y"/>
    <s v="No"/>
    <n v="14"/>
    <n v="3"/>
    <n v="3"/>
    <n v="80"/>
    <n v="1"/>
    <n v="19"/>
    <n v="5"/>
    <n v="2"/>
    <x v="1"/>
    <n v="7"/>
    <n v="0"/>
    <n v="8"/>
    <x v="0"/>
    <x v="1"/>
    <s v="Active"/>
    <x v="0"/>
  </r>
  <r>
    <n v="42"/>
    <x v="1"/>
    <s v="Travel Frequently"/>
    <n v="1368"/>
    <x v="1"/>
    <n v="28"/>
    <n v="4"/>
    <s v="Technical Degree"/>
    <n v="1"/>
    <x v="413"/>
    <n v="4"/>
    <x v="0"/>
    <n v="88"/>
    <n v="2"/>
    <n v="2"/>
    <x v="4"/>
    <n v="4"/>
    <s v="Married"/>
    <n v="4523"/>
    <n v="4386"/>
    <n v="0"/>
    <s v="Y"/>
    <s v="No"/>
    <n v="11"/>
    <n v="3"/>
    <n v="4"/>
    <n v="80"/>
    <n v="3"/>
    <n v="7"/>
    <n v="4"/>
    <n v="4"/>
    <x v="0"/>
    <n v="5"/>
    <n v="0"/>
    <n v="4"/>
    <x v="0"/>
    <x v="1"/>
    <s v="Active"/>
    <x v="0"/>
  </r>
  <r>
    <n v="24"/>
    <x v="0"/>
    <s v="Travel Rarely"/>
    <n v="1448"/>
    <x v="0"/>
    <n v="1"/>
    <n v="1"/>
    <s v="Technical Degree"/>
    <n v="1"/>
    <x v="414"/>
    <n v="1"/>
    <x v="0"/>
    <n v="62"/>
    <n v="3"/>
    <n v="1"/>
    <x v="6"/>
    <n v="2"/>
    <s v="Single"/>
    <n v="3202"/>
    <n v="21972"/>
    <n v="1"/>
    <s v="Y"/>
    <s v="Yes"/>
    <n v="16"/>
    <n v="3"/>
    <n v="2"/>
    <n v="80"/>
    <n v="0"/>
    <n v="6"/>
    <n v="4"/>
    <n v="3"/>
    <x v="8"/>
    <n v="3"/>
    <n v="1"/>
    <n v="4"/>
    <x v="2"/>
    <x v="1"/>
    <s v="Resigned"/>
    <x v="3"/>
  </r>
  <r>
    <n v="34"/>
    <x v="0"/>
    <s v="Travel Frequently"/>
    <n v="296"/>
    <x v="0"/>
    <n v="6"/>
    <n v="2"/>
    <s v="Marketing"/>
    <n v="1"/>
    <x v="415"/>
    <n v="4"/>
    <x v="0"/>
    <n v="33"/>
    <n v="1"/>
    <n v="1"/>
    <x v="6"/>
    <n v="3"/>
    <s v="Divorced"/>
    <n v="2351"/>
    <n v="12253"/>
    <n v="0"/>
    <s v="Y"/>
    <s v="No"/>
    <n v="16"/>
    <n v="3"/>
    <n v="4"/>
    <n v="80"/>
    <n v="1"/>
    <n v="3"/>
    <n v="3"/>
    <n v="2"/>
    <x v="4"/>
    <n v="2"/>
    <n v="1"/>
    <n v="0"/>
    <x v="1"/>
    <x v="1"/>
    <s v="Resigned"/>
    <x v="2"/>
  </r>
  <r>
    <n v="38"/>
    <x v="1"/>
    <s v="Travel Frequently"/>
    <n v="1490"/>
    <x v="1"/>
    <n v="2"/>
    <n v="2"/>
    <s v="Life Sciences"/>
    <n v="1"/>
    <x v="416"/>
    <n v="4"/>
    <x v="1"/>
    <n v="42"/>
    <n v="3"/>
    <n v="1"/>
    <x v="2"/>
    <n v="4"/>
    <s v="Married"/>
    <n v="1702"/>
    <n v="12106"/>
    <n v="1"/>
    <s v="Y"/>
    <s v="Yes"/>
    <n v="23"/>
    <n v="4"/>
    <n v="3"/>
    <n v="80"/>
    <n v="1"/>
    <n v="1"/>
    <n v="3"/>
    <n v="3"/>
    <x v="6"/>
    <n v="0"/>
    <n v="0"/>
    <n v="0"/>
    <x v="1"/>
    <x v="1"/>
    <s v="Active"/>
    <x v="1"/>
  </r>
  <r>
    <n v="40"/>
    <x v="1"/>
    <s v="Travel Rarely"/>
    <n v="1398"/>
    <x v="0"/>
    <n v="2"/>
    <n v="4"/>
    <s v="Life Sciences"/>
    <n v="1"/>
    <x v="417"/>
    <n v="3"/>
    <x v="0"/>
    <n v="79"/>
    <n v="3"/>
    <n v="5"/>
    <x v="5"/>
    <n v="3"/>
    <s v="Married"/>
    <n v="18041"/>
    <n v="13022"/>
    <n v="0"/>
    <s v="Y"/>
    <s v="No"/>
    <n v="14"/>
    <n v="3"/>
    <n v="4"/>
    <n v="80"/>
    <n v="0"/>
    <n v="21"/>
    <n v="2"/>
    <n v="3"/>
    <x v="23"/>
    <n v="15"/>
    <n v="1"/>
    <n v="12"/>
    <x v="1"/>
    <x v="2"/>
    <s v="Active"/>
    <x v="0"/>
  </r>
  <r>
    <n v="26"/>
    <x v="1"/>
    <s v="Travel Rarely"/>
    <n v="1349"/>
    <x v="1"/>
    <n v="23"/>
    <n v="3"/>
    <s v="Life Sciences"/>
    <n v="1"/>
    <x v="418"/>
    <n v="1"/>
    <x v="0"/>
    <n v="90"/>
    <n v="3"/>
    <n v="1"/>
    <x v="1"/>
    <n v="4"/>
    <s v="Divorced"/>
    <n v="2886"/>
    <n v="3032"/>
    <n v="1"/>
    <s v="Y"/>
    <s v="No"/>
    <n v="22"/>
    <n v="4"/>
    <n v="2"/>
    <n v="80"/>
    <n v="2"/>
    <n v="3"/>
    <n v="3"/>
    <n v="1"/>
    <x v="11"/>
    <n v="2"/>
    <n v="0"/>
    <n v="2"/>
    <x v="2"/>
    <x v="1"/>
    <s v="Active"/>
    <x v="5"/>
  </r>
  <r>
    <n v="30"/>
    <x v="1"/>
    <s v="Non Travel"/>
    <n v="1400"/>
    <x v="1"/>
    <n v="3"/>
    <n v="3"/>
    <s v="Life Sciences"/>
    <n v="1"/>
    <x v="419"/>
    <n v="3"/>
    <x v="1"/>
    <n v="53"/>
    <n v="3"/>
    <n v="1"/>
    <x v="2"/>
    <n v="4"/>
    <s v="Married"/>
    <n v="2097"/>
    <n v="16734"/>
    <n v="4"/>
    <s v="Y"/>
    <s v="No"/>
    <n v="15"/>
    <n v="3"/>
    <n v="3"/>
    <n v="80"/>
    <n v="1"/>
    <n v="9"/>
    <n v="3"/>
    <n v="1"/>
    <x v="8"/>
    <n v="3"/>
    <n v="1"/>
    <n v="4"/>
    <x v="1"/>
    <x v="1"/>
    <s v="Active"/>
    <x v="3"/>
  </r>
  <r>
    <n v="29"/>
    <x v="1"/>
    <s v="Travel Rarely"/>
    <n v="986"/>
    <x v="1"/>
    <n v="3"/>
    <n v="4"/>
    <s v="Medical"/>
    <n v="1"/>
    <x v="420"/>
    <n v="2"/>
    <x v="1"/>
    <n v="93"/>
    <n v="2"/>
    <n v="3"/>
    <x v="7"/>
    <n v="3"/>
    <s v="Married"/>
    <n v="11935"/>
    <n v="21526"/>
    <n v="1"/>
    <s v="Y"/>
    <s v="No"/>
    <n v="18"/>
    <n v="3"/>
    <n v="3"/>
    <n v="80"/>
    <n v="0"/>
    <n v="10"/>
    <n v="2"/>
    <n v="3"/>
    <x v="1"/>
    <n v="2"/>
    <n v="0"/>
    <n v="7"/>
    <x v="2"/>
    <x v="2"/>
    <s v="Active"/>
    <x v="0"/>
  </r>
  <r>
    <n v="29"/>
    <x v="0"/>
    <s v="Travel Rarely"/>
    <n v="408"/>
    <x v="1"/>
    <n v="25"/>
    <n v="5"/>
    <s v="Technical Degree"/>
    <n v="1"/>
    <x v="421"/>
    <n v="3"/>
    <x v="0"/>
    <n v="71"/>
    <n v="2"/>
    <n v="1"/>
    <x v="1"/>
    <n v="2"/>
    <s v="Married"/>
    <n v="2546"/>
    <n v="18300"/>
    <n v="5"/>
    <s v="Y"/>
    <s v="No"/>
    <n v="16"/>
    <n v="3"/>
    <n v="2"/>
    <n v="80"/>
    <n v="0"/>
    <n v="6"/>
    <n v="2"/>
    <n v="4"/>
    <x v="4"/>
    <n v="2"/>
    <n v="1"/>
    <n v="1"/>
    <x v="2"/>
    <x v="1"/>
    <s v="Resigned"/>
    <x v="2"/>
  </r>
  <r>
    <n v="19"/>
    <x v="0"/>
    <s v="Travel Rarely"/>
    <n v="489"/>
    <x v="2"/>
    <n v="2"/>
    <n v="2"/>
    <s v="Technical Degree"/>
    <n v="1"/>
    <x v="422"/>
    <n v="1"/>
    <x v="1"/>
    <n v="52"/>
    <n v="2"/>
    <n v="1"/>
    <x v="8"/>
    <n v="4"/>
    <s v="Single"/>
    <n v="2564"/>
    <n v="18437"/>
    <n v="1"/>
    <s v="Y"/>
    <s v="No"/>
    <n v="12"/>
    <n v="3"/>
    <n v="3"/>
    <n v="80"/>
    <n v="0"/>
    <n v="1"/>
    <n v="3"/>
    <n v="4"/>
    <x v="6"/>
    <n v="0"/>
    <n v="0"/>
    <n v="0"/>
    <x v="2"/>
    <x v="1"/>
    <s v="Resigned"/>
    <x v="1"/>
  </r>
  <r>
    <n v="30"/>
    <x v="1"/>
    <s v="Non Travel"/>
    <n v="1398"/>
    <x v="0"/>
    <n v="22"/>
    <n v="4"/>
    <s v="Other"/>
    <n v="1"/>
    <x v="423"/>
    <n v="3"/>
    <x v="0"/>
    <n v="69"/>
    <n v="3"/>
    <n v="3"/>
    <x v="0"/>
    <n v="1"/>
    <s v="Married"/>
    <n v="8412"/>
    <n v="2890"/>
    <n v="0"/>
    <s v="Y"/>
    <s v="No"/>
    <n v="11"/>
    <n v="3"/>
    <n v="3"/>
    <n v="80"/>
    <n v="0"/>
    <n v="10"/>
    <n v="3"/>
    <n v="3"/>
    <x v="7"/>
    <n v="8"/>
    <n v="7"/>
    <n v="8"/>
    <x v="1"/>
    <x v="0"/>
    <s v="Active"/>
    <x v="0"/>
  </r>
  <r>
    <n v="57"/>
    <x v="1"/>
    <s v="Travel Rarely"/>
    <n v="210"/>
    <x v="0"/>
    <n v="29"/>
    <n v="3"/>
    <s v="Marketing"/>
    <n v="1"/>
    <x v="424"/>
    <n v="1"/>
    <x v="1"/>
    <n v="56"/>
    <n v="2"/>
    <n v="4"/>
    <x v="5"/>
    <n v="4"/>
    <s v="Divorced"/>
    <n v="14118"/>
    <n v="22102"/>
    <n v="3"/>
    <s v="Y"/>
    <s v="No"/>
    <n v="12"/>
    <n v="3"/>
    <n v="3"/>
    <n v="80"/>
    <n v="1"/>
    <n v="32"/>
    <n v="3"/>
    <n v="2"/>
    <x v="6"/>
    <n v="0"/>
    <n v="0"/>
    <n v="0"/>
    <x v="0"/>
    <x v="2"/>
    <s v="Active"/>
    <x v="1"/>
  </r>
  <r>
    <n v="50"/>
    <x v="1"/>
    <s v="Travel Rarely"/>
    <n v="1099"/>
    <x v="1"/>
    <n v="29"/>
    <n v="4"/>
    <s v="Life Sciences"/>
    <n v="1"/>
    <x v="425"/>
    <n v="2"/>
    <x v="1"/>
    <n v="88"/>
    <n v="2"/>
    <n v="4"/>
    <x v="5"/>
    <n v="3"/>
    <s v="Married"/>
    <n v="17046"/>
    <n v="9314"/>
    <n v="0"/>
    <s v="Y"/>
    <s v="No"/>
    <n v="15"/>
    <n v="3"/>
    <n v="2"/>
    <n v="80"/>
    <n v="1"/>
    <n v="28"/>
    <n v="2"/>
    <n v="3"/>
    <x v="16"/>
    <n v="10"/>
    <n v="15"/>
    <n v="7"/>
    <x v="0"/>
    <x v="2"/>
    <s v="Active"/>
    <x v="0"/>
  </r>
  <r>
    <n v="30"/>
    <x v="1"/>
    <s v="Non Travel"/>
    <n v="1116"/>
    <x v="1"/>
    <n v="2"/>
    <n v="3"/>
    <s v="Medical"/>
    <n v="1"/>
    <x v="426"/>
    <n v="3"/>
    <x v="0"/>
    <n v="49"/>
    <n v="3"/>
    <n v="1"/>
    <x v="2"/>
    <n v="4"/>
    <s v="Single"/>
    <n v="2564"/>
    <n v="7181"/>
    <n v="0"/>
    <s v="Y"/>
    <s v="No"/>
    <n v="14"/>
    <n v="3"/>
    <n v="3"/>
    <n v="80"/>
    <n v="0"/>
    <n v="12"/>
    <n v="2"/>
    <n v="2"/>
    <x v="19"/>
    <n v="7"/>
    <n v="6"/>
    <n v="7"/>
    <x v="1"/>
    <x v="1"/>
    <s v="Active"/>
    <x v="0"/>
  </r>
  <r>
    <n v="60"/>
    <x v="1"/>
    <s v="Travel Frequently"/>
    <n v="1499"/>
    <x v="0"/>
    <n v="28"/>
    <n v="3"/>
    <s v="Marketing"/>
    <n v="1"/>
    <x v="427"/>
    <n v="3"/>
    <x v="0"/>
    <n v="80"/>
    <n v="2"/>
    <n v="3"/>
    <x v="0"/>
    <n v="1"/>
    <s v="Married"/>
    <n v="10266"/>
    <n v="2845"/>
    <n v="4"/>
    <s v="Y"/>
    <s v="No"/>
    <n v="19"/>
    <n v="3"/>
    <n v="4"/>
    <n v="80"/>
    <n v="0"/>
    <n v="22"/>
    <n v="5"/>
    <n v="4"/>
    <x v="29"/>
    <n v="13"/>
    <n v="13"/>
    <n v="11"/>
    <x v="0"/>
    <x v="2"/>
    <s v="Active"/>
    <x v="0"/>
  </r>
  <r>
    <n v="47"/>
    <x v="1"/>
    <s v="Travel Rarely"/>
    <n v="983"/>
    <x v="1"/>
    <n v="2"/>
    <n v="2"/>
    <s v="Medical"/>
    <n v="1"/>
    <x v="428"/>
    <n v="1"/>
    <x v="0"/>
    <n v="65"/>
    <n v="3"/>
    <n v="2"/>
    <x v="3"/>
    <n v="4"/>
    <s v="Divorced"/>
    <n v="5070"/>
    <n v="7389"/>
    <n v="5"/>
    <s v="Y"/>
    <s v="No"/>
    <n v="13"/>
    <n v="3"/>
    <n v="3"/>
    <n v="80"/>
    <n v="3"/>
    <n v="20"/>
    <n v="2"/>
    <n v="3"/>
    <x v="8"/>
    <n v="0"/>
    <n v="0"/>
    <n v="4"/>
    <x v="0"/>
    <x v="0"/>
    <s v="Active"/>
    <x v="3"/>
  </r>
  <r>
    <n v="46"/>
    <x v="1"/>
    <s v="Travel Rarely"/>
    <n v="1009"/>
    <x v="1"/>
    <n v="2"/>
    <n v="3"/>
    <s v="Life Sciences"/>
    <n v="1"/>
    <x v="429"/>
    <n v="1"/>
    <x v="1"/>
    <n v="51"/>
    <n v="3"/>
    <n v="4"/>
    <x v="7"/>
    <n v="3"/>
    <s v="Married"/>
    <n v="17861"/>
    <n v="2288"/>
    <n v="6"/>
    <s v="Y"/>
    <s v="No"/>
    <n v="13"/>
    <n v="3"/>
    <n v="3"/>
    <n v="80"/>
    <n v="0"/>
    <n v="26"/>
    <n v="2"/>
    <n v="1"/>
    <x v="11"/>
    <n v="2"/>
    <n v="0"/>
    <n v="1"/>
    <x v="0"/>
    <x v="2"/>
    <s v="Active"/>
    <x v="5"/>
  </r>
  <r>
    <n v="35"/>
    <x v="1"/>
    <s v="Travel Rarely"/>
    <n v="144"/>
    <x v="1"/>
    <n v="22"/>
    <n v="3"/>
    <s v="Life Sciences"/>
    <n v="1"/>
    <x v="430"/>
    <n v="4"/>
    <x v="1"/>
    <n v="46"/>
    <n v="1"/>
    <n v="1"/>
    <x v="2"/>
    <n v="3"/>
    <s v="Single"/>
    <n v="4230"/>
    <n v="19225"/>
    <n v="0"/>
    <s v="Y"/>
    <s v="No"/>
    <n v="15"/>
    <n v="3"/>
    <n v="3"/>
    <n v="80"/>
    <n v="0"/>
    <n v="6"/>
    <n v="2"/>
    <n v="3"/>
    <x v="8"/>
    <n v="4"/>
    <n v="4"/>
    <n v="3"/>
    <x v="1"/>
    <x v="1"/>
    <s v="Active"/>
    <x v="3"/>
  </r>
  <r>
    <n v="54"/>
    <x v="1"/>
    <s v="Travel Rarely"/>
    <n v="548"/>
    <x v="1"/>
    <n v="8"/>
    <n v="4"/>
    <s v="Life Sciences"/>
    <n v="1"/>
    <x v="431"/>
    <n v="3"/>
    <x v="0"/>
    <n v="42"/>
    <n v="3"/>
    <n v="2"/>
    <x v="2"/>
    <n v="3"/>
    <s v="Single"/>
    <n v="3780"/>
    <n v="23428"/>
    <n v="7"/>
    <s v="Y"/>
    <s v="No"/>
    <n v="11"/>
    <n v="3"/>
    <n v="3"/>
    <n v="80"/>
    <n v="0"/>
    <n v="19"/>
    <n v="3"/>
    <n v="3"/>
    <x v="6"/>
    <n v="0"/>
    <n v="0"/>
    <n v="0"/>
    <x v="0"/>
    <x v="1"/>
    <s v="Active"/>
    <x v="1"/>
  </r>
  <r>
    <n v="34"/>
    <x v="1"/>
    <s v="Travel Rarely"/>
    <n v="1303"/>
    <x v="1"/>
    <n v="2"/>
    <n v="4"/>
    <s v="Life Sciences"/>
    <n v="1"/>
    <x v="432"/>
    <n v="4"/>
    <x v="1"/>
    <n v="62"/>
    <n v="2"/>
    <n v="1"/>
    <x v="1"/>
    <n v="3"/>
    <s v="Divorced"/>
    <n v="2768"/>
    <n v="8416"/>
    <n v="3"/>
    <s v="Y"/>
    <s v="No"/>
    <n v="12"/>
    <n v="3"/>
    <n v="3"/>
    <n v="80"/>
    <n v="1"/>
    <n v="14"/>
    <n v="3"/>
    <n v="3"/>
    <x v="5"/>
    <n v="3"/>
    <n v="5"/>
    <n v="7"/>
    <x v="1"/>
    <x v="1"/>
    <s v="Active"/>
    <x v="0"/>
  </r>
  <r>
    <n v="46"/>
    <x v="1"/>
    <s v="Travel Rarely"/>
    <n v="1125"/>
    <x v="0"/>
    <n v="10"/>
    <n v="3"/>
    <s v="Marketing"/>
    <n v="1"/>
    <x v="433"/>
    <n v="3"/>
    <x v="0"/>
    <n v="94"/>
    <n v="2"/>
    <n v="3"/>
    <x v="0"/>
    <n v="4"/>
    <s v="Married"/>
    <n v="9071"/>
    <n v="11563"/>
    <n v="2"/>
    <s v="Y"/>
    <s v="Yes"/>
    <n v="19"/>
    <n v="3"/>
    <n v="3"/>
    <n v="80"/>
    <n v="1"/>
    <n v="15"/>
    <n v="3"/>
    <n v="3"/>
    <x v="11"/>
    <n v="2"/>
    <n v="1"/>
    <n v="2"/>
    <x v="0"/>
    <x v="0"/>
    <s v="Active"/>
    <x v="5"/>
  </r>
  <r>
    <n v="31"/>
    <x v="1"/>
    <s v="Travel Rarely"/>
    <n v="1274"/>
    <x v="1"/>
    <n v="9"/>
    <n v="1"/>
    <s v="Life Sciences"/>
    <n v="1"/>
    <x v="434"/>
    <n v="3"/>
    <x v="1"/>
    <n v="33"/>
    <n v="3"/>
    <n v="3"/>
    <x v="3"/>
    <n v="2"/>
    <s v="Divorced"/>
    <n v="10648"/>
    <n v="14394"/>
    <n v="1"/>
    <s v="Y"/>
    <s v="No"/>
    <n v="25"/>
    <n v="4"/>
    <n v="4"/>
    <n v="80"/>
    <n v="1"/>
    <n v="13"/>
    <n v="6"/>
    <n v="4"/>
    <x v="20"/>
    <n v="8"/>
    <n v="0"/>
    <n v="8"/>
    <x v="1"/>
    <x v="2"/>
    <s v="Active"/>
    <x v="0"/>
  </r>
  <r>
    <n v="33"/>
    <x v="0"/>
    <s v="Travel Rarely"/>
    <n v="1277"/>
    <x v="1"/>
    <n v="15"/>
    <n v="1"/>
    <s v="Medical"/>
    <n v="1"/>
    <x v="435"/>
    <n v="2"/>
    <x v="1"/>
    <n v="56"/>
    <n v="3"/>
    <n v="3"/>
    <x v="5"/>
    <n v="3"/>
    <s v="Married"/>
    <n v="13610"/>
    <n v="24619"/>
    <n v="7"/>
    <s v="Y"/>
    <s v="Yes"/>
    <n v="12"/>
    <n v="3"/>
    <n v="4"/>
    <n v="80"/>
    <n v="0"/>
    <n v="15"/>
    <n v="2"/>
    <n v="4"/>
    <x v="5"/>
    <n v="6"/>
    <n v="7"/>
    <n v="7"/>
    <x v="1"/>
    <x v="2"/>
    <s v="Resigned"/>
    <x v="0"/>
  </r>
  <r>
    <n v="33"/>
    <x v="0"/>
    <s v="Travel Rarely"/>
    <n v="587"/>
    <x v="1"/>
    <n v="10"/>
    <n v="1"/>
    <s v="Medical"/>
    <n v="1"/>
    <x v="436"/>
    <n v="1"/>
    <x v="1"/>
    <n v="38"/>
    <n v="1"/>
    <n v="1"/>
    <x v="2"/>
    <n v="4"/>
    <s v="Divorced"/>
    <n v="3408"/>
    <n v="6705"/>
    <n v="7"/>
    <s v="Y"/>
    <s v="No"/>
    <n v="13"/>
    <n v="3"/>
    <n v="1"/>
    <n v="80"/>
    <n v="3"/>
    <n v="8"/>
    <n v="2"/>
    <n v="3"/>
    <x v="9"/>
    <n v="3"/>
    <n v="1"/>
    <n v="3"/>
    <x v="1"/>
    <x v="1"/>
    <s v="Resigned"/>
    <x v="4"/>
  </r>
  <r>
    <n v="30"/>
    <x v="1"/>
    <s v="Travel Rarely"/>
    <n v="413"/>
    <x v="0"/>
    <n v="7"/>
    <n v="1"/>
    <s v="Marketing"/>
    <n v="1"/>
    <x v="437"/>
    <n v="4"/>
    <x v="1"/>
    <n v="57"/>
    <n v="3"/>
    <n v="1"/>
    <x v="6"/>
    <n v="2"/>
    <s v="Single"/>
    <n v="2983"/>
    <n v="18398"/>
    <n v="0"/>
    <s v="Y"/>
    <s v="No"/>
    <n v="14"/>
    <n v="3"/>
    <n v="1"/>
    <n v="80"/>
    <n v="0"/>
    <n v="4"/>
    <n v="3"/>
    <n v="3"/>
    <x v="11"/>
    <n v="2"/>
    <n v="1"/>
    <n v="2"/>
    <x v="1"/>
    <x v="1"/>
    <s v="Active"/>
    <x v="5"/>
  </r>
  <r>
    <n v="35"/>
    <x v="1"/>
    <s v="Travel Rarely"/>
    <n v="1276"/>
    <x v="1"/>
    <n v="16"/>
    <n v="3"/>
    <s v="Life Sciences"/>
    <n v="1"/>
    <x v="438"/>
    <n v="4"/>
    <x v="1"/>
    <n v="72"/>
    <n v="3"/>
    <n v="3"/>
    <x v="4"/>
    <n v="3"/>
    <s v="Married"/>
    <n v="7632"/>
    <n v="14295"/>
    <n v="4"/>
    <s v="Y"/>
    <s v="Yes"/>
    <n v="12"/>
    <n v="3"/>
    <n v="3"/>
    <n v="80"/>
    <n v="0"/>
    <n v="10"/>
    <n v="2"/>
    <n v="3"/>
    <x v="3"/>
    <n v="7"/>
    <n v="0"/>
    <n v="0"/>
    <x v="1"/>
    <x v="0"/>
    <s v="Active"/>
    <x v="0"/>
  </r>
  <r>
    <n v="31"/>
    <x v="0"/>
    <s v="Travel Frequently"/>
    <n v="534"/>
    <x v="1"/>
    <n v="20"/>
    <n v="3"/>
    <s v="Life Sciences"/>
    <n v="1"/>
    <x v="439"/>
    <n v="1"/>
    <x v="1"/>
    <n v="66"/>
    <n v="3"/>
    <n v="3"/>
    <x v="4"/>
    <n v="3"/>
    <s v="Married"/>
    <n v="9824"/>
    <n v="22908"/>
    <n v="3"/>
    <s v="Y"/>
    <s v="No"/>
    <n v="12"/>
    <n v="3"/>
    <n v="1"/>
    <n v="80"/>
    <n v="0"/>
    <n v="12"/>
    <n v="2"/>
    <n v="3"/>
    <x v="6"/>
    <n v="0"/>
    <n v="0"/>
    <n v="0"/>
    <x v="1"/>
    <x v="0"/>
    <s v="Resigned"/>
    <x v="1"/>
  </r>
  <r>
    <n v="34"/>
    <x v="0"/>
    <s v="Travel Frequently"/>
    <n v="988"/>
    <x v="2"/>
    <n v="23"/>
    <n v="3"/>
    <s v="Human Resources"/>
    <n v="1"/>
    <x v="440"/>
    <n v="2"/>
    <x v="0"/>
    <n v="43"/>
    <n v="3"/>
    <n v="3"/>
    <x v="8"/>
    <n v="1"/>
    <s v="Divorced"/>
    <n v="9950"/>
    <n v="11533"/>
    <n v="9"/>
    <s v="Y"/>
    <s v="Yes"/>
    <n v="15"/>
    <n v="3"/>
    <n v="3"/>
    <n v="80"/>
    <n v="3"/>
    <n v="11"/>
    <n v="2"/>
    <n v="3"/>
    <x v="11"/>
    <n v="2"/>
    <n v="0"/>
    <n v="2"/>
    <x v="1"/>
    <x v="0"/>
    <s v="Resigned"/>
    <x v="5"/>
  </r>
  <r>
    <n v="42"/>
    <x v="1"/>
    <s v="Travel Frequently"/>
    <n v="1474"/>
    <x v="1"/>
    <n v="5"/>
    <n v="2"/>
    <s v="Other"/>
    <n v="1"/>
    <x v="441"/>
    <n v="2"/>
    <x v="1"/>
    <n v="97"/>
    <n v="3"/>
    <n v="1"/>
    <x v="2"/>
    <n v="3"/>
    <s v="Married"/>
    <n v="2093"/>
    <n v="9260"/>
    <n v="4"/>
    <s v="Y"/>
    <s v="No"/>
    <n v="17"/>
    <n v="3"/>
    <n v="4"/>
    <n v="80"/>
    <n v="1"/>
    <n v="8"/>
    <n v="4"/>
    <n v="3"/>
    <x v="4"/>
    <n v="2"/>
    <n v="2"/>
    <n v="0"/>
    <x v="0"/>
    <x v="1"/>
    <s v="Active"/>
    <x v="2"/>
  </r>
  <r>
    <n v="36"/>
    <x v="1"/>
    <s v="Non Travel"/>
    <n v="635"/>
    <x v="0"/>
    <n v="10"/>
    <n v="4"/>
    <s v="Medical"/>
    <n v="1"/>
    <x v="442"/>
    <n v="2"/>
    <x v="1"/>
    <n v="32"/>
    <n v="3"/>
    <n v="3"/>
    <x v="0"/>
    <n v="4"/>
    <s v="Single"/>
    <n v="9980"/>
    <n v="15318"/>
    <n v="1"/>
    <s v="Y"/>
    <s v="No"/>
    <n v="14"/>
    <n v="3"/>
    <n v="4"/>
    <n v="80"/>
    <n v="0"/>
    <n v="10"/>
    <n v="3"/>
    <n v="2"/>
    <x v="1"/>
    <n v="3"/>
    <n v="9"/>
    <n v="7"/>
    <x v="1"/>
    <x v="0"/>
    <s v="Active"/>
    <x v="0"/>
  </r>
  <r>
    <n v="22"/>
    <x v="0"/>
    <s v="Travel Frequently"/>
    <n v="1368"/>
    <x v="1"/>
    <n v="4"/>
    <n v="1"/>
    <s v="Technical Degree"/>
    <n v="1"/>
    <x v="443"/>
    <n v="3"/>
    <x v="1"/>
    <n v="99"/>
    <n v="2"/>
    <n v="1"/>
    <x v="2"/>
    <n v="3"/>
    <s v="Single"/>
    <n v="3894"/>
    <n v="9129"/>
    <n v="5"/>
    <s v="Y"/>
    <s v="No"/>
    <n v="16"/>
    <n v="3"/>
    <n v="3"/>
    <n v="80"/>
    <n v="0"/>
    <n v="4"/>
    <n v="3"/>
    <n v="3"/>
    <x v="4"/>
    <n v="2"/>
    <n v="1"/>
    <n v="2"/>
    <x v="2"/>
    <x v="1"/>
    <s v="Resigned"/>
    <x v="2"/>
  </r>
  <r>
    <n v="48"/>
    <x v="1"/>
    <s v="Travel Rarely"/>
    <n v="163"/>
    <x v="0"/>
    <n v="2"/>
    <n v="5"/>
    <s v="Marketing"/>
    <n v="1"/>
    <x v="444"/>
    <n v="2"/>
    <x v="0"/>
    <n v="37"/>
    <n v="3"/>
    <n v="2"/>
    <x v="0"/>
    <n v="4"/>
    <s v="Married"/>
    <n v="4051"/>
    <n v="19658"/>
    <n v="2"/>
    <s v="Y"/>
    <s v="No"/>
    <n v="14"/>
    <n v="3"/>
    <n v="1"/>
    <n v="80"/>
    <n v="1"/>
    <n v="14"/>
    <n v="2"/>
    <n v="3"/>
    <x v="7"/>
    <n v="7"/>
    <n v="6"/>
    <n v="7"/>
    <x v="0"/>
    <x v="1"/>
    <s v="Active"/>
    <x v="0"/>
  </r>
  <r>
    <n v="55"/>
    <x v="1"/>
    <s v="Travel Rarely"/>
    <n v="1117"/>
    <x v="0"/>
    <n v="18"/>
    <n v="5"/>
    <s v="Life Sciences"/>
    <n v="1"/>
    <x v="445"/>
    <n v="1"/>
    <x v="0"/>
    <n v="83"/>
    <n v="3"/>
    <n v="4"/>
    <x v="5"/>
    <n v="2"/>
    <s v="Single"/>
    <n v="16835"/>
    <n v="9873"/>
    <n v="3"/>
    <s v="Y"/>
    <s v="No"/>
    <n v="23"/>
    <n v="4"/>
    <n v="4"/>
    <n v="80"/>
    <n v="0"/>
    <n v="37"/>
    <n v="2"/>
    <n v="3"/>
    <x v="1"/>
    <n v="9"/>
    <n v="7"/>
    <n v="7"/>
    <x v="0"/>
    <x v="2"/>
    <s v="Active"/>
    <x v="0"/>
  </r>
  <r>
    <n v="41"/>
    <x v="1"/>
    <s v="Non Travel"/>
    <n v="267"/>
    <x v="0"/>
    <n v="10"/>
    <n v="2"/>
    <s v="Life Sciences"/>
    <n v="1"/>
    <x v="446"/>
    <n v="4"/>
    <x v="1"/>
    <n v="56"/>
    <n v="3"/>
    <n v="2"/>
    <x v="0"/>
    <n v="4"/>
    <s v="Single"/>
    <n v="6230"/>
    <n v="13430"/>
    <n v="7"/>
    <s v="Y"/>
    <s v="No"/>
    <n v="14"/>
    <n v="3"/>
    <n v="4"/>
    <n v="80"/>
    <n v="0"/>
    <n v="16"/>
    <n v="3"/>
    <n v="3"/>
    <x v="13"/>
    <n v="3"/>
    <n v="1"/>
    <n v="10"/>
    <x v="0"/>
    <x v="0"/>
    <s v="Active"/>
    <x v="0"/>
  </r>
  <r>
    <n v="35"/>
    <x v="1"/>
    <s v="Travel Rarely"/>
    <n v="619"/>
    <x v="0"/>
    <n v="1"/>
    <n v="3"/>
    <s v="Marketing"/>
    <n v="1"/>
    <x v="447"/>
    <n v="2"/>
    <x v="1"/>
    <n v="85"/>
    <n v="3"/>
    <n v="2"/>
    <x v="0"/>
    <n v="3"/>
    <s v="Married"/>
    <n v="4717"/>
    <n v="18659"/>
    <n v="9"/>
    <s v="Y"/>
    <s v="No"/>
    <n v="11"/>
    <n v="3"/>
    <n v="3"/>
    <n v="80"/>
    <n v="0"/>
    <n v="15"/>
    <n v="2"/>
    <n v="3"/>
    <x v="19"/>
    <n v="9"/>
    <n v="6"/>
    <n v="9"/>
    <x v="1"/>
    <x v="1"/>
    <s v="Active"/>
    <x v="0"/>
  </r>
  <r>
    <n v="40"/>
    <x v="1"/>
    <s v="Travel Rarely"/>
    <n v="302"/>
    <x v="1"/>
    <n v="6"/>
    <n v="3"/>
    <s v="Life Sciences"/>
    <n v="1"/>
    <x v="448"/>
    <n v="2"/>
    <x v="0"/>
    <n v="75"/>
    <n v="3"/>
    <n v="4"/>
    <x v="3"/>
    <n v="3"/>
    <s v="Single"/>
    <n v="13237"/>
    <n v="20364"/>
    <n v="7"/>
    <s v="Y"/>
    <s v="No"/>
    <n v="15"/>
    <n v="3"/>
    <n v="3"/>
    <n v="80"/>
    <n v="0"/>
    <n v="22"/>
    <n v="3"/>
    <n v="3"/>
    <x v="23"/>
    <n v="6"/>
    <n v="5"/>
    <n v="13"/>
    <x v="1"/>
    <x v="2"/>
    <s v="Active"/>
    <x v="0"/>
  </r>
  <r>
    <n v="39"/>
    <x v="1"/>
    <s v="Travel Frequently"/>
    <n v="443"/>
    <x v="1"/>
    <n v="8"/>
    <n v="1"/>
    <s v="Life Sciences"/>
    <n v="1"/>
    <x v="449"/>
    <n v="3"/>
    <x v="0"/>
    <n v="48"/>
    <n v="3"/>
    <n v="1"/>
    <x v="2"/>
    <n v="3"/>
    <s v="Married"/>
    <n v="3755"/>
    <n v="17872"/>
    <n v="1"/>
    <s v="Y"/>
    <s v="No"/>
    <n v="11"/>
    <n v="3"/>
    <n v="1"/>
    <n v="80"/>
    <n v="1"/>
    <n v="8"/>
    <n v="3"/>
    <n v="3"/>
    <x v="3"/>
    <n v="3"/>
    <n v="0"/>
    <n v="7"/>
    <x v="1"/>
    <x v="1"/>
    <s v="Active"/>
    <x v="0"/>
  </r>
  <r>
    <n v="31"/>
    <x v="1"/>
    <s v="Travel Rarely"/>
    <n v="828"/>
    <x v="0"/>
    <n v="2"/>
    <n v="1"/>
    <s v="Life Sciences"/>
    <n v="1"/>
    <x v="450"/>
    <n v="2"/>
    <x v="1"/>
    <n v="77"/>
    <n v="3"/>
    <n v="2"/>
    <x v="0"/>
    <n v="4"/>
    <s v="Single"/>
    <n v="6582"/>
    <n v="8346"/>
    <n v="4"/>
    <s v="Y"/>
    <s v="Yes"/>
    <n v="13"/>
    <n v="3"/>
    <n v="3"/>
    <n v="80"/>
    <n v="0"/>
    <n v="10"/>
    <n v="2"/>
    <n v="4"/>
    <x v="0"/>
    <n v="5"/>
    <n v="0"/>
    <n v="5"/>
    <x v="1"/>
    <x v="0"/>
    <s v="Active"/>
    <x v="0"/>
  </r>
  <r>
    <n v="42"/>
    <x v="1"/>
    <s v="Travel Rarely"/>
    <n v="319"/>
    <x v="1"/>
    <n v="24"/>
    <n v="3"/>
    <s v="Medical"/>
    <n v="1"/>
    <x v="451"/>
    <n v="4"/>
    <x v="1"/>
    <n v="56"/>
    <n v="3"/>
    <n v="3"/>
    <x v="3"/>
    <n v="1"/>
    <s v="Married"/>
    <n v="7406"/>
    <n v="6950"/>
    <n v="1"/>
    <s v="Y"/>
    <s v="Yes"/>
    <n v="21"/>
    <n v="4"/>
    <n v="4"/>
    <n v="80"/>
    <n v="1"/>
    <n v="10"/>
    <n v="5"/>
    <n v="2"/>
    <x v="1"/>
    <n v="9"/>
    <n v="5"/>
    <n v="8"/>
    <x v="0"/>
    <x v="0"/>
    <s v="Active"/>
    <x v="0"/>
  </r>
  <r>
    <n v="45"/>
    <x v="1"/>
    <s v="Travel Rarely"/>
    <n v="561"/>
    <x v="0"/>
    <n v="2"/>
    <n v="3"/>
    <s v="Other"/>
    <n v="1"/>
    <x v="452"/>
    <n v="4"/>
    <x v="1"/>
    <n v="61"/>
    <n v="3"/>
    <n v="2"/>
    <x v="0"/>
    <n v="2"/>
    <s v="Married"/>
    <n v="4805"/>
    <n v="16177"/>
    <n v="0"/>
    <s v="Y"/>
    <s v="No"/>
    <n v="19"/>
    <n v="3"/>
    <n v="2"/>
    <n v="80"/>
    <n v="1"/>
    <n v="9"/>
    <n v="3"/>
    <n v="4"/>
    <x v="3"/>
    <n v="7"/>
    <n v="3"/>
    <n v="7"/>
    <x v="0"/>
    <x v="1"/>
    <s v="Active"/>
    <x v="0"/>
  </r>
  <r>
    <n v="26"/>
    <x v="0"/>
    <s v="Travel Frequently"/>
    <n v="426"/>
    <x v="2"/>
    <n v="17"/>
    <n v="4"/>
    <s v="Life Sciences"/>
    <n v="1"/>
    <x v="453"/>
    <n v="2"/>
    <x v="0"/>
    <n v="58"/>
    <n v="3"/>
    <n v="1"/>
    <x v="8"/>
    <n v="3"/>
    <s v="Divorced"/>
    <n v="2741"/>
    <n v="22808"/>
    <n v="0"/>
    <s v="Y"/>
    <s v="Yes"/>
    <n v="11"/>
    <n v="3"/>
    <n v="2"/>
    <n v="80"/>
    <n v="1"/>
    <n v="8"/>
    <n v="2"/>
    <n v="2"/>
    <x v="5"/>
    <n v="7"/>
    <n v="1"/>
    <n v="0"/>
    <x v="2"/>
    <x v="1"/>
    <s v="Resigned"/>
    <x v="0"/>
  </r>
  <r>
    <n v="29"/>
    <x v="1"/>
    <s v="Travel Rarely"/>
    <n v="232"/>
    <x v="1"/>
    <n v="19"/>
    <n v="3"/>
    <s v="Technical Degree"/>
    <n v="1"/>
    <x v="454"/>
    <n v="4"/>
    <x v="1"/>
    <n v="34"/>
    <n v="3"/>
    <n v="2"/>
    <x v="3"/>
    <n v="4"/>
    <s v="Divorced"/>
    <n v="4262"/>
    <n v="22645"/>
    <n v="4"/>
    <s v="Y"/>
    <s v="No"/>
    <n v="12"/>
    <n v="3"/>
    <n v="2"/>
    <n v="80"/>
    <n v="2"/>
    <n v="8"/>
    <n v="2"/>
    <n v="4"/>
    <x v="11"/>
    <n v="2"/>
    <n v="1"/>
    <n v="2"/>
    <x v="2"/>
    <x v="1"/>
    <s v="Active"/>
    <x v="5"/>
  </r>
  <r>
    <n v="33"/>
    <x v="1"/>
    <s v="Travel Rarely"/>
    <n v="922"/>
    <x v="1"/>
    <n v="1"/>
    <n v="5"/>
    <s v="Medical"/>
    <n v="1"/>
    <x v="455"/>
    <n v="1"/>
    <x v="0"/>
    <n v="95"/>
    <n v="4"/>
    <n v="4"/>
    <x v="7"/>
    <n v="3"/>
    <s v="Divorced"/>
    <n v="16184"/>
    <n v="22578"/>
    <n v="4"/>
    <s v="Y"/>
    <s v="No"/>
    <n v="19"/>
    <n v="3"/>
    <n v="3"/>
    <n v="80"/>
    <n v="1"/>
    <n v="10"/>
    <n v="2"/>
    <n v="3"/>
    <x v="0"/>
    <n v="1"/>
    <n v="0"/>
    <n v="5"/>
    <x v="1"/>
    <x v="2"/>
    <s v="Active"/>
    <x v="0"/>
  </r>
  <r>
    <n v="31"/>
    <x v="1"/>
    <s v="Travel Rarely"/>
    <n v="688"/>
    <x v="0"/>
    <n v="7"/>
    <n v="3"/>
    <s v="Life Sciences"/>
    <n v="1"/>
    <x v="456"/>
    <n v="3"/>
    <x v="1"/>
    <n v="44"/>
    <n v="2"/>
    <n v="3"/>
    <x v="5"/>
    <n v="4"/>
    <s v="Divorced"/>
    <n v="11557"/>
    <n v="25291"/>
    <n v="9"/>
    <s v="Y"/>
    <s v="No"/>
    <n v="21"/>
    <n v="4"/>
    <n v="3"/>
    <n v="80"/>
    <n v="1"/>
    <n v="10"/>
    <n v="3"/>
    <n v="2"/>
    <x v="8"/>
    <n v="4"/>
    <n v="0"/>
    <n v="1"/>
    <x v="1"/>
    <x v="2"/>
    <s v="Active"/>
    <x v="3"/>
  </r>
  <r>
    <n v="18"/>
    <x v="0"/>
    <s v="Travel Frequently"/>
    <n v="1306"/>
    <x v="0"/>
    <n v="5"/>
    <n v="3"/>
    <s v="Marketing"/>
    <n v="1"/>
    <x v="457"/>
    <n v="2"/>
    <x v="1"/>
    <n v="69"/>
    <n v="3"/>
    <n v="1"/>
    <x v="6"/>
    <n v="2"/>
    <s v="Single"/>
    <n v="1878"/>
    <n v="8059"/>
    <n v="1"/>
    <s v="Y"/>
    <s v="Yes"/>
    <n v="14"/>
    <n v="3"/>
    <n v="4"/>
    <n v="80"/>
    <n v="0"/>
    <n v="0"/>
    <n v="3"/>
    <n v="3"/>
    <x v="2"/>
    <n v="0"/>
    <n v="0"/>
    <n v="0"/>
    <x v="2"/>
    <x v="1"/>
    <s v="Resigned"/>
    <x v="1"/>
  </r>
  <r>
    <n v="40"/>
    <x v="1"/>
    <s v="Non Travel"/>
    <n v="1094"/>
    <x v="0"/>
    <n v="28"/>
    <n v="3"/>
    <s v="Other"/>
    <n v="1"/>
    <x v="458"/>
    <n v="3"/>
    <x v="1"/>
    <n v="58"/>
    <n v="1"/>
    <n v="3"/>
    <x v="0"/>
    <n v="1"/>
    <s v="Divorced"/>
    <n v="10932"/>
    <n v="11373"/>
    <n v="3"/>
    <s v="Y"/>
    <s v="No"/>
    <n v="15"/>
    <n v="3"/>
    <n v="3"/>
    <n v="80"/>
    <n v="1"/>
    <n v="20"/>
    <n v="2"/>
    <n v="3"/>
    <x v="6"/>
    <n v="0"/>
    <n v="0"/>
    <n v="1"/>
    <x v="1"/>
    <x v="2"/>
    <s v="Active"/>
    <x v="1"/>
  </r>
  <r>
    <n v="41"/>
    <x v="1"/>
    <s v="Non Travel"/>
    <n v="509"/>
    <x v="1"/>
    <n v="2"/>
    <n v="4"/>
    <s v="Other"/>
    <n v="1"/>
    <x v="459"/>
    <n v="1"/>
    <x v="0"/>
    <n v="62"/>
    <n v="2"/>
    <n v="2"/>
    <x v="4"/>
    <n v="3"/>
    <s v="Single"/>
    <n v="6811"/>
    <n v="2112"/>
    <n v="2"/>
    <s v="Y"/>
    <s v="Yes"/>
    <n v="17"/>
    <n v="3"/>
    <n v="1"/>
    <n v="80"/>
    <n v="0"/>
    <n v="10"/>
    <n v="3"/>
    <n v="3"/>
    <x v="3"/>
    <n v="7"/>
    <n v="0"/>
    <n v="7"/>
    <x v="0"/>
    <x v="0"/>
    <s v="Active"/>
    <x v="0"/>
  </r>
  <r>
    <n v="26"/>
    <x v="1"/>
    <s v="Travel Rarely"/>
    <n v="775"/>
    <x v="0"/>
    <n v="29"/>
    <n v="2"/>
    <s v="Medical"/>
    <n v="1"/>
    <x v="460"/>
    <n v="1"/>
    <x v="1"/>
    <n v="45"/>
    <n v="3"/>
    <n v="2"/>
    <x v="0"/>
    <n v="3"/>
    <s v="Divorced"/>
    <n v="4306"/>
    <n v="4267"/>
    <n v="5"/>
    <s v="Y"/>
    <s v="No"/>
    <n v="12"/>
    <n v="3"/>
    <n v="1"/>
    <n v="80"/>
    <n v="2"/>
    <n v="8"/>
    <n v="5"/>
    <n v="3"/>
    <x v="2"/>
    <n v="0"/>
    <n v="0"/>
    <n v="0"/>
    <x v="2"/>
    <x v="1"/>
    <s v="Active"/>
    <x v="1"/>
  </r>
  <r>
    <n v="35"/>
    <x v="1"/>
    <s v="Travel Rarely"/>
    <n v="195"/>
    <x v="0"/>
    <n v="1"/>
    <n v="3"/>
    <s v="Medical"/>
    <n v="1"/>
    <x v="461"/>
    <n v="1"/>
    <x v="0"/>
    <n v="80"/>
    <n v="3"/>
    <n v="2"/>
    <x v="0"/>
    <n v="3"/>
    <s v="Single"/>
    <n v="4859"/>
    <n v="6698"/>
    <n v="1"/>
    <s v="Y"/>
    <s v="No"/>
    <n v="16"/>
    <n v="3"/>
    <n v="4"/>
    <n v="80"/>
    <n v="0"/>
    <n v="5"/>
    <n v="3"/>
    <n v="3"/>
    <x v="8"/>
    <n v="4"/>
    <n v="0"/>
    <n v="3"/>
    <x v="1"/>
    <x v="1"/>
    <s v="Active"/>
    <x v="3"/>
  </r>
  <r>
    <n v="34"/>
    <x v="1"/>
    <s v="Travel Rarely"/>
    <n v="258"/>
    <x v="0"/>
    <n v="21"/>
    <n v="4"/>
    <s v="Life Sciences"/>
    <n v="1"/>
    <x v="462"/>
    <n v="4"/>
    <x v="1"/>
    <n v="74"/>
    <n v="4"/>
    <n v="2"/>
    <x v="0"/>
    <n v="4"/>
    <s v="Single"/>
    <n v="5337"/>
    <n v="19921"/>
    <n v="1"/>
    <s v="Y"/>
    <s v="No"/>
    <n v="12"/>
    <n v="3"/>
    <n v="4"/>
    <n v="80"/>
    <n v="0"/>
    <n v="10"/>
    <n v="3"/>
    <n v="3"/>
    <x v="1"/>
    <n v="7"/>
    <n v="5"/>
    <n v="7"/>
    <x v="1"/>
    <x v="0"/>
    <s v="Active"/>
    <x v="0"/>
  </r>
  <r>
    <n v="26"/>
    <x v="0"/>
    <s v="Travel Rarely"/>
    <n v="471"/>
    <x v="1"/>
    <n v="24"/>
    <n v="3"/>
    <s v="Technical Degree"/>
    <n v="1"/>
    <x v="463"/>
    <n v="3"/>
    <x v="1"/>
    <n v="66"/>
    <n v="1"/>
    <n v="1"/>
    <x v="2"/>
    <n v="4"/>
    <s v="Single"/>
    <n v="2340"/>
    <n v="23213"/>
    <n v="1"/>
    <s v="Y"/>
    <s v="Yes"/>
    <n v="18"/>
    <n v="3"/>
    <n v="2"/>
    <n v="80"/>
    <n v="0"/>
    <n v="1"/>
    <n v="3"/>
    <n v="1"/>
    <x v="6"/>
    <n v="0"/>
    <n v="0"/>
    <n v="0"/>
    <x v="2"/>
    <x v="1"/>
    <s v="Resigned"/>
    <x v="1"/>
  </r>
  <r>
    <n v="37"/>
    <x v="1"/>
    <s v="Travel Rarely"/>
    <n v="799"/>
    <x v="1"/>
    <n v="1"/>
    <n v="3"/>
    <s v="Technical Degree"/>
    <n v="1"/>
    <x v="464"/>
    <n v="2"/>
    <x v="0"/>
    <n v="59"/>
    <n v="3"/>
    <n v="3"/>
    <x v="3"/>
    <n v="4"/>
    <s v="Single"/>
    <n v="7491"/>
    <n v="23848"/>
    <n v="4"/>
    <s v="Y"/>
    <s v="No"/>
    <n v="17"/>
    <n v="3"/>
    <n v="4"/>
    <n v="80"/>
    <n v="0"/>
    <n v="12"/>
    <n v="3"/>
    <n v="4"/>
    <x v="0"/>
    <n v="5"/>
    <n v="1"/>
    <n v="2"/>
    <x v="1"/>
    <x v="0"/>
    <s v="Active"/>
    <x v="0"/>
  </r>
  <r>
    <n v="46"/>
    <x v="1"/>
    <s v="Travel Frequently"/>
    <n v="1034"/>
    <x v="1"/>
    <n v="18"/>
    <n v="1"/>
    <s v="Medical"/>
    <n v="1"/>
    <x v="465"/>
    <n v="1"/>
    <x v="0"/>
    <n v="86"/>
    <n v="3"/>
    <n v="3"/>
    <x v="4"/>
    <n v="3"/>
    <s v="Married"/>
    <n v="10527"/>
    <n v="8984"/>
    <n v="5"/>
    <s v="Y"/>
    <s v="No"/>
    <n v="11"/>
    <n v="3"/>
    <n v="4"/>
    <n v="80"/>
    <n v="0"/>
    <n v="28"/>
    <n v="3"/>
    <n v="2"/>
    <x v="4"/>
    <n v="2"/>
    <n v="1"/>
    <n v="2"/>
    <x v="0"/>
    <x v="2"/>
    <s v="Active"/>
    <x v="2"/>
  </r>
  <r>
    <n v="41"/>
    <x v="1"/>
    <s v="Travel Rarely"/>
    <n v="1276"/>
    <x v="0"/>
    <n v="2"/>
    <n v="5"/>
    <s v="Life Sciences"/>
    <n v="1"/>
    <x v="466"/>
    <n v="2"/>
    <x v="0"/>
    <n v="91"/>
    <n v="3"/>
    <n v="4"/>
    <x v="5"/>
    <n v="1"/>
    <s v="Married"/>
    <n v="16595"/>
    <n v="5626"/>
    <n v="7"/>
    <s v="Y"/>
    <s v="No"/>
    <n v="16"/>
    <n v="3"/>
    <n v="2"/>
    <n v="80"/>
    <n v="1"/>
    <n v="22"/>
    <n v="2"/>
    <n v="3"/>
    <x v="29"/>
    <n v="16"/>
    <n v="11"/>
    <n v="8"/>
    <x v="0"/>
    <x v="2"/>
    <s v="Active"/>
    <x v="0"/>
  </r>
  <r>
    <n v="37"/>
    <x v="1"/>
    <s v="Non Travel"/>
    <n v="142"/>
    <x v="0"/>
    <n v="9"/>
    <n v="4"/>
    <s v="Medical"/>
    <n v="1"/>
    <x v="467"/>
    <n v="1"/>
    <x v="1"/>
    <n v="69"/>
    <n v="3"/>
    <n v="3"/>
    <x v="0"/>
    <n v="2"/>
    <s v="Divorced"/>
    <n v="8834"/>
    <n v="24666"/>
    <n v="1"/>
    <s v="Y"/>
    <s v="No"/>
    <n v="13"/>
    <n v="3"/>
    <n v="4"/>
    <n v="80"/>
    <n v="1"/>
    <n v="9"/>
    <n v="6"/>
    <n v="3"/>
    <x v="7"/>
    <n v="5"/>
    <n v="7"/>
    <n v="7"/>
    <x v="1"/>
    <x v="0"/>
    <s v="Active"/>
    <x v="0"/>
  </r>
  <r>
    <n v="52"/>
    <x v="1"/>
    <s v="Travel Rarely"/>
    <n v="956"/>
    <x v="1"/>
    <n v="6"/>
    <n v="2"/>
    <s v="Technical Degree"/>
    <n v="1"/>
    <x v="468"/>
    <n v="4"/>
    <x v="1"/>
    <n v="78"/>
    <n v="3"/>
    <n v="2"/>
    <x v="1"/>
    <n v="1"/>
    <s v="Divorced"/>
    <n v="5577"/>
    <n v="22087"/>
    <n v="3"/>
    <s v="Y"/>
    <s v="Yes"/>
    <n v="12"/>
    <n v="3"/>
    <n v="2"/>
    <n v="80"/>
    <n v="2"/>
    <n v="18"/>
    <n v="3"/>
    <n v="3"/>
    <x v="1"/>
    <n v="9"/>
    <n v="6"/>
    <n v="9"/>
    <x v="0"/>
    <x v="0"/>
    <s v="Active"/>
    <x v="0"/>
  </r>
  <r>
    <n v="32"/>
    <x v="0"/>
    <s v="Non Travel"/>
    <n v="1474"/>
    <x v="0"/>
    <n v="11"/>
    <n v="4"/>
    <s v="Other"/>
    <n v="1"/>
    <x v="469"/>
    <n v="4"/>
    <x v="1"/>
    <n v="60"/>
    <n v="4"/>
    <n v="2"/>
    <x v="0"/>
    <n v="3"/>
    <s v="Married"/>
    <n v="4707"/>
    <n v="23914"/>
    <n v="8"/>
    <s v="Y"/>
    <s v="No"/>
    <n v="12"/>
    <n v="3"/>
    <n v="4"/>
    <n v="80"/>
    <n v="0"/>
    <n v="6"/>
    <n v="2"/>
    <n v="3"/>
    <x v="9"/>
    <n v="2"/>
    <n v="1"/>
    <n v="2"/>
    <x v="1"/>
    <x v="1"/>
    <s v="Resigned"/>
    <x v="4"/>
  </r>
  <r>
    <n v="24"/>
    <x v="1"/>
    <s v="Travel Frequently"/>
    <n v="535"/>
    <x v="0"/>
    <n v="24"/>
    <n v="3"/>
    <s v="Medical"/>
    <n v="1"/>
    <x v="470"/>
    <n v="4"/>
    <x v="1"/>
    <n v="38"/>
    <n v="3"/>
    <n v="1"/>
    <x v="6"/>
    <n v="4"/>
    <s v="Married"/>
    <n v="2400"/>
    <n v="5530"/>
    <n v="0"/>
    <s v="Y"/>
    <s v="No"/>
    <n v="13"/>
    <n v="3"/>
    <n v="3"/>
    <n v="80"/>
    <n v="2"/>
    <n v="3"/>
    <n v="3"/>
    <n v="3"/>
    <x v="4"/>
    <n v="2"/>
    <n v="2"/>
    <n v="1"/>
    <x v="2"/>
    <x v="1"/>
    <s v="Active"/>
    <x v="2"/>
  </r>
  <r>
    <n v="38"/>
    <x v="1"/>
    <s v="Travel Rarely"/>
    <n v="1495"/>
    <x v="1"/>
    <n v="10"/>
    <n v="3"/>
    <s v="Medical"/>
    <n v="1"/>
    <x v="471"/>
    <n v="3"/>
    <x v="0"/>
    <n v="76"/>
    <n v="3"/>
    <n v="2"/>
    <x v="4"/>
    <n v="3"/>
    <s v="Married"/>
    <n v="9824"/>
    <n v="22174"/>
    <n v="3"/>
    <s v="Y"/>
    <s v="No"/>
    <n v="19"/>
    <n v="3"/>
    <n v="3"/>
    <n v="80"/>
    <n v="1"/>
    <n v="18"/>
    <n v="4"/>
    <n v="3"/>
    <x v="6"/>
    <n v="0"/>
    <n v="0"/>
    <n v="0"/>
    <x v="1"/>
    <x v="0"/>
    <s v="Active"/>
    <x v="1"/>
  </r>
  <r>
    <n v="37"/>
    <x v="1"/>
    <s v="Travel Rarely"/>
    <n v="446"/>
    <x v="1"/>
    <n v="1"/>
    <n v="4"/>
    <s v="Life Sciences"/>
    <n v="1"/>
    <x v="472"/>
    <n v="2"/>
    <x v="0"/>
    <n v="65"/>
    <n v="3"/>
    <n v="2"/>
    <x v="3"/>
    <n v="2"/>
    <s v="Married"/>
    <n v="6447"/>
    <n v="15701"/>
    <n v="6"/>
    <s v="Y"/>
    <s v="No"/>
    <n v="12"/>
    <n v="3"/>
    <n v="2"/>
    <n v="80"/>
    <n v="1"/>
    <n v="8"/>
    <n v="2"/>
    <n v="2"/>
    <x v="0"/>
    <n v="5"/>
    <n v="4"/>
    <n v="3"/>
    <x v="1"/>
    <x v="0"/>
    <s v="Active"/>
    <x v="0"/>
  </r>
  <r>
    <n v="49"/>
    <x v="1"/>
    <s v="Travel Rarely"/>
    <n v="1245"/>
    <x v="1"/>
    <n v="18"/>
    <n v="4"/>
    <s v="Life Sciences"/>
    <n v="1"/>
    <x v="473"/>
    <n v="4"/>
    <x v="1"/>
    <n v="58"/>
    <n v="2"/>
    <n v="5"/>
    <x v="7"/>
    <n v="3"/>
    <s v="Divorced"/>
    <n v="19502"/>
    <n v="2125"/>
    <n v="1"/>
    <s v="Y"/>
    <s v="Yes"/>
    <n v="17"/>
    <n v="3"/>
    <n v="3"/>
    <n v="80"/>
    <n v="1"/>
    <n v="31"/>
    <n v="5"/>
    <n v="3"/>
    <x v="31"/>
    <n v="9"/>
    <n v="0"/>
    <n v="9"/>
    <x v="0"/>
    <x v="2"/>
    <s v="Active"/>
    <x v="0"/>
  </r>
  <r>
    <n v="24"/>
    <x v="1"/>
    <s v="Travel Rarely"/>
    <n v="691"/>
    <x v="1"/>
    <n v="23"/>
    <n v="3"/>
    <s v="Medical"/>
    <n v="1"/>
    <x v="474"/>
    <n v="2"/>
    <x v="1"/>
    <n v="89"/>
    <n v="4"/>
    <n v="1"/>
    <x v="1"/>
    <n v="4"/>
    <s v="Married"/>
    <n v="2725"/>
    <n v="21630"/>
    <n v="1"/>
    <s v="Y"/>
    <s v="Yes"/>
    <n v="11"/>
    <n v="3"/>
    <n v="2"/>
    <n v="80"/>
    <n v="2"/>
    <n v="6"/>
    <n v="3"/>
    <n v="3"/>
    <x v="0"/>
    <n v="5"/>
    <n v="1"/>
    <n v="4"/>
    <x v="2"/>
    <x v="1"/>
    <s v="Active"/>
    <x v="0"/>
  </r>
  <r>
    <n v="26"/>
    <x v="1"/>
    <s v="Travel Rarely"/>
    <n v="703"/>
    <x v="0"/>
    <n v="28"/>
    <n v="2"/>
    <s v="Marketing"/>
    <n v="1"/>
    <x v="475"/>
    <n v="1"/>
    <x v="1"/>
    <n v="66"/>
    <n v="3"/>
    <n v="2"/>
    <x v="0"/>
    <n v="2"/>
    <s v="Married"/>
    <n v="6272"/>
    <n v="7428"/>
    <n v="1"/>
    <s v="Y"/>
    <s v="No"/>
    <n v="20"/>
    <n v="4"/>
    <n v="4"/>
    <n v="80"/>
    <n v="2"/>
    <n v="6"/>
    <n v="5"/>
    <n v="4"/>
    <x v="8"/>
    <n v="3"/>
    <n v="1"/>
    <n v="4"/>
    <x v="2"/>
    <x v="0"/>
    <s v="Active"/>
    <x v="3"/>
  </r>
  <r>
    <n v="24"/>
    <x v="1"/>
    <s v="Travel Rarely"/>
    <n v="823"/>
    <x v="1"/>
    <n v="17"/>
    <n v="2"/>
    <s v="Other"/>
    <n v="1"/>
    <x v="476"/>
    <n v="4"/>
    <x v="1"/>
    <n v="94"/>
    <n v="2"/>
    <n v="1"/>
    <x v="2"/>
    <n v="2"/>
    <s v="Married"/>
    <n v="2127"/>
    <n v="9100"/>
    <n v="1"/>
    <s v="Y"/>
    <s v="No"/>
    <n v="21"/>
    <n v="4"/>
    <n v="4"/>
    <n v="80"/>
    <n v="1"/>
    <n v="1"/>
    <n v="2"/>
    <n v="3"/>
    <x v="6"/>
    <n v="0"/>
    <n v="0"/>
    <n v="0"/>
    <x v="2"/>
    <x v="1"/>
    <s v="Active"/>
    <x v="1"/>
  </r>
  <r>
    <n v="50"/>
    <x v="1"/>
    <s v="Travel Frequently"/>
    <n v="1246"/>
    <x v="2"/>
    <n v="3"/>
    <n v="3"/>
    <s v="Medical"/>
    <n v="1"/>
    <x v="477"/>
    <n v="1"/>
    <x v="1"/>
    <n v="99"/>
    <n v="3"/>
    <n v="5"/>
    <x v="5"/>
    <n v="2"/>
    <s v="Married"/>
    <n v="18200"/>
    <n v="7999"/>
    <n v="1"/>
    <s v="Y"/>
    <s v="No"/>
    <n v="11"/>
    <n v="3"/>
    <n v="3"/>
    <n v="80"/>
    <n v="1"/>
    <n v="32"/>
    <n v="2"/>
    <n v="3"/>
    <x v="32"/>
    <n v="5"/>
    <n v="10"/>
    <n v="7"/>
    <x v="0"/>
    <x v="2"/>
    <s v="Active"/>
    <x v="0"/>
  </r>
  <r>
    <n v="25"/>
    <x v="1"/>
    <s v="Travel Rarely"/>
    <n v="622"/>
    <x v="0"/>
    <n v="13"/>
    <n v="1"/>
    <s v="Medical"/>
    <n v="1"/>
    <x v="478"/>
    <n v="2"/>
    <x v="1"/>
    <n v="40"/>
    <n v="3"/>
    <n v="1"/>
    <x v="6"/>
    <n v="3"/>
    <s v="Married"/>
    <n v="2096"/>
    <n v="26376"/>
    <n v="1"/>
    <s v="Y"/>
    <s v="No"/>
    <n v="11"/>
    <n v="3"/>
    <n v="3"/>
    <n v="80"/>
    <n v="0"/>
    <n v="7"/>
    <n v="1"/>
    <n v="3"/>
    <x v="5"/>
    <n v="4"/>
    <n v="0"/>
    <n v="6"/>
    <x v="2"/>
    <x v="1"/>
    <s v="Active"/>
    <x v="0"/>
  </r>
  <r>
    <n v="24"/>
    <x v="0"/>
    <s v="Travel Frequently"/>
    <n v="1287"/>
    <x v="1"/>
    <n v="7"/>
    <n v="3"/>
    <s v="Life Sciences"/>
    <n v="1"/>
    <x v="479"/>
    <n v="1"/>
    <x v="0"/>
    <n v="55"/>
    <n v="3"/>
    <n v="1"/>
    <x v="2"/>
    <n v="3"/>
    <s v="Married"/>
    <n v="2886"/>
    <n v="14168"/>
    <n v="1"/>
    <s v="Y"/>
    <s v="Yes"/>
    <n v="16"/>
    <n v="3"/>
    <n v="4"/>
    <n v="80"/>
    <n v="1"/>
    <n v="6"/>
    <n v="4"/>
    <n v="3"/>
    <x v="0"/>
    <n v="3"/>
    <n v="1"/>
    <n v="2"/>
    <x v="2"/>
    <x v="1"/>
    <s v="Resigned"/>
    <x v="0"/>
  </r>
  <r>
    <n v="30"/>
    <x v="0"/>
    <s v="Travel Frequently"/>
    <n v="448"/>
    <x v="0"/>
    <n v="12"/>
    <n v="4"/>
    <s v="Life Sciences"/>
    <n v="1"/>
    <x v="480"/>
    <n v="2"/>
    <x v="1"/>
    <n v="74"/>
    <n v="2"/>
    <n v="1"/>
    <x v="6"/>
    <n v="1"/>
    <s v="Married"/>
    <n v="2033"/>
    <n v="14470"/>
    <n v="1"/>
    <s v="Y"/>
    <s v="No"/>
    <n v="18"/>
    <n v="3"/>
    <n v="3"/>
    <n v="80"/>
    <n v="1"/>
    <n v="1"/>
    <n v="2"/>
    <n v="4"/>
    <x v="6"/>
    <n v="0"/>
    <n v="0"/>
    <n v="0"/>
    <x v="1"/>
    <x v="1"/>
    <s v="Resigned"/>
    <x v="1"/>
  </r>
  <r>
    <n v="34"/>
    <x v="1"/>
    <s v="Travel Rarely"/>
    <n v="254"/>
    <x v="1"/>
    <n v="1"/>
    <n v="2"/>
    <s v="Life Sciences"/>
    <n v="1"/>
    <x v="481"/>
    <n v="2"/>
    <x v="1"/>
    <n v="83"/>
    <n v="2"/>
    <n v="1"/>
    <x v="1"/>
    <n v="4"/>
    <s v="Married"/>
    <n v="3622"/>
    <n v="22794"/>
    <n v="1"/>
    <s v="Y"/>
    <s v="Yes"/>
    <n v="13"/>
    <n v="3"/>
    <n v="4"/>
    <n v="80"/>
    <n v="1"/>
    <n v="6"/>
    <n v="3"/>
    <n v="3"/>
    <x v="0"/>
    <n v="5"/>
    <n v="1"/>
    <n v="3"/>
    <x v="1"/>
    <x v="1"/>
    <s v="Active"/>
    <x v="0"/>
  </r>
  <r>
    <n v="31"/>
    <x v="0"/>
    <s v="Travel Rarely"/>
    <n v="1365"/>
    <x v="0"/>
    <n v="13"/>
    <n v="4"/>
    <s v="Medical"/>
    <n v="1"/>
    <x v="482"/>
    <n v="2"/>
    <x v="1"/>
    <n v="46"/>
    <n v="3"/>
    <n v="2"/>
    <x v="0"/>
    <n v="1"/>
    <s v="Divorced"/>
    <n v="4233"/>
    <n v="11512"/>
    <n v="2"/>
    <s v="Y"/>
    <s v="No"/>
    <n v="17"/>
    <n v="3"/>
    <n v="3"/>
    <n v="80"/>
    <n v="0"/>
    <n v="9"/>
    <n v="2"/>
    <n v="1"/>
    <x v="11"/>
    <n v="1"/>
    <n v="1"/>
    <n v="2"/>
    <x v="1"/>
    <x v="1"/>
    <s v="Resigned"/>
    <x v="5"/>
  </r>
  <r>
    <n v="35"/>
    <x v="1"/>
    <s v="Travel Rarely"/>
    <n v="538"/>
    <x v="1"/>
    <n v="25"/>
    <n v="2"/>
    <s v="Other"/>
    <n v="1"/>
    <x v="483"/>
    <n v="1"/>
    <x v="1"/>
    <n v="54"/>
    <n v="2"/>
    <n v="2"/>
    <x v="2"/>
    <n v="4"/>
    <s v="Single"/>
    <n v="3681"/>
    <n v="14004"/>
    <n v="4"/>
    <s v="Y"/>
    <s v="No"/>
    <n v="14"/>
    <n v="3"/>
    <n v="4"/>
    <n v="80"/>
    <n v="0"/>
    <n v="9"/>
    <n v="3"/>
    <n v="3"/>
    <x v="11"/>
    <n v="2"/>
    <n v="0"/>
    <n v="2"/>
    <x v="1"/>
    <x v="1"/>
    <s v="Active"/>
    <x v="5"/>
  </r>
  <r>
    <n v="31"/>
    <x v="1"/>
    <s v="Travel Rarely"/>
    <n v="525"/>
    <x v="0"/>
    <n v="6"/>
    <n v="4"/>
    <s v="Medical"/>
    <n v="1"/>
    <x v="484"/>
    <n v="1"/>
    <x v="1"/>
    <n v="66"/>
    <n v="4"/>
    <n v="2"/>
    <x v="0"/>
    <n v="4"/>
    <s v="Divorced"/>
    <n v="5460"/>
    <n v="6219"/>
    <n v="4"/>
    <s v="Y"/>
    <s v="No"/>
    <n v="22"/>
    <n v="4"/>
    <n v="4"/>
    <n v="80"/>
    <n v="2"/>
    <n v="13"/>
    <n v="4"/>
    <n v="4"/>
    <x v="5"/>
    <n v="7"/>
    <n v="5"/>
    <n v="7"/>
    <x v="1"/>
    <x v="0"/>
    <s v="Active"/>
    <x v="0"/>
  </r>
  <r>
    <n v="27"/>
    <x v="1"/>
    <s v="Travel Rarely"/>
    <n v="798"/>
    <x v="1"/>
    <n v="6"/>
    <n v="4"/>
    <s v="Medical"/>
    <n v="1"/>
    <x v="485"/>
    <n v="1"/>
    <x v="0"/>
    <n v="66"/>
    <n v="2"/>
    <n v="1"/>
    <x v="1"/>
    <n v="3"/>
    <s v="Divorced"/>
    <n v="2187"/>
    <n v="5013"/>
    <n v="0"/>
    <s v="Y"/>
    <s v="No"/>
    <n v="12"/>
    <n v="3"/>
    <n v="3"/>
    <n v="80"/>
    <n v="2"/>
    <n v="6"/>
    <n v="5"/>
    <n v="2"/>
    <x v="8"/>
    <n v="3"/>
    <n v="0"/>
    <n v="3"/>
    <x v="2"/>
    <x v="1"/>
    <s v="Active"/>
    <x v="3"/>
  </r>
  <r>
    <n v="37"/>
    <x v="1"/>
    <s v="Travel Rarely"/>
    <n v="558"/>
    <x v="0"/>
    <n v="2"/>
    <n v="3"/>
    <s v="Marketing"/>
    <n v="1"/>
    <x v="486"/>
    <n v="4"/>
    <x v="1"/>
    <n v="75"/>
    <n v="3"/>
    <n v="2"/>
    <x v="0"/>
    <n v="3"/>
    <s v="Married"/>
    <n v="9602"/>
    <n v="3010"/>
    <n v="4"/>
    <s v="Y"/>
    <s v="Yes"/>
    <n v="11"/>
    <n v="3"/>
    <n v="3"/>
    <n v="80"/>
    <n v="1"/>
    <n v="17"/>
    <n v="3"/>
    <n v="2"/>
    <x v="11"/>
    <n v="0"/>
    <n v="1"/>
    <n v="0"/>
    <x v="1"/>
    <x v="0"/>
    <s v="Active"/>
    <x v="5"/>
  </r>
  <r>
    <n v="20"/>
    <x v="1"/>
    <s v="Travel Rarely"/>
    <n v="959"/>
    <x v="1"/>
    <n v="1"/>
    <n v="3"/>
    <s v="Life Sciences"/>
    <n v="1"/>
    <x v="487"/>
    <n v="4"/>
    <x v="0"/>
    <n v="83"/>
    <n v="2"/>
    <n v="1"/>
    <x v="1"/>
    <n v="2"/>
    <s v="Single"/>
    <n v="2836"/>
    <n v="11757"/>
    <n v="1"/>
    <s v="Y"/>
    <s v="No"/>
    <n v="13"/>
    <n v="3"/>
    <n v="4"/>
    <n v="80"/>
    <n v="0"/>
    <n v="1"/>
    <n v="0"/>
    <n v="4"/>
    <x v="6"/>
    <n v="0"/>
    <n v="0"/>
    <n v="0"/>
    <x v="2"/>
    <x v="1"/>
    <s v="Active"/>
    <x v="1"/>
  </r>
  <r>
    <n v="42"/>
    <x v="1"/>
    <s v="Travel Rarely"/>
    <n v="622"/>
    <x v="1"/>
    <n v="2"/>
    <n v="4"/>
    <s v="Life Sciences"/>
    <n v="1"/>
    <x v="488"/>
    <n v="3"/>
    <x v="0"/>
    <n v="81"/>
    <n v="3"/>
    <n v="2"/>
    <x v="4"/>
    <n v="4"/>
    <s v="Married"/>
    <n v="4089"/>
    <n v="5718"/>
    <n v="1"/>
    <s v="Y"/>
    <s v="No"/>
    <n v="13"/>
    <n v="3"/>
    <n v="2"/>
    <n v="80"/>
    <n v="2"/>
    <n v="10"/>
    <n v="4"/>
    <n v="3"/>
    <x v="1"/>
    <n v="2"/>
    <n v="2"/>
    <n v="2"/>
    <x v="0"/>
    <x v="1"/>
    <s v="Active"/>
    <x v="0"/>
  </r>
  <r>
    <n v="43"/>
    <x v="1"/>
    <s v="Travel Rarely"/>
    <n v="782"/>
    <x v="1"/>
    <n v="6"/>
    <n v="4"/>
    <s v="Other"/>
    <n v="1"/>
    <x v="489"/>
    <n v="2"/>
    <x v="1"/>
    <n v="50"/>
    <n v="2"/>
    <n v="4"/>
    <x v="7"/>
    <n v="4"/>
    <s v="Divorced"/>
    <n v="16627"/>
    <n v="2671"/>
    <n v="4"/>
    <s v="Y"/>
    <s v="Yes"/>
    <n v="14"/>
    <n v="3"/>
    <n v="3"/>
    <n v="80"/>
    <n v="1"/>
    <n v="21"/>
    <n v="3"/>
    <n v="2"/>
    <x v="6"/>
    <n v="0"/>
    <n v="0"/>
    <n v="0"/>
    <x v="0"/>
    <x v="2"/>
    <s v="Active"/>
    <x v="1"/>
  </r>
  <r>
    <n v="38"/>
    <x v="1"/>
    <s v="Travel Rarely"/>
    <n v="362"/>
    <x v="1"/>
    <n v="1"/>
    <n v="1"/>
    <s v="Life Sciences"/>
    <n v="1"/>
    <x v="490"/>
    <n v="3"/>
    <x v="0"/>
    <n v="43"/>
    <n v="3"/>
    <n v="1"/>
    <x v="1"/>
    <n v="1"/>
    <s v="Single"/>
    <n v="2619"/>
    <n v="14561"/>
    <n v="3"/>
    <s v="Y"/>
    <s v="No"/>
    <n v="17"/>
    <n v="3"/>
    <n v="4"/>
    <n v="80"/>
    <n v="0"/>
    <n v="8"/>
    <n v="3"/>
    <n v="2"/>
    <x v="2"/>
    <n v="0"/>
    <n v="0"/>
    <n v="0"/>
    <x v="1"/>
    <x v="1"/>
    <s v="Active"/>
    <x v="1"/>
  </r>
  <r>
    <n v="43"/>
    <x v="1"/>
    <s v="Travel Frequently"/>
    <n v="1001"/>
    <x v="1"/>
    <n v="9"/>
    <n v="5"/>
    <s v="Medical"/>
    <n v="1"/>
    <x v="491"/>
    <n v="4"/>
    <x v="1"/>
    <n v="72"/>
    <n v="3"/>
    <n v="2"/>
    <x v="2"/>
    <n v="3"/>
    <s v="Divorced"/>
    <n v="5679"/>
    <n v="19627"/>
    <n v="3"/>
    <s v="Y"/>
    <s v="Yes"/>
    <n v="13"/>
    <n v="3"/>
    <n v="2"/>
    <n v="80"/>
    <n v="1"/>
    <n v="10"/>
    <n v="3"/>
    <n v="3"/>
    <x v="3"/>
    <n v="7"/>
    <n v="4"/>
    <n v="7"/>
    <x v="0"/>
    <x v="0"/>
    <s v="Active"/>
    <x v="0"/>
  </r>
  <r>
    <n v="48"/>
    <x v="1"/>
    <s v="Travel Rarely"/>
    <n v="1236"/>
    <x v="1"/>
    <n v="1"/>
    <n v="4"/>
    <s v="Life Sciences"/>
    <n v="1"/>
    <x v="492"/>
    <n v="4"/>
    <x v="0"/>
    <n v="40"/>
    <n v="2"/>
    <n v="4"/>
    <x v="5"/>
    <n v="1"/>
    <s v="Married"/>
    <n v="15402"/>
    <n v="17997"/>
    <n v="7"/>
    <s v="Y"/>
    <s v="No"/>
    <n v="11"/>
    <n v="3"/>
    <n v="1"/>
    <n v="80"/>
    <n v="1"/>
    <n v="21"/>
    <n v="3"/>
    <n v="1"/>
    <x v="11"/>
    <n v="2"/>
    <n v="0"/>
    <n v="2"/>
    <x v="0"/>
    <x v="2"/>
    <s v="Active"/>
    <x v="5"/>
  </r>
  <r>
    <n v="44"/>
    <x v="1"/>
    <s v="Travel Rarely"/>
    <n v="1112"/>
    <x v="2"/>
    <n v="1"/>
    <n v="4"/>
    <s v="Life Sciences"/>
    <n v="1"/>
    <x v="493"/>
    <n v="1"/>
    <x v="0"/>
    <n v="50"/>
    <n v="2"/>
    <n v="2"/>
    <x v="8"/>
    <n v="3"/>
    <s v="Single"/>
    <n v="5985"/>
    <n v="26894"/>
    <n v="4"/>
    <s v="Y"/>
    <s v="No"/>
    <n v="11"/>
    <n v="3"/>
    <n v="2"/>
    <n v="80"/>
    <n v="0"/>
    <n v="10"/>
    <n v="1"/>
    <n v="4"/>
    <x v="4"/>
    <n v="2"/>
    <n v="0"/>
    <n v="2"/>
    <x v="0"/>
    <x v="0"/>
    <s v="Active"/>
    <x v="2"/>
  </r>
  <r>
    <n v="34"/>
    <x v="1"/>
    <s v="Travel Rarely"/>
    <n v="204"/>
    <x v="0"/>
    <n v="14"/>
    <n v="3"/>
    <s v="Technical Degree"/>
    <n v="1"/>
    <x v="494"/>
    <n v="3"/>
    <x v="0"/>
    <n v="31"/>
    <n v="3"/>
    <n v="1"/>
    <x v="6"/>
    <n v="3"/>
    <s v="Divorced"/>
    <n v="2579"/>
    <n v="2912"/>
    <n v="1"/>
    <s v="Y"/>
    <s v="Yes"/>
    <n v="18"/>
    <n v="3"/>
    <n v="4"/>
    <n v="80"/>
    <n v="2"/>
    <n v="8"/>
    <n v="3"/>
    <n v="3"/>
    <x v="3"/>
    <n v="2"/>
    <n v="0"/>
    <n v="6"/>
    <x v="1"/>
    <x v="1"/>
    <s v="Active"/>
    <x v="0"/>
  </r>
  <r>
    <n v="27"/>
    <x v="0"/>
    <s v="Travel Rarely"/>
    <n v="1420"/>
    <x v="0"/>
    <n v="2"/>
    <n v="1"/>
    <s v="Marketing"/>
    <n v="1"/>
    <x v="495"/>
    <n v="3"/>
    <x v="1"/>
    <n v="85"/>
    <n v="3"/>
    <n v="1"/>
    <x v="6"/>
    <n v="1"/>
    <s v="Divorced"/>
    <n v="3041"/>
    <n v="16346"/>
    <n v="0"/>
    <s v="Y"/>
    <s v="No"/>
    <n v="11"/>
    <n v="3"/>
    <n v="2"/>
    <n v="80"/>
    <n v="1"/>
    <n v="5"/>
    <n v="3"/>
    <n v="3"/>
    <x v="9"/>
    <n v="3"/>
    <n v="0"/>
    <n v="2"/>
    <x v="2"/>
    <x v="1"/>
    <s v="Resigned"/>
    <x v="4"/>
  </r>
  <r>
    <n v="21"/>
    <x v="1"/>
    <s v="Travel Rarely"/>
    <n v="1343"/>
    <x v="0"/>
    <n v="22"/>
    <n v="1"/>
    <s v="Technical Degree"/>
    <n v="1"/>
    <x v="496"/>
    <n v="3"/>
    <x v="1"/>
    <n v="49"/>
    <n v="3"/>
    <n v="1"/>
    <x v="6"/>
    <n v="3"/>
    <s v="Single"/>
    <n v="3447"/>
    <n v="24444"/>
    <n v="1"/>
    <s v="Y"/>
    <s v="No"/>
    <n v="11"/>
    <n v="3"/>
    <n v="3"/>
    <n v="80"/>
    <n v="0"/>
    <n v="3"/>
    <n v="2"/>
    <n v="3"/>
    <x v="11"/>
    <n v="2"/>
    <n v="1"/>
    <n v="2"/>
    <x v="2"/>
    <x v="1"/>
    <s v="Active"/>
    <x v="5"/>
  </r>
  <r>
    <n v="44"/>
    <x v="1"/>
    <s v="Travel Rarely"/>
    <n v="1315"/>
    <x v="1"/>
    <n v="3"/>
    <n v="4"/>
    <s v="Other"/>
    <n v="1"/>
    <x v="497"/>
    <n v="4"/>
    <x v="1"/>
    <n v="35"/>
    <n v="3"/>
    <n v="5"/>
    <x v="5"/>
    <n v="4"/>
    <s v="Married"/>
    <n v="19513"/>
    <n v="9358"/>
    <n v="4"/>
    <s v="Y"/>
    <s v="Yes"/>
    <n v="12"/>
    <n v="3"/>
    <n v="1"/>
    <n v="80"/>
    <n v="1"/>
    <n v="26"/>
    <n v="2"/>
    <n v="4"/>
    <x v="4"/>
    <n v="2"/>
    <n v="0"/>
    <n v="1"/>
    <x v="0"/>
    <x v="2"/>
    <s v="Active"/>
    <x v="2"/>
  </r>
  <r>
    <n v="22"/>
    <x v="1"/>
    <s v="Travel Rarely"/>
    <n v="604"/>
    <x v="1"/>
    <n v="6"/>
    <n v="1"/>
    <s v="Medical"/>
    <n v="1"/>
    <x v="498"/>
    <n v="1"/>
    <x v="1"/>
    <n v="69"/>
    <n v="3"/>
    <n v="1"/>
    <x v="1"/>
    <n v="3"/>
    <s v="Married"/>
    <n v="2773"/>
    <n v="12145"/>
    <n v="0"/>
    <s v="Y"/>
    <s v="No"/>
    <n v="20"/>
    <n v="4"/>
    <n v="4"/>
    <n v="80"/>
    <n v="0"/>
    <n v="3"/>
    <n v="3"/>
    <n v="3"/>
    <x v="4"/>
    <n v="2"/>
    <n v="2"/>
    <n v="2"/>
    <x v="2"/>
    <x v="1"/>
    <s v="Active"/>
    <x v="2"/>
  </r>
  <r>
    <n v="33"/>
    <x v="1"/>
    <s v="Travel Rarely"/>
    <n v="1216"/>
    <x v="0"/>
    <n v="8"/>
    <n v="4"/>
    <s v="Marketing"/>
    <n v="1"/>
    <x v="499"/>
    <n v="3"/>
    <x v="1"/>
    <n v="39"/>
    <n v="3"/>
    <n v="2"/>
    <x v="0"/>
    <n v="3"/>
    <s v="Divorced"/>
    <n v="7104"/>
    <n v="20431"/>
    <n v="0"/>
    <s v="Y"/>
    <s v="No"/>
    <n v="12"/>
    <n v="3"/>
    <n v="4"/>
    <n v="80"/>
    <n v="0"/>
    <n v="6"/>
    <n v="3"/>
    <n v="3"/>
    <x v="8"/>
    <n v="0"/>
    <n v="1"/>
    <n v="2"/>
    <x v="1"/>
    <x v="0"/>
    <s v="Active"/>
    <x v="3"/>
  </r>
  <r>
    <n v="32"/>
    <x v="1"/>
    <s v="Travel Rarely"/>
    <n v="646"/>
    <x v="1"/>
    <n v="9"/>
    <n v="4"/>
    <s v="Life Sciences"/>
    <n v="1"/>
    <x v="500"/>
    <n v="1"/>
    <x v="0"/>
    <n v="92"/>
    <n v="3"/>
    <n v="2"/>
    <x v="1"/>
    <n v="4"/>
    <s v="Married"/>
    <n v="6322"/>
    <n v="18089"/>
    <n v="1"/>
    <s v="Y"/>
    <s v="Yes"/>
    <n v="12"/>
    <n v="3"/>
    <n v="4"/>
    <n v="80"/>
    <n v="1"/>
    <n v="6"/>
    <n v="2"/>
    <n v="2"/>
    <x v="0"/>
    <n v="4"/>
    <n v="0"/>
    <n v="5"/>
    <x v="1"/>
    <x v="0"/>
    <s v="Active"/>
    <x v="0"/>
  </r>
  <r>
    <n v="30"/>
    <x v="1"/>
    <s v="Travel Frequently"/>
    <n v="160"/>
    <x v="1"/>
    <n v="3"/>
    <n v="3"/>
    <s v="Medical"/>
    <n v="1"/>
    <x v="501"/>
    <n v="3"/>
    <x v="0"/>
    <n v="71"/>
    <n v="3"/>
    <n v="1"/>
    <x v="1"/>
    <n v="3"/>
    <s v="Divorced"/>
    <n v="2083"/>
    <n v="22653"/>
    <n v="1"/>
    <s v="Y"/>
    <s v="No"/>
    <n v="20"/>
    <n v="4"/>
    <n v="3"/>
    <n v="80"/>
    <n v="1"/>
    <n v="1"/>
    <n v="2"/>
    <n v="3"/>
    <x v="6"/>
    <n v="0"/>
    <n v="0"/>
    <n v="0"/>
    <x v="1"/>
    <x v="1"/>
    <s v="Active"/>
    <x v="1"/>
  </r>
  <r>
    <n v="53"/>
    <x v="1"/>
    <s v="Travel Rarely"/>
    <n v="238"/>
    <x v="0"/>
    <n v="1"/>
    <n v="1"/>
    <s v="Medical"/>
    <n v="1"/>
    <x v="502"/>
    <n v="4"/>
    <x v="0"/>
    <n v="34"/>
    <n v="3"/>
    <n v="2"/>
    <x v="0"/>
    <n v="1"/>
    <s v="Single"/>
    <n v="8381"/>
    <n v="7507"/>
    <n v="7"/>
    <s v="Y"/>
    <s v="No"/>
    <n v="20"/>
    <n v="4"/>
    <n v="4"/>
    <n v="80"/>
    <n v="0"/>
    <n v="18"/>
    <n v="2"/>
    <n v="4"/>
    <x v="13"/>
    <n v="7"/>
    <n v="8"/>
    <n v="10"/>
    <x v="0"/>
    <x v="0"/>
    <s v="Active"/>
    <x v="0"/>
  </r>
  <r>
    <n v="34"/>
    <x v="1"/>
    <s v="Travel Rarely"/>
    <n v="1397"/>
    <x v="1"/>
    <n v="1"/>
    <n v="5"/>
    <s v="Life Sciences"/>
    <n v="1"/>
    <x v="503"/>
    <n v="2"/>
    <x v="1"/>
    <n v="42"/>
    <n v="3"/>
    <n v="1"/>
    <x v="1"/>
    <n v="4"/>
    <s v="Married"/>
    <n v="2691"/>
    <n v="7660"/>
    <n v="1"/>
    <s v="Y"/>
    <s v="No"/>
    <n v="12"/>
    <n v="3"/>
    <n v="4"/>
    <n v="80"/>
    <n v="1"/>
    <n v="10"/>
    <n v="4"/>
    <n v="2"/>
    <x v="1"/>
    <n v="9"/>
    <n v="8"/>
    <n v="8"/>
    <x v="1"/>
    <x v="1"/>
    <s v="Active"/>
    <x v="0"/>
  </r>
  <r>
    <n v="45"/>
    <x v="0"/>
    <s v="Travel Frequently"/>
    <n v="306"/>
    <x v="0"/>
    <n v="26"/>
    <n v="4"/>
    <s v="Life Sciences"/>
    <n v="1"/>
    <x v="504"/>
    <n v="1"/>
    <x v="0"/>
    <n v="100"/>
    <n v="3"/>
    <n v="2"/>
    <x v="0"/>
    <n v="1"/>
    <s v="Married"/>
    <n v="4286"/>
    <n v="5630"/>
    <n v="2"/>
    <s v="Y"/>
    <s v="No"/>
    <n v="14"/>
    <n v="3"/>
    <n v="4"/>
    <n v="80"/>
    <n v="2"/>
    <n v="5"/>
    <n v="4"/>
    <n v="3"/>
    <x v="6"/>
    <n v="1"/>
    <n v="0"/>
    <n v="0"/>
    <x v="0"/>
    <x v="1"/>
    <s v="Resigned"/>
    <x v="1"/>
  </r>
  <r>
    <n v="26"/>
    <x v="1"/>
    <s v="Travel Rarely"/>
    <n v="991"/>
    <x v="1"/>
    <n v="6"/>
    <n v="3"/>
    <s v="Life Sciences"/>
    <n v="1"/>
    <x v="505"/>
    <n v="3"/>
    <x v="0"/>
    <n v="71"/>
    <n v="3"/>
    <n v="1"/>
    <x v="2"/>
    <n v="4"/>
    <s v="Married"/>
    <n v="2659"/>
    <n v="17759"/>
    <n v="1"/>
    <s v="Y"/>
    <s v="Yes"/>
    <n v="13"/>
    <n v="3"/>
    <n v="3"/>
    <n v="80"/>
    <n v="1"/>
    <n v="3"/>
    <n v="2"/>
    <n v="3"/>
    <x v="11"/>
    <n v="2"/>
    <n v="0"/>
    <n v="2"/>
    <x v="2"/>
    <x v="1"/>
    <s v="Active"/>
    <x v="5"/>
  </r>
  <r>
    <n v="37"/>
    <x v="1"/>
    <s v="Travel Rarely"/>
    <n v="482"/>
    <x v="1"/>
    <n v="3"/>
    <n v="3"/>
    <s v="Other"/>
    <n v="1"/>
    <x v="506"/>
    <n v="3"/>
    <x v="1"/>
    <n v="36"/>
    <n v="3"/>
    <n v="3"/>
    <x v="3"/>
    <n v="3"/>
    <s v="Married"/>
    <n v="9434"/>
    <n v="9606"/>
    <n v="1"/>
    <s v="Y"/>
    <s v="No"/>
    <n v="15"/>
    <n v="3"/>
    <n v="3"/>
    <n v="80"/>
    <n v="1"/>
    <n v="10"/>
    <n v="2"/>
    <n v="3"/>
    <x v="1"/>
    <n v="7"/>
    <n v="7"/>
    <n v="8"/>
    <x v="1"/>
    <x v="0"/>
    <s v="Active"/>
    <x v="0"/>
  </r>
  <r>
    <n v="29"/>
    <x v="1"/>
    <s v="Travel Rarely"/>
    <n v="1176"/>
    <x v="0"/>
    <n v="3"/>
    <n v="2"/>
    <s v="Medical"/>
    <n v="1"/>
    <x v="507"/>
    <n v="2"/>
    <x v="0"/>
    <n v="62"/>
    <n v="3"/>
    <n v="2"/>
    <x v="0"/>
    <n v="3"/>
    <s v="Married"/>
    <n v="5561"/>
    <n v="3487"/>
    <n v="1"/>
    <s v="Y"/>
    <s v="No"/>
    <n v="14"/>
    <n v="3"/>
    <n v="1"/>
    <n v="80"/>
    <n v="1"/>
    <n v="6"/>
    <n v="5"/>
    <n v="2"/>
    <x v="0"/>
    <n v="0"/>
    <n v="1"/>
    <n v="2"/>
    <x v="2"/>
    <x v="0"/>
    <s v="Active"/>
    <x v="0"/>
  </r>
  <r>
    <n v="35"/>
    <x v="1"/>
    <s v="Travel Rarely"/>
    <n v="1017"/>
    <x v="1"/>
    <n v="6"/>
    <n v="4"/>
    <s v="Life Sciences"/>
    <n v="1"/>
    <x v="508"/>
    <n v="2"/>
    <x v="1"/>
    <n v="82"/>
    <n v="1"/>
    <n v="2"/>
    <x v="1"/>
    <n v="4"/>
    <s v="Single"/>
    <n v="6646"/>
    <n v="19368"/>
    <n v="1"/>
    <s v="Y"/>
    <s v="No"/>
    <n v="13"/>
    <n v="3"/>
    <n v="2"/>
    <n v="80"/>
    <n v="0"/>
    <n v="17"/>
    <n v="3"/>
    <n v="3"/>
    <x v="18"/>
    <n v="11"/>
    <n v="11"/>
    <n v="8"/>
    <x v="1"/>
    <x v="0"/>
    <s v="Active"/>
    <x v="0"/>
  </r>
  <r>
    <n v="33"/>
    <x v="1"/>
    <s v="Travel Frequently"/>
    <n v="1296"/>
    <x v="1"/>
    <n v="6"/>
    <n v="3"/>
    <s v="Life Sciences"/>
    <n v="1"/>
    <x v="509"/>
    <n v="3"/>
    <x v="1"/>
    <n v="30"/>
    <n v="3"/>
    <n v="2"/>
    <x v="4"/>
    <n v="4"/>
    <s v="Divorced"/>
    <n v="7725"/>
    <n v="5335"/>
    <n v="3"/>
    <s v="Y"/>
    <s v="No"/>
    <n v="23"/>
    <n v="4"/>
    <n v="3"/>
    <n v="80"/>
    <n v="1"/>
    <n v="15"/>
    <n v="2"/>
    <n v="1"/>
    <x v="20"/>
    <n v="11"/>
    <n v="4"/>
    <n v="7"/>
    <x v="1"/>
    <x v="0"/>
    <s v="Active"/>
    <x v="0"/>
  </r>
  <r>
    <n v="54"/>
    <x v="1"/>
    <s v="Travel Rarely"/>
    <n v="397"/>
    <x v="2"/>
    <n v="19"/>
    <n v="4"/>
    <s v="Medical"/>
    <n v="1"/>
    <x v="510"/>
    <n v="3"/>
    <x v="1"/>
    <n v="88"/>
    <n v="3"/>
    <n v="3"/>
    <x v="8"/>
    <n v="2"/>
    <s v="Married"/>
    <n v="10725"/>
    <n v="6729"/>
    <n v="2"/>
    <s v="Y"/>
    <s v="No"/>
    <n v="15"/>
    <n v="3"/>
    <n v="3"/>
    <n v="80"/>
    <n v="1"/>
    <n v="16"/>
    <n v="1"/>
    <n v="4"/>
    <x v="7"/>
    <n v="7"/>
    <n v="7"/>
    <n v="1"/>
    <x v="0"/>
    <x v="2"/>
    <s v="Active"/>
    <x v="0"/>
  </r>
  <r>
    <n v="36"/>
    <x v="1"/>
    <s v="Travel Rarely"/>
    <n v="913"/>
    <x v="1"/>
    <n v="9"/>
    <n v="2"/>
    <s v="Medical"/>
    <n v="1"/>
    <x v="511"/>
    <n v="2"/>
    <x v="1"/>
    <n v="48"/>
    <n v="2"/>
    <n v="2"/>
    <x v="3"/>
    <n v="2"/>
    <s v="Divorced"/>
    <n v="8847"/>
    <n v="13934"/>
    <n v="2"/>
    <s v="Y"/>
    <s v="Yes"/>
    <n v="11"/>
    <n v="3"/>
    <n v="3"/>
    <n v="80"/>
    <n v="1"/>
    <n v="13"/>
    <n v="2"/>
    <n v="3"/>
    <x v="11"/>
    <n v="2"/>
    <n v="0"/>
    <n v="2"/>
    <x v="1"/>
    <x v="0"/>
    <s v="Active"/>
    <x v="5"/>
  </r>
  <r>
    <n v="27"/>
    <x v="1"/>
    <s v="Travel Rarely"/>
    <n v="1115"/>
    <x v="1"/>
    <n v="3"/>
    <n v="4"/>
    <s v="Medical"/>
    <n v="1"/>
    <x v="512"/>
    <n v="1"/>
    <x v="1"/>
    <n v="54"/>
    <n v="2"/>
    <n v="1"/>
    <x v="1"/>
    <n v="4"/>
    <s v="Single"/>
    <n v="2045"/>
    <n v="15174"/>
    <n v="0"/>
    <s v="Y"/>
    <s v="No"/>
    <n v="13"/>
    <n v="3"/>
    <n v="4"/>
    <n v="80"/>
    <n v="0"/>
    <n v="5"/>
    <n v="0"/>
    <n v="3"/>
    <x v="9"/>
    <n v="2"/>
    <n v="1"/>
    <n v="1"/>
    <x v="2"/>
    <x v="1"/>
    <s v="Active"/>
    <x v="4"/>
  </r>
  <r>
    <n v="20"/>
    <x v="0"/>
    <s v="Travel Rarely"/>
    <n v="1362"/>
    <x v="1"/>
    <n v="10"/>
    <n v="1"/>
    <s v="Medical"/>
    <n v="1"/>
    <x v="513"/>
    <n v="4"/>
    <x v="1"/>
    <n v="32"/>
    <n v="3"/>
    <n v="1"/>
    <x v="1"/>
    <n v="3"/>
    <s v="Single"/>
    <n v="1009"/>
    <n v="26999"/>
    <n v="1"/>
    <s v="Y"/>
    <s v="Yes"/>
    <n v="11"/>
    <n v="3"/>
    <n v="4"/>
    <n v="80"/>
    <n v="0"/>
    <n v="1"/>
    <n v="5"/>
    <n v="3"/>
    <x v="6"/>
    <n v="0"/>
    <n v="1"/>
    <n v="1"/>
    <x v="2"/>
    <x v="1"/>
    <s v="Resigned"/>
    <x v="1"/>
  </r>
  <r>
    <n v="33"/>
    <x v="0"/>
    <s v="Travel Frequently"/>
    <n v="1076"/>
    <x v="1"/>
    <n v="3"/>
    <n v="3"/>
    <s v="Life Sciences"/>
    <n v="1"/>
    <x v="514"/>
    <n v="1"/>
    <x v="1"/>
    <n v="70"/>
    <n v="3"/>
    <n v="1"/>
    <x v="1"/>
    <n v="1"/>
    <s v="Single"/>
    <n v="3348"/>
    <n v="3164"/>
    <n v="1"/>
    <s v="Y"/>
    <s v="Yes"/>
    <n v="11"/>
    <n v="3"/>
    <n v="1"/>
    <n v="80"/>
    <n v="0"/>
    <n v="10"/>
    <n v="3"/>
    <n v="3"/>
    <x v="1"/>
    <n v="8"/>
    <n v="9"/>
    <n v="7"/>
    <x v="1"/>
    <x v="1"/>
    <s v="Resigned"/>
    <x v="0"/>
  </r>
  <r>
    <n v="35"/>
    <x v="1"/>
    <s v="Non Travel"/>
    <n v="727"/>
    <x v="1"/>
    <n v="3"/>
    <n v="3"/>
    <s v="Life Sciences"/>
    <n v="1"/>
    <x v="515"/>
    <n v="3"/>
    <x v="1"/>
    <n v="41"/>
    <n v="2"/>
    <n v="1"/>
    <x v="2"/>
    <n v="3"/>
    <s v="Married"/>
    <n v="1281"/>
    <n v="16900"/>
    <n v="1"/>
    <s v="Y"/>
    <s v="No"/>
    <n v="18"/>
    <n v="3"/>
    <n v="3"/>
    <n v="80"/>
    <n v="2"/>
    <n v="1"/>
    <n v="3"/>
    <n v="3"/>
    <x v="6"/>
    <n v="0"/>
    <n v="0"/>
    <n v="0"/>
    <x v="1"/>
    <x v="1"/>
    <s v="Active"/>
    <x v="1"/>
  </r>
  <r>
    <n v="23"/>
    <x v="1"/>
    <s v="Travel Rarely"/>
    <n v="885"/>
    <x v="1"/>
    <n v="4"/>
    <n v="3"/>
    <s v="Medical"/>
    <n v="1"/>
    <x v="516"/>
    <n v="1"/>
    <x v="1"/>
    <n v="58"/>
    <n v="4"/>
    <n v="1"/>
    <x v="1"/>
    <n v="1"/>
    <s v="Married"/>
    <n v="2819"/>
    <n v="8544"/>
    <n v="2"/>
    <s v="Y"/>
    <s v="No"/>
    <n v="16"/>
    <n v="3"/>
    <n v="1"/>
    <n v="80"/>
    <n v="1"/>
    <n v="5"/>
    <n v="3"/>
    <n v="4"/>
    <x v="11"/>
    <n v="2"/>
    <n v="0"/>
    <n v="2"/>
    <x v="2"/>
    <x v="1"/>
    <s v="Active"/>
    <x v="5"/>
  </r>
  <r>
    <n v="25"/>
    <x v="1"/>
    <s v="Travel Rarely"/>
    <n v="810"/>
    <x v="0"/>
    <n v="8"/>
    <n v="3"/>
    <s v="Life Sciences"/>
    <n v="1"/>
    <x v="517"/>
    <n v="4"/>
    <x v="1"/>
    <n v="57"/>
    <n v="4"/>
    <n v="2"/>
    <x v="0"/>
    <n v="2"/>
    <s v="Married"/>
    <n v="4851"/>
    <n v="15678"/>
    <n v="0"/>
    <s v="Y"/>
    <s v="No"/>
    <n v="22"/>
    <n v="4"/>
    <n v="3"/>
    <n v="80"/>
    <n v="1"/>
    <n v="4"/>
    <n v="4"/>
    <n v="3"/>
    <x v="11"/>
    <n v="2"/>
    <n v="1"/>
    <n v="2"/>
    <x v="2"/>
    <x v="1"/>
    <s v="Active"/>
    <x v="5"/>
  </r>
  <r>
    <n v="38"/>
    <x v="1"/>
    <s v="Travel Rarely"/>
    <n v="243"/>
    <x v="0"/>
    <n v="7"/>
    <n v="4"/>
    <s v="Marketing"/>
    <n v="1"/>
    <x v="518"/>
    <n v="4"/>
    <x v="0"/>
    <n v="46"/>
    <n v="2"/>
    <n v="2"/>
    <x v="0"/>
    <n v="4"/>
    <s v="Single"/>
    <n v="4028"/>
    <n v="7791"/>
    <n v="0"/>
    <s v="Y"/>
    <s v="No"/>
    <n v="20"/>
    <n v="4"/>
    <n v="1"/>
    <n v="80"/>
    <n v="0"/>
    <n v="8"/>
    <n v="2"/>
    <n v="3"/>
    <x v="5"/>
    <n v="7"/>
    <n v="0"/>
    <n v="5"/>
    <x v="1"/>
    <x v="1"/>
    <s v="Active"/>
    <x v="0"/>
  </r>
  <r>
    <n v="29"/>
    <x v="1"/>
    <s v="Travel Frequently"/>
    <n v="806"/>
    <x v="1"/>
    <n v="1"/>
    <n v="4"/>
    <s v="Life Sciences"/>
    <n v="1"/>
    <x v="519"/>
    <n v="2"/>
    <x v="1"/>
    <n v="76"/>
    <n v="1"/>
    <n v="1"/>
    <x v="1"/>
    <n v="4"/>
    <s v="Divorced"/>
    <n v="2720"/>
    <n v="18959"/>
    <n v="1"/>
    <s v="Y"/>
    <s v="No"/>
    <n v="18"/>
    <n v="3"/>
    <n v="4"/>
    <n v="80"/>
    <n v="1"/>
    <n v="10"/>
    <n v="5"/>
    <n v="3"/>
    <x v="1"/>
    <n v="7"/>
    <n v="2"/>
    <n v="8"/>
    <x v="2"/>
    <x v="1"/>
    <s v="Active"/>
    <x v="0"/>
  </r>
  <r>
    <n v="48"/>
    <x v="1"/>
    <s v="Travel Rarely"/>
    <n v="817"/>
    <x v="0"/>
    <n v="2"/>
    <n v="1"/>
    <s v="Marketing"/>
    <n v="1"/>
    <x v="520"/>
    <n v="2"/>
    <x v="1"/>
    <n v="56"/>
    <n v="4"/>
    <n v="2"/>
    <x v="0"/>
    <n v="2"/>
    <s v="Married"/>
    <n v="8120"/>
    <n v="18597"/>
    <n v="3"/>
    <s v="Y"/>
    <s v="No"/>
    <n v="12"/>
    <n v="3"/>
    <n v="4"/>
    <n v="80"/>
    <n v="0"/>
    <n v="12"/>
    <n v="3"/>
    <n v="3"/>
    <x v="4"/>
    <n v="2"/>
    <n v="2"/>
    <n v="2"/>
    <x v="0"/>
    <x v="0"/>
    <s v="Active"/>
    <x v="2"/>
  </r>
  <r>
    <n v="27"/>
    <x v="1"/>
    <s v="Travel Frequently"/>
    <n v="1410"/>
    <x v="0"/>
    <n v="3"/>
    <n v="1"/>
    <s v="Medical"/>
    <n v="1"/>
    <x v="521"/>
    <n v="4"/>
    <x v="0"/>
    <n v="71"/>
    <n v="4"/>
    <n v="2"/>
    <x v="0"/>
    <n v="4"/>
    <s v="Divorced"/>
    <n v="4647"/>
    <n v="16673"/>
    <n v="1"/>
    <s v="Y"/>
    <s v="Yes"/>
    <n v="20"/>
    <n v="4"/>
    <n v="2"/>
    <n v="80"/>
    <n v="2"/>
    <n v="6"/>
    <n v="3"/>
    <n v="3"/>
    <x v="0"/>
    <n v="5"/>
    <n v="0"/>
    <n v="4"/>
    <x v="2"/>
    <x v="1"/>
    <s v="Active"/>
    <x v="0"/>
  </r>
  <r>
    <n v="37"/>
    <x v="1"/>
    <s v="Travel Rarely"/>
    <n v="1225"/>
    <x v="1"/>
    <n v="10"/>
    <n v="2"/>
    <s v="Life Sciences"/>
    <n v="1"/>
    <x v="522"/>
    <n v="4"/>
    <x v="1"/>
    <n v="80"/>
    <n v="4"/>
    <n v="1"/>
    <x v="1"/>
    <n v="4"/>
    <s v="Single"/>
    <n v="4680"/>
    <n v="15232"/>
    <n v="3"/>
    <s v="Y"/>
    <s v="No"/>
    <n v="17"/>
    <n v="3"/>
    <n v="1"/>
    <n v="80"/>
    <n v="0"/>
    <n v="4"/>
    <n v="2"/>
    <n v="3"/>
    <x v="6"/>
    <n v="0"/>
    <n v="0"/>
    <n v="0"/>
    <x v="1"/>
    <x v="1"/>
    <s v="Active"/>
    <x v="1"/>
  </r>
  <r>
    <n v="50"/>
    <x v="1"/>
    <s v="Travel Rarely"/>
    <n v="1207"/>
    <x v="1"/>
    <n v="28"/>
    <n v="1"/>
    <s v="Medical"/>
    <n v="1"/>
    <x v="523"/>
    <n v="4"/>
    <x v="1"/>
    <n v="74"/>
    <n v="4"/>
    <n v="1"/>
    <x v="2"/>
    <n v="3"/>
    <s v="Married"/>
    <n v="3221"/>
    <n v="3297"/>
    <n v="1"/>
    <s v="Y"/>
    <s v="Yes"/>
    <n v="11"/>
    <n v="3"/>
    <n v="3"/>
    <n v="80"/>
    <n v="3"/>
    <n v="20"/>
    <n v="3"/>
    <n v="3"/>
    <x v="23"/>
    <n v="8"/>
    <n v="3"/>
    <n v="8"/>
    <x v="0"/>
    <x v="1"/>
    <s v="Active"/>
    <x v="0"/>
  </r>
  <r>
    <n v="34"/>
    <x v="1"/>
    <s v="Travel Rarely"/>
    <n v="1442"/>
    <x v="1"/>
    <n v="9"/>
    <n v="3"/>
    <s v="Medical"/>
    <n v="1"/>
    <x v="524"/>
    <n v="4"/>
    <x v="0"/>
    <n v="46"/>
    <n v="2"/>
    <n v="3"/>
    <x v="4"/>
    <n v="2"/>
    <s v="Single"/>
    <n v="8621"/>
    <n v="17654"/>
    <n v="1"/>
    <s v="Y"/>
    <s v="No"/>
    <n v="14"/>
    <n v="3"/>
    <n v="2"/>
    <n v="80"/>
    <n v="0"/>
    <n v="9"/>
    <n v="3"/>
    <n v="4"/>
    <x v="3"/>
    <n v="7"/>
    <n v="7"/>
    <n v="7"/>
    <x v="1"/>
    <x v="0"/>
    <s v="Active"/>
    <x v="0"/>
  </r>
  <r>
    <n v="24"/>
    <x v="0"/>
    <s v="Travel Rarely"/>
    <n v="693"/>
    <x v="0"/>
    <n v="3"/>
    <n v="2"/>
    <s v="Life Sciences"/>
    <n v="1"/>
    <x v="525"/>
    <n v="1"/>
    <x v="0"/>
    <n v="65"/>
    <n v="3"/>
    <n v="2"/>
    <x v="0"/>
    <n v="3"/>
    <s v="Single"/>
    <n v="4577"/>
    <n v="24785"/>
    <n v="9"/>
    <s v="Y"/>
    <s v="No"/>
    <n v="14"/>
    <n v="3"/>
    <n v="1"/>
    <n v="80"/>
    <n v="0"/>
    <n v="4"/>
    <n v="3"/>
    <n v="3"/>
    <x v="4"/>
    <n v="2"/>
    <n v="2"/>
    <n v="0"/>
    <x v="2"/>
    <x v="1"/>
    <s v="Resigned"/>
    <x v="2"/>
  </r>
  <r>
    <n v="39"/>
    <x v="1"/>
    <s v="Travel Rarely"/>
    <n v="408"/>
    <x v="1"/>
    <n v="2"/>
    <n v="4"/>
    <s v="Technical Degree"/>
    <n v="1"/>
    <x v="526"/>
    <n v="4"/>
    <x v="0"/>
    <n v="80"/>
    <n v="2"/>
    <n v="2"/>
    <x v="4"/>
    <n v="3"/>
    <s v="Single"/>
    <n v="4553"/>
    <n v="20978"/>
    <n v="1"/>
    <s v="Y"/>
    <s v="No"/>
    <n v="11"/>
    <n v="3"/>
    <n v="1"/>
    <n v="80"/>
    <n v="0"/>
    <n v="20"/>
    <n v="4"/>
    <n v="3"/>
    <x v="23"/>
    <n v="7"/>
    <n v="11"/>
    <n v="10"/>
    <x v="1"/>
    <x v="1"/>
    <s v="Active"/>
    <x v="0"/>
  </r>
  <r>
    <n v="32"/>
    <x v="1"/>
    <s v="Travel Rarely"/>
    <n v="929"/>
    <x v="0"/>
    <n v="10"/>
    <n v="3"/>
    <s v="Marketing"/>
    <n v="1"/>
    <x v="527"/>
    <n v="4"/>
    <x v="1"/>
    <n v="55"/>
    <n v="3"/>
    <n v="2"/>
    <x v="0"/>
    <n v="4"/>
    <s v="Single"/>
    <n v="5396"/>
    <n v="21703"/>
    <n v="1"/>
    <s v="Y"/>
    <s v="No"/>
    <n v="12"/>
    <n v="3"/>
    <n v="4"/>
    <n v="80"/>
    <n v="0"/>
    <n v="10"/>
    <n v="2"/>
    <n v="2"/>
    <x v="1"/>
    <n v="7"/>
    <n v="0"/>
    <n v="8"/>
    <x v="1"/>
    <x v="0"/>
    <s v="Active"/>
    <x v="0"/>
  </r>
  <r>
    <n v="50"/>
    <x v="0"/>
    <s v="Travel Frequently"/>
    <n v="562"/>
    <x v="0"/>
    <n v="8"/>
    <n v="2"/>
    <s v="Technical Degree"/>
    <n v="1"/>
    <x v="528"/>
    <n v="2"/>
    <x v="1"/>
    <n v="50"/>
    <n v="3"/>
    <n v="2"/>
    <x v="0"/>
    <n v="3"/>
    <s v="Married"/>
    <n v="6796"/>
    <n v="23452"/>
    <n v="3"/>
    <s v="Y"/>
    <s v="Yes"/>
    <n v="14"/>
    <n v="3"/>
    <n v="1"/>
    <n v="80"/>
    <n v="1"/>
    <n v="18"/>
    <n v="4"/>
    <n v="3"/>
    <x v="9"/>
    <n v="3"/>
    <n v="1"/>
    <n v="3"/>
    <x v="0"/>
    <x v="0"/>
    <s v="Resigned"/>
    <x v="4"/>
  </r>
  <r>
    <n v="38"/>
    <x v="1"/>
    <s v="Travel Rarely"/>
    <n v="827"/>
    <x v="1"/>
    <n v="1"/>
    <n v="4"/>
    <s v="Life Sciences"/>
    <n v="1"/>
    <x v="529"/>
    <n v="2"/>
    <x v="0"/>
    <n v="33"/>
    <n v="4"/>
    <n v="2"/>
    <x v="4"/>
    <n v="4"/>
    <s v="Single"/>
    <n v="7625"/>
    <n v="19383"/>
    <n v="0"/>
    <s v="Y"/>
    <s v="No"/>
    <n v="13"/>
    <n v="3"/>
    <n v="3"/>
    <n v="80"/>
    <n v="0"/>
    <n v="10"/>
    <n v="4"/>
    <n v="2"/>
    <x v="7"/>
    <n v="7"/>
    <n v="1"/>
    <n v="8"/>
    <x v="1"/>
    <x v="0"/>
    <s v="Active"/>
    <x v="0"/>
  </r>
  <r>
    <n v="27"/>
    <x v="1"/>
    <s v="Travel Rarely"/>
    <n v="608"/>
    <x v="1"/>
    <n v="1"/>
    <n v="2"/>
    <s v="Life Sciences"/>
    <n v="1"/>
    <x v="530"/>
    <n v="3"/>
    <x v="0"/>
    <n v="68"/>
    <n v="3"/>
    <n v="3"/>
    <x v="3"/>
    <n v="1"/>
    <s v="Married"/>
    <n v="7412"/>
    <n v="6009"/>
    <n v="1"/>
    <s v="Y"/>
    <s v="No"/>
    <n v="11"/>
    <n v="3"/>
    <n v="4"/>
    <n v="80"/>
    <n v="0"/>
    <n v="9"/>
    <n v="3"/>
    <n v="3"/>
    <x v="7"/>
    <n v="7"/>
    <n v="0"/>
    <n v="7"/>
    <x v="2"/>
    <x v="0"/>
    <s v="Active"/>
    <x v="0"/>
  </r>
  <r>
    <n v="32"/>
    <x v="1"/>
    <s v="Travel Rarely"/>
    <n v="1018"/>
    <x v="1"/>
    <n v="3"/>
    <n v="2"/>
    <s v="Life Sciences"/>
    <n v="1"/>
    <x v="531"/>
    <n v="3"/>
    <x v="0"/>
    <n v="39"/>
    <n v="3"/>
    <n v="3"/>
    <x v="7"/>
    <n v="4"/>
    <s v="Single"/>
    <n v="11159"/>
    <n v="19373"/>
    <n v="3"/>
    <s v="Y"/>
    <s v="No"/>
    <n v="15"/>
    <n v="3"/>
    <n v="4"/>
    <n v="80"/>
    <n v="0"/>
    <n v="10"/>
    <n v="6"/>
    <n v="3"/>
    <x v="5"/>
    <n v="7"/>
    <n v="7"/>
    <n v="7"/>
    <x v="1"/>
    <x v="2"/>
    <s v="Active"/>
    <x v="0"/>
  </r>
  <r>
    <n v="47"/>
    <x v="1"/>
    <s v="Travel Rarely"/>
    <n v="703"/>
    <x v="0"/>
    <n v="14"/>
    <n v="4"/>
    <s v="Marketing"/>
    <n v="1"/>
    <x v="532"/>
    <n v="4"/>
    <x v="1"/>
    <n v="42"/>
    <n v="3"/>
    <n v="2"/>
    <x v="0"/>
    <n v="1"/>
    <s v="Single"/>
    <n v="4960"/>
    <n v="11825"/>
    <n v="2"/>
    <s v="Y"/>
    <s v="No"/>
    <n v="12"/>
    <n v="3"/>
    <n v="4"/>
    <n v="80"/>
    <n v="0"/>
    <n v="20"/>
    <n v="2"/>
    <n v="3"/>
    <x v="5"/>
    <n v="7"/>
    <n v="1"/>
    <n v="7"/>
    <x v="0"/>
    <x v="1"/>
    <s v="Active"/>
    <x v="0"/>
  </r>
  <r>
    <n v="40"/>
    <x v="1"/>
    <s v="Travel Frequently"/>
    <n v="580"/>
    <x v="0"/>
    <n v="5"/>
    <n v="4"/>
    <s v="Life Sciences"/>
    <n v="1"/>
    <x v="533"/>
    <n v="4"/>
    <x v="1"/>
    <n v="48"/>
    <n v="2"/>
    <n v="3"/>
    <x v="0"/>
    <n v="1"/>
    <s v="Married"/>
    <n v="10475"/>
    <n v="23772"/>
    <n v="5"/>
    <s v="Y"/>
    <s v="Yes"/>
    <n v="21"/>
    <n v="4"/>
    <n v="3"/>
    <n v="80"/>
    <n v="1"/>
    <n v="20"/>
    <n v="2"/>
    <n v="3"/>
    <x v="29"/>
    <n v="13"/>
    <n v="1"/>
    <n v="12"/>
    <x v="1"/>
    <x v="2"/>
    <s v="Active"/>
    <x v="0"/>
  </r>
  <r>
    <n v="53"/>
    <x v="1"/>
    <s v="Travel Rarely"/>
    <n v="970"/>
    <x v="1"/>
    <n v="7"/>
    <n v="3"/>
    <s v="Life Sciences"/>
    <n v="1"/>
    <x v="534"/>
    <n v="3"/>
    <x v="1"/>
    <n v="59"/>
    <n v="4"/>
    <n v="4"/>
    <x v="7"/>
    <n v="3"/>
    <s v="Married"/>
    <n v="14814"/>
    <n v="13514"/>
    <n v="3"/>
    <s v="Y"/>
    <s v="No"/>
    <n v="19"/>
    <n v="3"/>
    <n v="3"/>
    <n v="80"/>
    <n v="0"/>
    <n v="32"/>
    <n v="3"/>
    <n v="3"/>
    <x v="8"/>
    <n v="1"/>
    <n v="1"/>
    <n v="3"/>
    <x v="0"/>
    <x v="2"/>
    <s v="Active"/>
    <x v="3"/>
  </r>
  <r>
    <n v="41"/>
    <x v="1"/>
    <s v="Travel Rarely"/>
    <n v="427"/>
    <x v="2"/>
    <n v="10"/>
    <n v="4"/>
    <s v="Human Resources"/>
    <n v="1"/>
    <x v="535"/>
    <n v="2"/>
    <x v="1"/>
    <n v="73"/>
    <n v="2"/>
    <n v="5"/>
    <x v="5"/>
    <n v="4"/>
    <s v="Divorced"/>
    <n v="19141"/>
    <n v="8861"/>
    <n v="3"/>
    <s v="Y"/>
    <s v="No"/>
    <n v="15"/>
    <n v="3"/>
    <n v="2"/>
    <n v="80"/>
    <n v="3"/>
    <n v="23"/>
    <n v="2"/>
    <n v="2"/>
    <x v="17"/>
    <n v="6"/>
    <n v="12"/>
    <n v="6"/>
    <x v="0"/>
    <x v="2"/>
    <s v="Active"/>
    <x v="0"/>
  </r>
  <r>
    <n v="60"/>
    <x v="1"/>
    <s v="Travel Rarely"/>
    <n v="1179"/>
    <x v="0"/>
    <n v="16"/>
    <n v="4"/>
    <s v="Marketing"/>
    <n v="1"/>
    <x v="536"/>
    <n v="1"/>
    <x v="1"/>
    <n v="84"/>
    <n v="3"/>
    <n v="2"/>
    <x v="0"/>
    <n v="1"/>
    <s v="Single"/>
    <n v="5405"/>
    <n v="11924"/>
    <n v="8"/>
    <s v="Y"/>
    <s v="No"/>
    <n v="14"/>
    <n v="3"/>
    <n v="4"/>
    <n v="80"/>
    <n v="0"/>
    <n v="10"/>
    <n v="1"/>
    <n v="3"/>
    <x v="4"/>
    <n v="2"/>
    <n v="2"/>
    <n v="2"/>
    <x v="0"/>
    <x v="0"/>
    <s v="Active"/>
    <x v="2"/>
  </r>
  <r>
    <n v="27"/>
    <x v="1"/>
    <s v="Travel Frequently"/>
    <n v="294"/>
    <x v="1"/>
    <n v="10"/>
    <n v="2"/>
    <s v="Life Sciences"/>
    <n v="1"/>
    <x v="537"/>
    <n v="4"/>
    <x v="1"/>
    <n v="32"/>
    <n v="3"/>
    <n v="3"/>
    <x v="3"/>
    <n v="1"/>
    <s v="Divorced"/>
    <n v="8793"/>
    <n v="4809"/>
    <n v="1"/>
    <s v="Y"/>
    <s v="No"/>
    <n v="21"/>
    <n v="4"/>
    <n v="3"/>
    <n v="80"/>
    <n v="2"/>
    <n v="9"/>
    <n v="4"/>
    <n v="2"/>
    <x v="7"/>
    <n v="7"/>
    <n v="1"/>
    <n v="7"/>
    <x v="2"/>
    <x v="0"/>
    <s v="Active"/>
    <x v="0"/>
  </r>
  <r>
    <n v="41"/>
    <x v="1"/>
    <s v="Travel Rarely"/>
    <n v="314"/>
    <x v="2"/>
    <n v="1"/>
    <n v="3"/>
    <s v="Human Resources"/>
    <n v="1"/>
    <x v="538"/>
    <n v="4"/>
    <x v="1"/>
    <n v="59"/>
    <n v="2"/>
    <n v="5"/>
    <x v="5"/>
    <n v="3"/>
    <s v="Married"/>
    <n v="19189"/>
    <n v="19562"/>
    <n v="1"/>
    <s v="Y"/>
    <s v="No"/>
    <n v="12"/>
    <n v="3"/>
    <n v="2"/>
    <n v="80"/>
    <n v="1"/>
    <n v="22"/>
    <n v="3"/>
    <n v="3"/>
    <x v="14"/>
    <n v="7"/>
    <n v="2"/>
    <n v="10"/>
    <x v="0"/>
    <x v="2"/>
    <s v="Active"/>
    <x v="0"/>
  </r>
  <r>
    <n v="50"/>
    <x v="1"/>
    <s v="Travel Rarely"/>
    <n v="316"/>
    <x v="0"/>
    <n v="8"/>
    <n v="4"/>
    <s v="Marketing"/>
    <n v="1"/>
    <x v="539"/>
    <n v="4"/>
    <x v="1"/>
    <n v="54"/>
    <n v="3"/>
    <n v="1"/>
    <x v="6"/>
    <n v="2"/>
    <s v="Married"/>
    <n v="3875"/>
    <n v="9983"/>
    <n v="7"/>
    <s v="Y"/>
    <s v="No"/>
    <n v="15"/>
    <n v="3"/>
    <n v="4"/>
    <n v="80"/>
    <n v="1"/>
    <n v="4"/>
    <n v="2"/>
    <n v="3"/>
    <x v="4"/>
    <n v="2"/>
    <n v="2"/>
    <n v="2"/>
    <x v="0"/>
    <x v="1"/>
    <s v="Active"/>
    <x v="2"/>
  </r>
  <r>
    <n v="28"/>
    <x v="0"/>
    <s v="Travel Rarely"/>
    <n v="654"/>
    <x v="1"/>
    <n v="1"/>
    <n v="2"/>
    <s v="Life Sciences"/>
    <n v="1"/>
    <x v="540"/>
    <n v="1"/>
    <x v="0"/>
    <n v="67"/>
    <n v="1"/>
    <n v="1"/>
    <x v="1"/>
    <n v="2"/>
    <s v="Single"/>
    <n v="2216"/>
    <n v="3872"/>
    <n v="7"/>
    <s v="Y"/>
    <s v="Yes"/>
    <n v="13"/>
    <n v="3"/>
    <n v="4"/>
    <n v="80"/>
    <n v="0"/>
    <n v="10"/>
    <n v="4"/>
    <n v="3"/>
    <x v="5"/>
    <n v="7"/>
    <n v="3"/>
    <n v="7"/>
    <x v="2"/>
    <x v="1"/>
    <s v="Resigned"/>
    <x v="0"/>
  </r>
  <r>
    <n v="36"/>
    <x v="1"/>
    <s v="Non Travel"/>
    <n v="427"/>
    <x v="1"/>
    <n v="8"/>
    <n v="3"/>
    <s v="Life Sciences"/>
    <n v="1"/>
    <x v="541"/>
    <n v="1"/>
    <x v="0"/>
    <n v="63"/>
    <n v="4"/>
    <n v="3"/>
    <x v="7"/>
    <n v="1"/>
    <s v="Married"/>
    <n v="11713"/>
    <n v="20335"/>
    <n v="9"/>
    <s v="Y"/>
    <s v="No"/>
    <n v="14"/>
    <n v="3"/>
    <n v="1"/>
    <n v="80"/>
    <n v="1"/>
    <n v="10"/>
    <n v="2"/>
    <n v="3"/>
    <x v="3"/>
    <n v="7"/>
    <n v="0"/>
    <n v="5"/>
    <x v="1"/>
    <x v="2"/>
    <s v="Active"/>
    <x v="0"/>
  </r>
  <r>
    <n v="38"/>
    <x v="1"/>
    <s v="Travel Rarely"/>
    <n v="168"/>
    <x v="1"/>
    <n v="1"/>
    <n v="3"/>
    <s v="Life Sciences"/>
    <n v="1"/>
    <x v="542"/>
    <n v="3"/>
    <x v="0"/>
    <n v="81"/>
    <n v="3"/>
    <n v="3"/>
    <x v="3"/>
    <n v="3"/>
    <s v="Single"/>
    <n v="7861"/>
    <n v="15397"/>
    <n v="4"/>
    <s v="Y"/>
    <s v="Yes"/>
    <n v="14"/>
    <n v="3"/>
    <n v="4"/>
    <n v="80"/>
    <n v="0"/>
    <n v="10"/>
    <n v="4"/>
    <n v="4"/>
    <x v="6"/>
    <n v="0"/>
    <n v="0"/>
    <n v="0"/>
    <x v="1"/>
    <x v="0"/>
    <s v="Active"/>
    <x v="1"/>
  </r>
  <r>
    <n v="44"/>
    <x v="1"/>
    <s v="Non Travel"/>
    <n v="381"/>
    <x v="1"/>
    <n v="24"/>
    <n v="3"/>
    <s v="Medical"/>
    <n v="1"/>
    <x v="543"/>
    <n v="1"/>
    <x v="1"/>
    <n v="49"/>
    <n v="1"/>
    <n v="1"/>
    <x v="2"/>
    <n v="3"/>
    <s v="Single"/>
    <n v="3708"/>
    <n v="2104"/>
    <n v="2"/>
    <s v="Y"/>
    <s v="No"/>
    <n v="14"/>
    <n v="3"/>
    <n v="3"/>
    <n v="80"/>
    <n v="0"/>
    <n v="9"/>
    <n v="5"/>
    <n v="3"/>
    <x v="8"/>
    <n v="2"/>
    <n v="1"/>
    <n v="4"/>
    <x v="0"/>
    <x v="1"/>
    <s v="Active"/>
    <x v="3"/>
  </r>
  <r>
    <n v="47"/>
    <x v="1"/>
    <s v="Travel Frequently"/>
    <n v="217"/>
    <x v="0"/>
    <n v="3"/>
    <n v="3"/>
    <s v="Medical"/>
    <n v="1"/>
    <x v="544"/>
    <n v="4"/>
    <x v="0"/>
    <n v="49"/>
    <n v="3"/>
    <n v="4"/>
    <x v="0"/>
    <n v="3"/>
    <s v="Divorced"/>
    <n v="13770"/>
    <n v="10225"/>
    <n v="9"/>
    <s v="Y"/>
    <s v="Yes"/>
    <n v="12"/>
    <n v="3"/>
    <n v="4"/>
    <n v="80"/>
    <n v="2"/>
    <n v="28"/>
    <n v="2"/>
    <n v="2"/>
    <x v="14"/>
    <n v="2"/>
    <n v="11"/>
    <n v="13"/>
    <x v="0"/>
    <x v="2"/>
    <s v="Active"/>
    <x v="0"/>
  </r>
  <r>
    <n v="30"/>
    <x v="1"/>
    <s v="Travel Rarely"/>
    <n v="501"/>
    <x v="0"/>
    <n v="27"/>
    <n v="5"/>
    <s v="Marketing"/>
    <n v="1"/>
    <x v="545"/>
    <n v="3"/>
    <x v="1"/>
    <n v="99"/>
    <n v="3"/>
    <n v="2"/>
    <x v="0"/>
    <n v="4"/>
    <s v="Divorced"/>
    <n v="5304"/>
    <n v="25275"/>
    <n v="7"/>
    <s v="Y"/>
    <s v="No"/>
    <n v="23"/>
    <n v="4"/>
    <n v="4"/>
    <n v="80"/>
    <n v="1"/>
    <n v="10"/>
    <n v="2"/>
    <n v="2"/>
    <x v="3"/>
    <n v="7"/>
    <n v="7"/>
    <n v="7"/>
    <x v="1"/>
    <x v="0"/>
    <s v="Active"/>
    <x v="0"/>
  </r>
  <r>
    <n v="29"/>
    <x v="1"/>
    <s v="Travel Rarely"/>
    <n v="1396"/>
    <x v="0"/>
    <n v="10"/>
    <n v="3"/>
    <s v="Life Sciences"/>
    <n v="1"/>
    <x v="546"/>
    <n v="3"/>
    <x v="1"/>
    <n v="99"/>
    <n v="3"/>
    <n v="1"/>
    <x v="6"/>
    <n v="3"/>
    <s v="Single"/>
    <n v="2642"/>
    <n v="2755"/>
    <n v="1"/>
    <s v="Y"/>
    <s v="No"/>
    <n v="11"/>
    <n v="3"/>
    <n v="3"/>
    <n v="80"/>
    <n v="0"/>
    <n v="1"/>
    <n v="6"/>
    <n v="3"/>
    <x v="6"/>
    <n v="0"/>
    <n v="0"/>
    <n v="0"/>
    <x v="2"/>
    <x v="1"/>
    <s v="Active"/>
    <x v="1"/>
  </r>
  <r>
    <n v="42"/>
    <x v="0"/>
    <s v="Travel Frequently"/>
    <n v="933"/>
    <x v="1"/>
    <n v="19"/>
    <n v="3"/>
    <s v="Medical"/>
    <n v="1"/>
    <x v="547"/>
    <n v="3"/>
    <x v="1"/>
    <n v="57"/>
    <n v="4"/>
    <n v="1"/>
    <x v="1"/>
    <n v="3"/>
    <s v="Divorced"/>
    <n v="2759"/>
    <n v="20366"/>
    <n v="6"/>
    <s v="Y"/>
    <s v="Yes"/>
    <n v="12"/>
    <n v="3"/>
    <n v="4"/>
    <n v="80"/>
    <n v="0"/>
    <n v="7"/>
    <n v="2"/>
    <n v="3"/>
    <x v="4"/>
    <n v="2"/>
    <n v="2"/>
    <n v="2"/>
    <x v="0"/>
    <x v="1"/>
    <s v="Resigned"/>
    <x v="2"/>
  </r>
  <r>
    <n v="43"/>
    <x v="1"/>
    <s v="Travel Frequently"/>
    <n v="775"/>
    <x v="0"/>
    <n v="15"/>
    <n v="3"/>
    <s v="Life Sciences"/>
    <n v="1"/>
    <x v="548"/>
    <n v="4"/>
    <x v="1"/>
    <n v="47"/>
    <n v="2"/>
    <n v="2"/>
    <x v="0"/>
    <n v="4"/>
    <s v="Married"/>
    <n v="6804"/>
    <n v="23683"/>
    <n v="3"/>
    <s v="Y"/>
    <s v="No"/>
    <n v="18"/>
    <n v="3"/>
    <n v="3"/>
    <n v="80"/>
    <n v="1"/>
    <n v="7"/>
    <n v="5"/>
    <n v="3"/>
    <x v="4"/>
    <n v="2"/>
    <n v="2"/>
    <n v="2"/>
    <x v="0"/>
    <x v="0"/>
    <s v="Active"/>
    <x v="2"/>
  </r>
  <r>
    <n v="34"/>
    <x v="1"/>
    <s v="Travel Rarely"/>
    <n v="970"/>
    <x v="1"/>
    <n v="8"/>
    <n v="2"/>
    <s v="Medical"/>
    <n v="1"/>
    <x v="549"/>
    <n v="2"/>
    <x v="0"/>
    <n v="96"/>
    <n v="3"/>
    <n v="2"/>
    <x v="4"/>
    <n v="3"/>
    <s v="Single"/>
    <n v="6142"/>
    <n v="7360"/>
    <n v="3"/>
    <s v="Y"/>
    <s v="No"/>
    <n v="11"/>
    <n v="3"/>
    <n v="4"/>
    <n v="80"/>
    <n v="0"/>
    <n v="10"/>
    <n v="2"/>
    <n v="3"/>
    <x v="8"/>
    <n v="1"/>
    <n v="4"/>
    <n v="3"/>
    <x v="1"/>
    <x v="0"/>
    <s v="Active"/>
    <x v="3"/>
  </r>
  <r>
    <n v="23"/>
    <x v="1"/>
    <s v="Travel Rarely"/>
    <n v="650"/>
    <x v="1"/>
    <n v="9"/>
    <n v="1"/>
    <s v="Medical"/>
    <n v="1"/>
    <x v="550"/>
    <n v="2"/>
    <x v="1"/>
    <n v="37"/>
    <n v="3"/>
    <n v="1"/>
    <x v="2"/>
    <n v="1"/>
    <s v="Married"/>
    <n v="2500"/>
    <n v="4344"/>
    <n v="1"/>
    <s v="Y"/>
    <s v="No"/>
    <n v="14"/>
    <n v="3"/>
    <n v="4"/>
    <n v="80"/>
    <n v="1"/>
    <n v="5"/>
    <n v="2"/>
    <n v="4"/>
    <x v="9"/>
    <n v="3"/>
    <n v="0"/>
    <n v="2"/>
    <x v="2"/>
    <x v="1"/>
    <s v="Active"/>
    <x v="4"/>
  </r>
  <r>
    <n v="39"/>
    <x v="1"/>
    <s v="Travel Rarely"/>
    <n v="141"/>
    <x v="2"/>
    <n v="3"/>
    <n v="3"/>
    <s v="Human Resources"/>
    <n v="1"/>
    <x v="551"/>
    <n v="3"/>
    <x v="0"/>
    <n v="44"/>
    <n v="4"/>
    <n v="2"/>
    <x v="8"/>
    <n v="2"/>
    <s v="Married"/>
    <n v="6389"/>
    <n v="18767"/>
    <n v="9"/>
    <s v="Y"/>
    <s v="No"/>
    <n v="15"/>
    <n v="3"/>
    <n v="3"/>
    <n v="80"/>
    <n v="1"/>
    <n v="12"/>
    <n v="3"/>
    <n v="1"/>
    <x v="3"/>
    <n v="3"/>
    <n v="3"/>
    <n v="6"/>
    <x v="1"/>
    <x v="0"/>
    <s v="Active"/>
    <x v="0"/>
  </r>
  <r>
    <n v="56"/>
    <x v="1"/>
    <s v="Travel Rarely"/>
    <n v="832"/>
    <x v="1"/>
    <n v="9"/>
    <n v="3"/>
    <s v="Medical"/>
    <n v="1"/>
    <x v="552"/>
    <n v="3"/>
    <x v="1"/>
    <n v="81"/>
    <n v="3"/>
    <n v="4"/>
    <x v="4"/>
    <n v="4"/>
    <s v="Married"/>
    <n v="11103"/>
    <n v="20420"/>
    <n v="7"/>
    <s v="Y"/>
    <s v="No"/>
    <n v="11"/>
    <n v="3"/>
    <n v="3"/>
    <n v="80"/>
    <n v="0"/>
    <n v="30"/>
    <n v="1"/>
    <n v="2"/>
    <x v="1"/>
    <n v="7"/>
    <n v="1"/>
    <n v="1"/>
    <x v="0"/>
    <x v="2"/>
    <s v="Active"/>
    <x v="0"/>
  </r>
  <r>
    <n v="40"/>
    <x v="1"/>
    <s v="Travel Rarely"/>
    <n v="804"/>
    <x v="1"/>
    <n v="2"/>
    <n v="1"/>
    <s v="Medical"/>
    <n v="1"/>
    <x v="553"/>
    <n v="4"/>
    <x v="0"/>
    <n v="86"/>
    <n v="2"/>
    <n v="1"/>
    <x v="1"/>
    <n v="4"/>
    <s v="Single"/>
    <n v="2342"/>
    <n v="22929"/>
    <n v="0"/>
    <s v="Y"/>
    <s v="Yes"/>
    <n v="20"/>
    <n v="4"/>
    <n v="4"/>
    <n v="80"/>
    <n v="0"/>
    <n v="5"/>
    <n v="2"/>
    <n v="2"/>
    <x v="9"/>
    <n v="2"/>
    <n v="2"/>
    <n v="3"/>
    <x v="1"/>
    <x v="1"/>
    <s v="Active"/>
    <x v="4"/>
  </r>
  <r>
    <n v="27"/>
    <x v="1"/>
    <s v="Travel Rarely"/>
    <n v="975"/>
    <x v="1"/>
    <n v="7"/>
    <n v="3"/>
    <s v="Medical"/>
    <n v="1"/>
    <x v="554"/>
    <n v="4"/>
    <x v="0"/>
    <n v="55"/>
    <n v="2"/>
    <n v="2"/>
    <x v="4"/>
    <n v="1"/>
    <s v="Single"/>
    <n v="6811"/>
    <n v="23398"/>
    <n v="8"/>
    <s v="Y"/>
    <s v="No"/>
    <n v="19"/>
    <n v="3"/>
    <n v="1"/>
    <n v="80"/>
    <n v="0"/>
    <n v="9"/>
    <n v="2"/>
    <n v="1"/>
    <x v="5"/>
    <n v="6"/>
    <n v="0"/>
    <n v="7"/>
    <x v="2"/>
    <x v="0"/>
    <s v="Active"/>
    <x v="0"/>
  </r>
  <r>
    <n v="29"/>
    <x v="1"/>
    <s v="Travel Rarely"/>
    <n v="1090"/>
    <x v="0"/>
    <n v="10"/>
    <n v="3"/>
    <s v="Marketing"/>
    <n v="1"/>
    <x v="555"/>
    <n v="4"/>
    <x v="1"/>
    <n v="83"/>
    <n v="3"/>
    <n v="1"/>
    <x v="6"/>
    <n v="2"/>
    <s v="Divorced"/>
    <n v="2297"/>
    <n v="17967"/>
    <n v="1"/>
    <s v="Y"/>
    <s v="No"/>
    <n v="14"/>
    <n v="3"/>
    <n v="4"/>
    <n v="80"/>
    <n v="2"/>
    <n v="2"/>
    <n v="2"/>
    <n v="3"/>
    <x v="4"/>
    <n v="2"/>
    <n v="2"/>
    <n v="2"/>
    <x v="2"/>
    <x v="1"/>
    <s v="Active"/>
    <x v="2"/>
  </r>
  <r>
    <n v="53"/>
    <x v="1"/>
    <s v="Travel Rarely"/>
    <n v="346"/>
    <x v="1"/>
    <n v="6"/>
    <n v="3"/>
    <s v="Life Sciences"/>
    <n v="1"/>
    <x v="556"/>
    <n v="4"/>
    <x v="1"/>
    <n v="86"/>
    <n v="3"/>
    <n v="2"/>
    <x v="2"/>
    <n v="4"/>
    <s v="Single"/>
    <n v="2450"/>
    <n v="10919"/>
    <n v="2"/>
    <s v="Y"/>
    <s v="No"/>
    <n v="17"/>
    <n v="3"/>
    <n v="4"/>
    <n v="80"/>
    <n v="0"/>
    <n v="19"/>
    <n v="4"/>
    <n v="3"/>
    <x v="4"/>
    <n v="2"/>
    <n v="2"/>
    <n v="2"/>
    <x v="0"/>
    <x v="1"/>
    <s v="Active"/>
    <x v="2"/>
  </r>
  <r>
    <n v="35"/>
    <x v="1"/>
    <s v="Non Travel"/>
    <n v="1225"/>
    <x v="1"/>
    <n v="2"/>
    <n v="4"/>
    <s v="Life Sciences"/>
    <n v="1"/>
    <x v="557"/>
    <n v="4"/>
    <x v="0"/>
    <n v="61"/>
    <n v="3"/>
    <n v="2"/>
    <x v="4"/>
    <n v="1"/>
    <s v="Divorced"/>
    <n v="5093"/>
    <n v="4761"/>
    <n v="2"/>
    <s v="Y"/>
    <s v="No"/>
    <n v="11"/>
    <n v="3"/>
    <n v="1"/>
    <n v="80"/>
    <n v="1"/>
    <n v="16"/>
    <n v="2"/>
    <n v="4"/>
    <x v="6"/>
    <n v="0"/>
    <n v="0"/>
    <n v="0"/>
    <x v="1"/>
    <x v="0"/>
    <s v="Active"/>
    <x v="1"/>
  </r>
  <r>
    <n v="32"/>
    <x v="1"/>
    <s v="Travel Frequently"/>
    <n v="430"/>
    <x v="1"/>
    <n v="24"/>
    <n v="4"/>
    <s v="Life Sciences"/>
    <n v="1"/>
    <x v="558"/>
    <n v="1"/>
    <x v="1"/>
    <n v="80"/>
    <n v="3"/>
    <n v="2"/>
    <x v="2"/>
    <n v="4"/>
    <s v="Married"/>
    <n v="5309"/>
    <n v="21146"/>
    <n v="1"/>
    <s v="Y"/>
    <s v="No"/>
    <n v="15"/>
    <n v="3"/>
    <n v="4"/>
    <n v="80"/>
    <n v="2"/>
    <n v="10"/>
    <n v="2"/>
    <n v="3"/>
    <x v="1"/>
    <n v="8"/>
    <n v="4"/>
    <n v="7"/>
    <x v="1"/>
    <x v="0"/>
    <s v="Active"/>
    <x v="0"/>
  </r>
  <r>
    <n v="38"/>
    <x v="1"/>
    <s v="Travel Rarely"/>
    <n v="268"/>
    <x v="1"/>
    <n v="2"/>
    <n v="5"/>
    <s v="Medical"/>
    <n v="1"/>
    <x v="559"/>
    <n v="4"/>
    <x v="1"/>
    <n v="92"/>
    <n v="3"/>
    <n v="1"/>
    <x v="1"/>
    <n v="3"/>
    <s v="Married"/>
    <n v="3057"/>
    <n v="20471"/>
    <n v="6"/>
    <s v="Y"/>
    <s v="Yes"/>
    <n v="13"/>
    <n v="3"/>
    <n v="2"/>
    <n v="80"/>
    <n v="1"/>
    <n v="6"/>
    <n v="0"/>
    <n v="1"/>
    <x v="6"/>
    <n v="0"/>
    <n v="0"/>
    <n v="1"/>
    <x v="1"/>
    <x v="1"/>
    <s v="Active"/>
    <x v="1"/>
  </r>
  <r>
    <n v="34"/>
    <x v="1"/>
    <s v="Travel Rarely"/>
    <n v="167"/>
    <x v="1"/>
    <n v="8"/>
    <n v="5"/>
    <s v="Life Sciences"/>
    <n v="1"/>
    <x v="560"/>
    <n v="2"/>
    <x v="0"/>
    <n v="32"/>
    <n v="3"/>
    <n v="2"/>
    <x v="3"/>
    <n v="1"/>
    <s v="Divorced"/>
    <n v="5121"/>
    <n v="4187"/>
    <n v="3"/>
    <s v="Y"/>
    <s v="No"/>
    <n v="14"/>
    <n v="3"/>
    <n v="3"/>
    <n v="80"/>
    <n v="1"/>
    <n v="7"/>
    <n v="3"/>
    <n v="3"/>
    <x v="2"/>
    <n v="0"/>
    <n v="0"/>
    <n v="0"/>
    <x v="1"/>
    <x v="0"/>
    <s v="Active"/>
    <x v="1"/>
  </r>
  <r>
    <n v="52"/>
    <x v="1"/>
    <s v="Travel Rarely"/>
    <n v="621"/>
    <x v="0"/>
    <n v="3"/>
    <n v="4"/>
    <s v="Marketing"/>
    <n v="1"/>
    <x v="561"/>
    <n v="3"/>
    <x v="1"/>
    <n v="31"/>
    <n v="2"/>
    <n v="4"/>
    <x v="5"/>
    <n v="1"/>
    <s v="Married"/>
    <n v="16856"/>
    <n v="10084"/>
    <n v="1"/>
    <s v="Y"/>
    <s v="No"/>
    <n v="11"/>
    <n v="3"/>
    <n v="1"/>
    <n v="80"/>
    <n v="0"/>
    <n v="34"/>
    <n v="3"/>
    <n v="4"/>
    <x v="33"/>
    <n v="6"/>
    <n v="1"/>
    <n v="16"/>
    <x v="0"/>
    <x v="2"/>
    <s v="Active"/>
    <x v="0"/>
  </r>
  <r>
    <n v="33"/>
    <x v="0"/>
    <s v="Travel Rarely"/>
    <n v="527"/>
    <x v="1"/>
    <n v="1"/>
    <n v="4"/>
    <s v="Other"/>
    <n v="1"/>
    <x v="562"/>
    <n v="4"/>
    <x v="1"/>
    <n v="63"/>
    <n v="3"/>
    <n v="1"/>
    <x v="1"/>
    <n v="4"/>
    <s v="Single"/>
    <n v="2686"/>
    <n v="5207"/>
    <n v="1"/>
    <s v="Y"/>
    <s v="Yes"/>
    <n v="13"/>
    <n v="3"/>
    <n v="3"/>
    <n v="80"/>
    <n v="0"/>
    <n v="10"/>
    <n v="2"/>
    <n v="2"/>
    <x v="1"/>
    <n v="9"/>
    <n v="7"/>
    <n v="8"/>
    <x v="1"/>
    <x v="1"/>
    <s v="Resigned"/>
    <x v="0"/>
  </r>
  <r>
    <n v="25"/>
    <x v="1"/>
    <s v="Travel Rarely"/>
    <n v="883"/>
    <x v="0"/>
    <n v="26"/>
    <n v="1"/>
    <s v="Medical"/>
    <n v="1"/>
    <x v="563"/>
    <n v="3"/>
    <x v="0"/>
    <n v="32"/>
    <n v="3"/>
    <n v="2"/>
    <x v="0"/>
    <n v="4"/>
    <s v="Single"/>
    <n v="6180"/>
    <n v="22807"/>
    <n v="1"/>
    <s v="Y"/>
    <s v="No"/>
    <n v="23"/>
    <n v="4"/>
    <n v="2"/>
    <n v="80"/>
    <n v="0"/>
    <n v="6"/>
    <n v="5"/>
    <n v="2"/>
    <x v="0"/>
    <n v="5"/>
    <n v="1"/>
    <n v="4"/>
    <x v="2"/>
    <x v="0"/>
    <s v="Active"/>
    <x v="0"/>
  </r>
  <r>
    <n v="45"/>
    <x v="1"/>
    <s v="Travel Rarely"/>
    <n v="954"/>
    <x v="0"/>
    <n v="2"/>
    <n v="2"/>
    <s v="Technical Degree"/>
    <n v="1"/>
    <x v="564"/>
    <n v="2"/>
    <x v="1"/>
    <n v="46"/>
    <n v="1"/>
    <n v="2"/>
    <x v="6"/>
    <n v="3"/>
    <s v="Single"/>
    <n v="6632"/>
    <n v="12388"/>
    <n v="0"/>
    <s v="Y"/>
    <s v="No"/>
    <n v="13"/>
    <n v="3"/>
    <n v="1"/>
    <n v="80"/>
    <n v="0"/>
    <n v="9"/>
    <n v="3"/>
    <n v="3"/>
    <x v="3"/>
    <n v="7"/>
    <n v="3"/>
    <n v="1"/>
    <x v="0"/>
    <x v="0"/>
    <s v="Active"/>
    <x v="0"/>
  </r>
  <r>
    <n v="23"/>
    <x v="1"/>
    <s v="Travel Rarely"/>
    <n v="310"/>
    <x v="1"/>
    <n v="10"/>
    <n v="1"/>
    <s v="Medical"/>
    <n v="1"/>
    <x v="565"/>
    <n v="1"/>
    <x v="1"/>
    <n v="79"/>
    <n v="4"/>
    <n v="1"/>
    <x v="1"/>
    <n v="3"/>
    <s v="Single"/>
    <n v="3505"/>
    <n v="19630"/>
    <n v="1"/>
    <s v="Y"/>
    <s v="No"/>
    <n v="18"/>
    <n v="3"/>
    <n v="4"/>
    <n v="80"/>
    <n v="0"/>
    <n v="2"/>
    <n v="3"/>
    <n v="3"/>
    <x v="4"/>
    <n v="2"/>
    <n v="0"/>
    <n v="2"/>
    <x v="2"/>
    <x v="1"/>
    <s v="Active"/>
    <x v="2"/>
  </r>
  <r>
    <n v="47"/>
    <x v="0"/>
    <s v="Travel Frequently"/>
    <n v="719"/>
    <x v="0"/>
    <n v="27"/>
    <n v="2"/>
    <s v="Life Sciences"/>
    <n v="1"/>
    <x v="566"/>
    <n v="2"/>
    <x v="0"/>
    <n v="77"/>
    <n v="4"/>
    <n v="2"/>
    <x v="0"/>
    <n v="3"/>
    <s v="Single"/>
    <n v="6397"/>
    <n v="10339"/>
    <n v="4"/>
    <s v="Y"/>
    <s v="Yes"/>
    <n v="12"/>
    <n v="3"/>
    <n v="4"/>
    <n v="80"/>
    <n v="0"/>
    <n v="8"/>
    <n v="2"/>
    <n v="3"/>
    <x v="8"/>
    <n v="4"/>
    <n v="1"/>
    <n v="3"/>
    <x v="0"/>
    <x v="0"/>
    <s v="Resigned"/>
    <x v="3"/>
  </r>
  <r>
    <n v="34"/>
    <x v="1"/>
    <s v="Travel Rarely"/>
    <n v="304"/>
    <x v="0"/>
    <n v="2"/>
    <n v="3"/>
    <s v="Other"/>
    <n v="1"/>
    <x v="567"/>
    <n v="4"/>
    <x v="1"/>
    <n v="60"/>
    <n v="3"/>
    <n v="2"/>
    <x v="0"/>
    <n v="4"/>
    <s v="Single"/>
    <n v="6274"/>
    <n v="18686"/>
    <n v="1"/>
    <s v="Y"/>
    <s v="No"/>
    <n v="22"/>
    <n v="4"/>
    <n v="3"/>
    <n v="80"/>
    <n v="0"/>
    <n v="6"/>
    <n v="5"/>
    <n v="3"/>
    <x v="0"/>
    <n v="5"/>
    <n v="1"/>
    <n v="4"/>
    <x v="1"/>
    <x v="0"/>
    <s v="Active"/>
    <x v="0"/>
  </r>
  <r>
    <n v="55"/>
    <x v="0"/>
    <s v="Travel Rarely"/>
    <n v="725"/>
    <x v="1"/>
    <n v="2"/>
    <n v="3"/>
    <s v="Medical"/>
    <n v="1"/>
    <x v="568"/>
    <n v="4"/>
    <x v="1"/>
    <n v="78"/>
    <n v="3"/>
    <n v="5"/>
    <x v="5"/>
    <n v="1"/>
    <s v="Married"/>
    <n v="19859"/>
    <n v="21199"/>
    <n v="5"/>
    <s v="Y"/>
    <s v="Yes"/>
    <n v="13"/>
    <n v="3"/>
    <n v="4"/>
    <n v="80"/>
    <n v="1"/>
    <n v="24"/>
    <n v="2"/>
    <n v="3"/>
    <x v="8"/>
    <n v="2"/>
    <n v="1"/>
    <n v="4"/>
    <x v="0"/>
    <x v="2"/>
    <s v="Resigned"/>
    <x v="3"/>
  </r>
  <r>
    <n v="36"/>
    <x v="1"/>
    <s v="Non Travel"/>
    <n v="1434"/>
    <x v="0"/>
    <n v="8"/>
    <n v="4"/>
    <s v="Life Sciences"/>
    <n v="1"/>
    <x v="569"/>
    <n v="1"/>
    <x v="1"/>
    <n v="76"/>
    <n v="2"/>
    <n v="3"/>
    <x v="0"/>
    <n v="1"/>
    <s v="Single"/>
    <n v="7587"/>
    <n v="14229"/>
    <n v="1"/>
    <s v="Y"/>
    <s v="No"/>
    <n v="15"/>
    <n v="3"/>
    <n v="2"/>
    <n v="80"/>
    <n v="0"/>
    <n v="10"/>
    <n v="1"/>
    <n v="3"/>
    <x v="1"/>
    <n v="7"/>
    <n v="0"/>
    <n v="9"/>
    <x v="1"/>
    <x v="0"/>
    <s v="Active"/>
    <x v="0"/>
  </r>
  <r>
    <n v="52"/>
    <x v="1"/>
    <s v="Non Travel"/>
    <n v="715"/>
    <x v="1"/>
    <n v="19"/>
    <n v="4"/>
    <s v="Medical"/>
    <n v="1"/>
    <x v="570"/>
    <n v="4"/>
    <x v="1"/>
    <n v="41"/>
    <n v="3"/>
    <n v="1"/>
    <x v="1"/>
    <n v="4"/>
    <s v="Married"/>
    <n v="4258"/>
    <n v="26589"/>
    <n v="0"/>
    <s v="Y"/>
    <s v="No"/>
    <n v="18"/>
    <n v="3"/>
    <n v="1"/>
    <n v="80"/>
    <n v="1"/>
    <n v="5"/>
    <n v="3"/>
    <n v="3"/>
    <x v="9"/>
    <n v="3"/>
    <n v="1"/>
    <n v="2"/>
    <x v="0"/>
    <x v="1"/>
    <s v="Active"/>
    <x v="4"/>
  </r>
  <r>
    <n v="26"/>
    <x v="1"/>
    <s v="Travel Frequently"/>
    <n v="575"/>
    <x v="1"/>
    <n v="1"/>
    <n v="2"/>
    <s v="Life Sciences"/>
    <n v="1"/>
    <x v="571"/>
    <n v="1"/>
    <x v="0"/>
    <n v="71"/>
    <n v="1"/>
    <n v="1"/>
    <x v="2"/>
    <n v="4"/>
    <s v="Divorced"/>
    <n v="4364"/>
    <n v="5288"/>
    <n v="3"/>
    <s v="Y"/>
    <s v="No"/>
    <n v="14"/>
    <n v="3"/>
    <n v="1"/>
    <n v="80"/>
    <n v="1"/>
    <n v="5"/>
    <n v="2"/>
    <n v="3"/>
    <x v="4"/>
    <n v="2"/>
    <n v="2"/>
    <n v="0"/>
    <x v="2"/>
    <x v="1"/>
    <s v="Active"/>
    <x v="2"/>
  </r>
  <r>
    <n v="29"/>
    <x v="1"/>
    <s v="Travel Rarely"/>
    <n v="657"/>
    <x v="1"/>
    <n v="27"/>
    <n v="3"/>
    <s v="Medical"/>
    <n v="1"/>
    <x v="572"/>
    <n v="2"/>
    <x v="0"/>
    <n v="66"/>
    <n v="3"/>
    <n v="2"/>
    <x v="4"/>
    <n v="3"/>
    <s v="Married"/>
    <n v="4335"/>
    <n v="25549"/>
    <n v="4"/>
    <s v="Y"/>
    <s v="No"/>
    <n v="12"/>
    <n v="3"/>
    <n v="1"/>
    <n v="80"/>
    <n v="1"/>
    <n v="11"/>
    <n v="3"/>
    <n v="2"/>
    <x v="3"/>
    <n v="7"/>
    <n v="1"/>
    <n v="1"/>
    <x v="2"/>
    <x v="1"/>
    <s v="Active"/>
    <x v="0"/>
  </r>
  <r>
    <n v="26"/>
    <x v="0"/>
    <s v="Travel Rarely"/>
    <n v="1146"/>
    <x v="0"/>
    <n v="8"/>
    <n v="3"/>
    <s v="Technical Degree"/>
    <n v="1"/>
    <x v="573"/>
    <n v="4"/>
    <x v="1"/>
    <n v="38"/>
    <n v="2"/>
    <n v="2"/>
    <x v="0"/>
    <n v="1"/>
    <s v="Single"/>
    <n v="5326"/>
    <n v="3064"/>
    <n v="6"/>
    <s v="Y"/>
    <s v="No"/>
    <n v="17"/>
    <n v="3"/>
    <n v="3"/>
    <n v="80"/>
    <n v="0"/>
    <n v="6"/>
    <n v="2"/>
    <n v="2"/>
    <x v="9"/>
    <n v="3"/>
    <n v="1"/>
    <n v="2"/>
    <x v="2"/>
    <x v="0"/>
    <s v="Resigned"/>
    <x v="4"/>
  </r>
  <r>
    <n v="34"/>
    <x v="1"/>
    <s v="Travel Rarely"/>
    <n v="182"/>
    <x v="1"/>
    <n v="1"/>
    <n v="4"/>
    <s v="Life Sciences"/>
    <n v="1"/>
    <x v="574"/>
    <n v="2"/>
    <x v="0"/>
    <n v="72"/>
    <n v="4"/>
    <n v="1"/>
    <x v="1"/>
    <n v="4"/>
    <s v="Single"/>
    <n v="3280"/>
    <n v="13551"/>
    <n v="2"/>
    <s v="Y"/>
    <s v="No"/>
    <n v="16"/>
    <n v="3"/>
    <n v="3"/>
    <n v="80"/>
    <n v="0"/>
    <n v="10"/>
    <n v="2"/>
    <n v="3"/>
    <x v="9"/>
    <n v="2"/>
    <n v="1"/>
    <n v="3"/>
    <x v="1"/>
    <x v="1"/>
    <s v="Active"/>
    <x v="4"/>
  </r>
  <r>
    <n v="54"/>
    <x v="1"/>
    <s v="Travel Rarely"/>
    <n v="376"/>
    <x v="1"/>
    <n v="19"/>
    <n v="4"/>
    <s v="Medical"/>
    <n v="1"/>
    <x v="575"/>
    <n v="4"/>
    <x v="0"/>
    <n v="95"/>
    <n v="3"/>
    <n v="2"/>
    <x v="3"/>
    <n v="1"/>
    <s v="Divorced"/>
    <n v="5485"/>
    <n v="22670"/>
    <n v="9"/>
    <s v="Y"/>
    <s v="Yes"/>
    <n v="11"/>
    <n v="3"/>
    <n v="2"/>
    <n v="80"/>
    <n v="2"/>
    <n v="9"/>
    <n v="4"/>
    <n v="3"/>
    <x v="8"/>
    <n v="3"/>
    <n v="1"/>
    <n v="4"/>
    <x v="0"/>
    <x v="0"/>
    <s v="Active"/>
    <x v="3"/>
  </r>
  <r>
    <n v="27"/>
    <x v="1"/>
    <s v="Travel Frequently"/>
    <n v="829"/>
    <x v="0"/>
    <n v="8"/>
    <n v="1"/>
    <s v="Marketing"/>
    <n v="1"/>
    <x v="576"/>
    <n v="3"/>
    <x v="1"/>
    <n v="84"/>
    <n v="3"/>
    <n v="2"/>
    <x v="0"/>
    <n v="4"/>
    <s v="Married"/>
    <n v="4342"/>
    <n v="24008"/>
    <n v="0"/>
    <s v="Y"/>
    <s v="No"/>
    <n v="19"/>
    <n v="3"/>
    <n v="2"/>
    <n v="80"/>
    <n v="1"/>
    <n v="5"/>
    <n v="3"/>
    <n v="3"/>
    <x v="9"/>
    <n v="2"/>
    <n v="1"/>
    <n v="1"/>
    <x v="2"/>
    <x v="1"/>
    <s v="Active"/>
    <x v="4"/>
  </r>
  <r>
    <n v="37"/>
    <x v="1"/>
    <s v="Travel Rarely"/>
    <n v="571"/>
    <x v="1"/>
    <n v="10"/>
    <n v="1"/>
    <s v="Life Sciences"/>
    <n v="1"/>
    <x v="577"/>
    <n v="4"/>
    <x v="0"/>
    <n v="82"/>
    <n v="3"/>
    <n v="1"/>
    <x v="1"/>
    <n v="1"/>
    <s v="Divorced"/>
    <n v="2782"/>
    <n v="19905"/>
    <n v="0"/>
    <s v="Y"/>
    <s v="Yes"/>
    <n v="13"/>
    <n v="3"/>
    <n v="2"/>
    <n v="80"/>
    <n v="2"/>
    <n v="6"/>
    <n v="3"/>
    <n v="2"/>
    <x v="8"/>
    <n v="3"/>
    <n v="4"/>
    <n v="3"/>
    <x v="1"/>
    <x v="1"/>
    <s v="Active"/>
    <x v="3"/>
  </r>
  <r>
    <n v="38"/>
    <x v="1"/>
    <s v="Travel Frequently"/>
    <n v="240"/>
    <x v="1"/>
    <n v="2"/>
    <n v="4"/>
    <s v="Life Sciences"/>
    <n v="1"/>
    <x v="578"/>
    <n v="1"/>
    <x v="0"/>
    <n v="75"/>
    <n v="4"/>
    <n v="2"/>
    <x v="3"/>
    <n v="1"/>
    <s v="Single"/>
    <n v="5980"/>
    <n v="26085"/>
    <n v="6"/>
    <s v="Y"/>
    <s v="Yes"/>
    <n v="12"/>
    <n v="3"/>
    <n v="4"/>
    <n v="80"/>
    <n v="0"/>
    <n v="17"/>
    <n v="2"/>
    <n v="3"/>
    <x v="15"/>
    <n v="7"/>
    <n v="4"/>
    <n v="12"/>
    <x v="1"/>
    <x v="0"/>
    <s v="Active"/>
    <x v="0"/>
  </r>
  <r>
    <n v="34"/>
    <x v="1"/>
    <s v="Travel Rarely"/>
    <n v="121"/>
    <x v="1"/>
    <n v="2"/>
    <n v="4"/>
    <s v="Medical"/>
    <n v="1"/>
    <x v="579"/>
    <n v="3"/>
    <x v="0"/>
    <n v="86"/>
    <n v="2"/>
    <n v="1"/>
    <x v="1"/>
    <n v="1"/>
    <s v="Single"/>
    <n v="4381"/>
    <n v="7530"/>
    <n v="1"/>
    <s v="Y"/>
    <s v="No"/>
    <n v="11"/>
    <n v="3"/>
    <n v="3"/>
    <n v="80"/>
    <n v="0"/>
    <n v="6"/>
    <n v="3"/>
    <n v="3"/>
    <x v="0"/>
    <n v="5"/>
    <n v="1"/>
    <n v="3"/>
    <x v="1"/>
    <x v="1"/>
    <s v="Active"/>
    <x v="0"/>
  </r>
  <r>
    <n v="35"/>
    <x v="1"/>
    <s v="Travel Rarely"/>
    <n v="384"/>
    <x v="0"/>
    <n v="8"/>
    <n v="4"/>
    <s v="Life Sciences"/>
    <n v="1"/>
    <x v="580"/>
    <n v="1"/>
    <x v="0"/>
    <n v="72"/>
    <n v="3"/>
    <n v="1"/>
    <x v="6"/>
    <n v="4"/>
    <s v="Married"/>
    <n v="2572"/>
    <n v="20317"/>
    <n v="1"/>
    <s v="Y"/>
    <s v="No"/>
    <n v="16"/>
    <n v="3"/>
    <n v="2"/>
    <n v="80"/>
    <n v="1"/>
    <n v="3"/>
    <n v="1"/>
    <n v="2"/>
    <x v="11"/>
    <n v="2"/>
    <n v="0"/>
    <n v="2"/>
    <x v="1"/>
    <x v="1"/>
    <s v="Active"/>
    <x v="5"/>
  </r>
  <r>
    <n v="30"/>
    <x v="1"/>
    <s v="Travel Rarely"/>
    <n v="921"/>
    <x v="1"/>
    <n v="1"/>
    <n v="3"/>
    <s v="Life Sciences"/>
    <n v="1"/>
    <x v="581"/>
    <n v="4"/>
    <x v="1"/>
    <n v="38"/>
    <n v="1"/>
    <n v="1"/>
    <x v="2"/>
    <n v="3"/>
    <s v="Married"/>
    <n v="3833"/>
    <n v="24375"/>
    <n v="3"/>
    <s v="Y"/>
    <s v="No"/>
    <n v="21"/>
    <n v="4"/>
    <n v="3"/>
    <n v="80"/>
    <n v="2"/>
    <n v="7"/>
    <n v="2"/>
    <n v="3"/>
    <x v="4"/>
    <n v="2"/>
    <n v="0"/>
    <n v="2"/>
    <x v="1"/>
    <x v="1"/>
    <s v="Active"/>
    <x v="2"/>
  </r>
  <r>
    <n v="40"/>
    <x v="1"/>
    <s v="Travel Frequently"/>
    <n v="791"/>
    <x v="1"/>
    <n v="2"/>
    <n v="2"/>
    <s v="Medical"/>
    <n v="1"/>
    <x v="582"/>
    <n v="3"/>
    <x v="0"/>
    <n v="38"/>
    <n v="4"/>
    <n v="2"/>
    <x v="4"/>
    <n v="2"/>
    <s v="Married"/>
    <n v="4244"/>
    <n v="9931"/>
    <n v="1"/>
    <s v="Y"/>
    <s v="No"/>
    <n v="24"/>
    <n v="4"/>
    <n v="4"/>
    <n v="80"/>
    <n v="1"/>
    <n v="8"/>
    <n v="2"/>
    <n v="3"/>
    <x v="3"/>
    <n v="7"/>
    <n v="3"/>
    <n v="7"/>
    <x v="1"/>
    <x v="1"/>
    <s v="Active"/>
    <x v="0"/>
  </r>
  <r>
    <n v="34"/>
    <x v="1"/>
    <s v="Travel Rarely"/>
    <n v="1111"/>
    <x v="0"/>
    <n v="8"/>
    <n v="2"/>
    <s v="Life Sciences"/>
    <n v="1"/>
    <x v="583"/>
    <n v="3"/>
    <x v="0"/>
    <n v="93"/>
    <n v="3"/>
    <n v="2"/>
    <x v="0"/>
    <n v="1"/>
    <s v="Married"/>
    <n v="6500"/>
    <n v="13305"/>
    <n v="5"/>
    <s v="Y"/>
    <s v="No"/>
    <n v="17"/>
    <n v="3"/>
    <n v="2"/>
    <n v="80"/>
    <n v="1"/>
    <n v="6"/>
    <n v="1"/>
    <n v="3"/>
    <x v="11"/>
    <n v="2"/>
    <n v="1"/>
    <n v="2"/>
    <x v="1"/>
    <x v="0"/>
    <s v="Active"/>
    <x v="5"/>
  </r>
  <r>
    <n v="42"/>
    <x v="1"/>
    <s v="Travel Frequently"/>
    <n v="570"/>
    <x v="1"/>
    <n v="8"/>
    <n v="3"/>
    <s v="Life Sciences"/>
    <n v="1"/>
    <x v="584"/>
    <n v="2"/>
    <x v="1"/>
    <n v="66"/>
    <n v="3"/>
    <n v="5"/>
    <x v="5"/>
    <n v="4"/>
    <s v="Divorced"/>
    <n v="18430"/>
    <n v="16225"/>
    <n v="1"/>
    <s v="Y"/>
    <s v="No"/>
    <n v="13"/>
    <n v="3"/>
    <n v="2"/>
    <n v="80"/>
    <n v="1"/>
    <n v="24"/>
    <n v="4"/>
    <n v="2"/>
    <x v="25"/>
    <n v="7"/>
    <n v="14"/>
    <n v="9"/>
    <x v="0"/>
    <x v="2"/>
    <s v="Active"/>
    <x v="0"/>
  </r>
  <r>
    <n v="23"/>
    <x v="0"/>
    <s v="Travel Rarely"/>
    <n v="1243"/>
    <x v="1"/>
    <n v="6"/>
    <n v="3"/>
    <s v="Life Sciences"/>
    <n v="1"/>
    <x v="585"/>
    <n v="3"/>
    <x v="1"/>
    <n v="63"/>
    <n v="4"/>
    <n v="1"/>
    <x v="2"/>
    <n v="1"/>
    <s v="Married"/>
    <n v="1601"/>
    <n v="3445"/>
    <n v="1"/>
    <s v="Y"/>
    <s v="Yes"/>
    <n v="21"/>
    <n v="4"/>
    <n v="3"/>
    <n v="80"/>
    <n v="2"/>
    <n v="1"/>
    <n v="2"/>
    <n v="3"/>
    <x v="2"/>
    <n v="0"/>
    <n v="0"/>
    <n v="0"/>
    <x v="2"/>
    <x v="1"/>
    <s v="Resigned"/>
    <x v="1"/>
  </r>
  <r>
    <n v="24"/>
    <x v="1"/>
    <s v="Non Travel"/>
    <n v="1092"/>
    <x v="1"/>
    <n v="9"/>
    <n v="3"/>
    <s v="Life Sciences"/>
    <n v="1"/>
    <x v="586"/>
    <n v="3"/>
    <x v="1"/>
    <n v="60"/>
    <n v="2"/>
    <n v="1"/>
    <x v="2"/>
    <n v="2"/>
    <s v="Divorced"/>
    <n v="2694"/>
    <n v="26551"/>
    <n v="1"/>
    <s v="Y"/>
    <s v="No"/>
    <n v="11"/>
    <n v="3"/>
    <n v="3"/>
    <n v="80"/>
    <n v="3"/>
    <n v="1"/>
    <n v="4"/>
    <n v="3"/>
    <x v="6"/>
    <n v="0"/>
    <n v="0"/>
    <n v="0"/>
    <x v="2"/>
    <x v="1"/>
    <s v="Active"/>
    <x v="1"/>
  </r>
  <r>
    <n v="52"/>
    <x v="1"/>
    <s v="Travel Rarely"/>
    <n v="1325"/>
    <x v="1"/>
    <n v="11"/>
    <n v="4"/>
    <s v="Life Sciences"/>
    <n v="1"/>
    <x v="587"/>
    <n v="4"/>
    <x v="0"/>
    <n v="82"/>
    <n v="3"/>
    <n v="2"/>
    <x v="2"/>
    <n v="3"/>
    <s v="Married"/>
    <n v="3149"/>
    <n v="21821"/>
    <n v="8"/>
    <s v="Y"/>
    <s v="No"/>
    <n v="20"/>
    <n v="4"/>
    <n v="2"/>
    <n v="80"/>
    <n v="1"/>
    <n v="9"/>
    <n v="3"/>
    <n v="3"/>
    <x v="8"/>
    <n v="2"/>
    <n v="1"/>
    <n v="4"/>
    <x v="0"/>
    <x v="1"/>
    <s v="Active"/>
    <x v="3"/>
  </r>
  <r>
    <n v="50"/>
    <x v="1"/>
    <s v="Travel Rarely"/>
    <n v="691"/>
    <x v="1"/>
    <n v="2"/>
    <n v="3"/>
    <s v="Medical"/>
    <n v="1"/>
    <x v="588"/>
    <n v="3"/>
    <x v="1"/>
    <n v="64"/>
    <n v="3"/>
    <n v="4"/>
    <x v="7"/>
    <n v="3"/>
    <s v="Married"/>
    <n v="17639"/>
    <n v="6881"/>
    <n v="5"/>
    <s v="Y"/>
    <s v="No"/>
    <n v="16"/>
    <n v="3"/>
    <n v="4"/>
    <n v="80"/>
    <n v="0"/>
    <n v="30"/>
    <n v="3"/>
    <n v="3"/>
    <x v="9"/>
    <n v="3"/>
    <n v="0"/>
    <n v="3"/>
    <x v="0"/>
    <x v="2"/>
    <s v="Active"/>
    <x v="4"/>
  </r>
  <r>
    <n v="29"/>
    <x v="0"/>
    <s v="Travel Rarely"/>
    <n v="805"/>
    <x v="1"/>
    <n v="1"/>
    <n v="2"/>
    <s v="Life Sciences"/>
    <n v="1"/>
    <x v="589"/>
    <n v="2"/>
    <x v="0"/>
    <n v="36"/>
    <n v="2"/>
    <n v="1"/>
    <x v="2"/>
    <n v="1"/>
    <s v="Married"/>
    <n v="2319"/>
    <n v="6689"/>
    <n v="1"/>
    <s v="Y"/>
    <s v="Yes"/>
    <n v="11"/>
    <n v="3"/>
    <n v="4"/>
    <n v="80"/>
    <n v="1"/>
    <n v="1"/>
    <n v="1"/>
    <n v="3"/>
    <x v="6"/>
    <n v="0"/>
    <n v="0"/>
    <n v="0"/>
    <x v="2"/>
    <x v="1"/>
    <s v="Resigned"/>
    <x v="1"/>
  </r>
  <r>
    <n v="33"/>
    <x v="1"/>
    <s v="Travel Rarely"/>
    <n v="213"/>
    <x v="1"/>
    <n v="7"/>
    <n v="3"/>
    <s v="Medical"/>
    <n v="1"/>
    <x v="590"/>
    <n v="3"/>
    <x v="1"/>
    <n v="49"/>
    <n v="3"/>
    <n v="3"/>
    <x v="7"/>
    <n v="3"/>
    <s v="Married"/>
    <n v="11691"/>
    <n v="25995"/>
    <n v="0"/>
    <s v="Y"/>
    <s v="No"/>
    <n v="11"/>
    <n v="3"/>
    <n v="4"/>
    <n v="80"/>
    <n v="0"/>
    <n v="14"/>
    <n v="3"/>
    <n v="4"/>
    <x v="20"/>
    <n v="9"/>
    <n v="3"/>
    <n v="7"/>
    <x v="1"/>
    <x v="2"/>
    <s v="Active"/>
    <x v="0"/>
  </r>
  <r>
    <n v="33"/>
    <x v="0"/>
    <s v="Travel Rarely"/>
    <n v="118"/>
    <x v="0"/>
    <n v="16"/>
    <n v="3"/>
    <s v="Marketing"/>
    <n v="1"/>
    <x v="591"/>
    <n v="1"/>
    <x v="0"/>
    <n v="69"/>
    <n v="3"/>
    <n v="2"/>
    <x v="0"/>
    <n v="1"/>
    <s v="Single"/>
    <n v="5324"/>
    <n v="26507"/>
    <n v="5"/>
    <s v="Y"/>
    <s v="No"/>
    <n v="15"/>
    <n v="3"/>
    <n v="3"/>
    <n v="80"/>
    <n v="0"/>
    <n v="6"/>
    <n v="3"/>
    <n v="3"/>
    <x v="11"/>
    <n v="2"/>
    <n v="0"/>
    <n v="2"/>
    <x v="1"/>
    <x v="0"/>
    <s v="Resigned"/>
    <x v="5"/>
  </r>
  <r>
    <n v="47"/>
    <x v="1"/>
    <s v="Travel Rarely"/>
    <n v="202"/>
    <x v="1"/>
    <n v="2"/>
    <n v="2"/>
    <s v="Other"/>
    <n v="1"/>
    <x v="592"/>
    <n v="3"/>
    <x v="0"/>
    <n v="33"/>
    <n v="3"/>
    <n v="4"/>
    <x v="5"/>
    <n v="4"/>
    <s v="Married"/>
    <n v="16752"/>
    <n v="12982"/>
    <n v="1"/>
    <s v="Y"/>
    <s v="Yes"/>
    <n v="11"/>
    <n v="3"/>
    <n v="3"/>
    <n v="80"/>
    <n v="1"/>
    <n v="26"/>
    <n v="3"/>
    <n v="2"/>
    <x v="34"/>
    <n v="14"/>
    <n v="3"/>
    <n v="0"/>
    <x v="0"/>
    <x v="2"/>
    <s v="Active"/>
    <x v="0"/>
  </r>
  <r>
    <n v="36"/>
    <x v="1"/>
    <s v="Travel Rarely"/>
    <n v="676"/>
    <x v="1"/>
    <n v="1"/>
    <n v="3"/>
    <s v="Other"/>
    <n v="1"/>
    <x v="593"/>
    <n v="3"/>
    <x v="0"/>
    <n v="35"/>
    <n v="3"/>
    <n v="2"/>
    <x v="3"/>
    <n v="2"/>
    <s v="Married"/>
    <n v="5228"/>
    <n v="23361"/>
    <n v="0"/>
    <s v="Y"/>
    <s v="No"/>
    <n v="15"/>
    <n v="3"/>
    <n v="1"/>
    <n v="80"/>
    <n v="1"/>
    <n v="10"/>
    <n v="2"/>
    <n v="3"/>
    <x v="7"/>
    <n v="7"/>
    <n v="0"/>
    <n v="5"/>
    <x v="1"/>
    <x v="0"/>
    <s v="Active"/>
    <x v="0"/>
  </r>
  <r>
    <n v="29"/>
    <x v="1"/>
    <s v="Travel Rarely"/>
    <n v="1252"/>
    <x v="1"/>
    <n v="23"/>
    <n v="2"/>
    <s v="Life Sciences"/>
    <n v="1"/>
    <x v="594"/>
    <n v="3"/>
    <x v="1"/>
    <n v="81"/>
    <n v="4"/>
    <n v="1"/>
    <x v="1"/>
    <n v="3"/>
    <s v="Married"/>
    <n v="2700"/>
    <n v="23779"/>
    <n v="1"/>
    <s v="Y"/>
    <s v="No"/>
    <n v="24"/>
    <n v="4"/>
    <n v="3"/>
    <n v="80"/>
    <n v="1"/>
    <n v="10"/>
    <n v="3"/>
    <n v="3"/>
    <x v="1"/>
    <n v="7"/>
    <n v="0"/>
    <n v="7"/>
    <x v="2"/>
    <x v="1"/>
    <s v="Active"/>
    <x v="0"/>
  </r>
  <r>
    <n v="58"/>
    <x v="0"/>
    <s v="Travel Rarely"/>
    <n v="286"/>
    <x v="1"/>
    <n v="2"/>
    <n v="4"/>
    <s v="Life Sciences"/>
    <n v="1"/>
    <x v="595"/>
    <n v="4"/>
    <x v="1"/>
    <n v="31"/>
    <n v="3"/>
    <n v="5"/>
    <x v="7"/>
    <n v="2"/>
    <s v="Single"/>
    <n v="19246"/>
    <n v="25761"/>
    <n v="7"/>
    <s v="Y"/>
    <s v="Yes"/>
    <n v="12"/>
    <n v="3"/>
    <n v="4"/>
    <n v="80"/>
    <n v="0"/>
    <n v="40"/>
    <n v="2"/>
    <n v="3"/>
    <x v="31"/>
    <n v="15"/>
    <n v="13"/>
    <n v="8"/>
    <x v="0"/>
    <x v="2"/>
    <s v="Resigned"/>
    <x v="0"/>
  </r>
  <r>
    <n v="35"/>
    <x v="1"/>
    <s v="Travel Rarely"/>
    <n v="1258"/>
    <x v="1"/>
    <n v="1"/>
    <n v="4"/>
    <s v="Life Sciences"/>
    <n v="1"/>
    <x v="596"/>
    <n v="4"/>
    <x v="0"/>
    <n v="40"/>
    <n v="4"/>
    <n v="1"/>
    <x v="1"/>
    <n v="3"/>
    <s v="Single"/>
    <n v="2506"/>
    <n v="13301"/>
    <n v="3"/>
    <s v="Y"/>
    <s v="No"/>
    <n v="13"/>
    <n v="3"/>
    <n v="3"/>
    <n v="80"/>
    <n v="0"/>
    <n v="7"/>
    <n v="0"/>
    <n v="3"/>
    <x v="4"/>
    <n v="2"/>
    <n v="2"/>
    <n v="2"/>
    <x v="1"/>
    <x v="1"/>
    <s v="Active"/>
    <x v="2"/>
  </r>
  <r>
    <n v="42"/>
    <x v="1"/>
    <s v="Travel Rarely"/>
    <n v="932"/>
    <x v="1"/>
    <n v="1"/>
    <n v="2"/>
    <s v="Life Sciences"/>
    <n v="1"/>
    <x v="597"/>
    <n v="4"/>
    <x v="0"/>
    <n v="43"/>
    <n v="2"/>
    <n v="2"/>
    <x v="3"/>
    <n v="4"/>
    <s v="Married"/>
    <n v="6062"/>
    <n v="4051"/>
    <n v="9"/>
    <s v="Y"/>
    <s v="Yes"/>
    <n v="13"/>
    <n v="3"/>
    <n v="4"/>
    <n v="80"/>
    <n v="1"/>
    <n v="8"/>
    <n v="4"/>
    <n v="3"/>
    <x v="9"/>
    <n v="3"/>
    <n v="0"/>
    <n v="2"/>
    <x v="0"/>
    <x v="0"/>
    <s v="Active"/>
    <x v="4"/>
  </r>
  <r>
    <n v="28"/>
    <x v="0"/>
    <s v="Travel Rarely"/>
    <n v="890"/>
    <x v="1"/>
    <n v="2"/>
    <n v="4"/>
    <s v="Medical"/>
    <n v="1"/>
    <x v="598"/>
    <n v="3"/>
    <x v="1"/>
    <n v="46"/>
    <n v="3"/>
    <n v="1"/>
    <x v="1"/>
    <n v="3"/>
    <s v="Single"/>
    <n v="4382"/>
    <n v="16374"/>
    <n v="6"/>
    <s v="Y"/>
    <s v="No"/>
    <n v="17"/>
    <n v="3"/>
    <n v="4"/>
    <n v="80"/>
    <n v="0"/>
    <n v="5"/>
    <n v="3"/>
    <n v="2"/>
    <x v="4"/>
    <n v="2"/>
    <n v="2"/>
    <n v="1"/>
    <x v="2"/>
    <x v="1"/>
    <s v="Resigned"/>
    <x v="2"/>
  </r>
  <r>
    <n v="36"/>
    <x v="1"/>
    <s v="Travel Rarely"/>
    <n v="1041"/>
    <x v="2"/>
    <n v="13"/>
    <n v="3"/>
    <s v="Human Resources"/>
    <n v="1"/>
    <x v="599"/>
    <n v="3"/>
    <x v="1"/>
    <n v="36"/>
    <n v="3"/>
    <n v="1"/>
    <x v="8"/>
    <n v="2"/>
    <s v="Married"/>
    <n v="2143"/>
    <n v="25527"/>
    <n v="4"/>
    <s v="Y"/>
    <s v="No"/>
    <n v="13"/>
    <n v="3"/>
    <n v="2"/>
    <n v="80"/>
    <n v="1"/>
    <n v="8"/>
    <n v="2"/>
    <n v="3"/>
    <x v="8"/>
    <n v="2"/>
    <n v="0"/>
    <n v="4"/>
    <x v="1"/>
    <x v="1"/>
    <s v="Active"/>
    <x v="3"/>
  </r>
  <r>
    <n v="32"/>
    <x v="1"/>
    <s v="Travel Rarely"/>
    <n v="859"/>
    <x v="1"/>
    <n v="4"/>
    <n v="3"/>
    <s v="Life Sciences"/>
    <n v="1"/>
    <x v="600"/>
    <n v="3"/>
    <x v="0"/>
    <n v="98"/>
    <n v="2"/>
    <n v="2"/>
    <x v="3"/>
    <n v="3"/>
    <s v="Married"/>
    <n v="6162"/>
    <n v="19124"/>
    <n v="1"/>
    <s v="Y"/>
    <s v="No"/>
    <n v="12"/>
    <n v="3"/>
    <n v="3"/>
    <n v="80"/>
    <n v="1"/>
    <n v="14"/>
    <n v="3"/>
    <n v="3"/>
    <x v="13"/>
    <n v="13"/>
    <n v="6"/>
    <n v="8"/>
    <x v="1"/>
    <x v="0"/>
    <s v="Active"/>
    <x v="0"/>
  </r>
  <r>
    <n v="40"/>
    <x v="1"/>
    <s v="Travel Frequently"/>
    <n v="720"/>
    <x v="1"/>
    <n v="16"/>
    <n v="4"/>
    <s v="Medical"/>
    <n v="1"/>
    <x v="601"/>
    <n v="1"/>
    <x v="1"/>
    <n v="51"/>
    <n v="2"/>
    <n v="2"/>
    <x v="2"/>
    <n v="3"/>
    <s v="Single"/>
    <n v="5094"/>
    <n v="11983"/>
    <n v="6"/>
    <s v="Y"/>
    <s v="No"/>
    <n v="14"/>
    <n v="3"/>
    <n v="4"/>
    <n v="80"/>
    <n v="0"/>
    <n v="10"/>
    <n v="6"/>
    <n v="3"/>
    <x v="6"/>
    <n v="0"/>
    <n v="0"/>
    <n v="0"/>
    <x v="1"/>
    <x v="0"/>
    <s v="Active"/>
    <x v="1"/>
  </r>
  <r>
    <n v="30"/>
    <x v="1"/>
    <s v="Travel Rarely"/>
    <n v="946"/>
    <x v="1"/>
    <n v="2"/>
    <n v="3"/>
    <s v="Medical"/>
    <n v="1"/>
    <x v="602"/>
    <n v="3"/>
    <x v="0"/>
    <n v="52"/>
    <n v="2"/>
    <n v="2"/>
    <x v="3"/>
    <n v="4"/>
    <s v="Single"/>
    <n v="6877"/>
    <n v="20234"/>
    <n v="5"/>
    <s v="Y"/>
    <s v="Yes"/>
    <n v="24"/>
    <n v="4"/>
    <n v="2"/>
    <n v="80"/>
    <n v="0"/>
    <n v="12"/>
    <n v="4"/>
    <n v="2"/>
    <x v="2"/>
    <n v="0"/>
    <n v="0"/>
    <n v="0"/>
    <x v="1"/>
    <x v="0"/>
    <s v="Active"/>
    <x v="1"/>
  </r>
  <r>
    <n v="45"/>
    <x v="1"/>
    <s v="Travel Rarely"/>
    <n v="252"/>
    <x v="1"/>
    <n v="2"/>
    <n v="3"/>
    <s v="Life Sciences"/>
    <n v="1"/>
    <x v="603"/>
    <n v="2"/>
    <x v="0"/>
    <n v="95"/>
    <n v="2"/>
    <n v="1"/>
    <x v="1"/>
    <n v="3"/>
    <s v="Single"/>
    <n v="2274"/>
    <n v="6153"/>
    <n v="1"/>
    <s v="Y"/>
    <s v="No"/>
    <n v="14"/>
    <n v="3"/>
    <n v="4"/>
    <n v="80"/>
    <n v="0"/>
    <n v="1"/>
    <n v="3"/>
    <n v="3"/>
    <x v="6"/>
    <n v="0"/>
    <n v="0"/>
    <n v="0"/>
    <x v="0"/>
    <x v="1"/>
    <s v="Active"/>
    <x v="1"/>
  </r>
  <r>
    <n v="42"/>
    <x v="1"/>
    <s v="Travel Rarely"/>
    <n v="933"/>
    <x v="1"/>
    <n v="29"/>
    <n v="3"/>
    <s v="Life Sciences"/>
    <n v="1"/>
    <x v="604"/>
    <n v="2"/>
    <x v="1"/>
    <n v="98"/>
    <n v="3"/>
    <n v="2"/>
    <x v="3"/>
    <n v="2"/>
    <s v="Married"/>
    <n v="4434"/>
    <n v="11806"/>
    <n v="1"/>
    <s v="Y"/>
    <s v="No"/>
    <n v="13"/>
    <n v="3"/>
    <n v="4"/>
    <n v="80"/>
    <n v="1"/>
    <n v="10"/>
    <n v="3"/>
    <n v="2"/>
    <x v="7"/>
    <n v="8"/>
    <n v="7"/>
    <n v="8"/>
    <x v="0"/>
    <x v="1"/>
    <s v="Active"/>
    <x v="0"/>
  </r>
  <r>
    <n v="38"/>
    <x v="1"/>
    <s v="Travel Frequently"/>
    <n v="471"/>
    <x v="1"/>
    <n v="12"/>
    <n v="3"/>
    <s v="Life Sciences"/>
    <n v="1"/>
    <x v="605"/>
    <n v="1"/>
    <x v="1"/>
    <n v="45"/>
    <n v="2"/>
    <n v="2"/>
    <x v="4"/>
    <n v="1"/>
    <s v="Divorced"/>
    <n v="6288"/>
    <n v="4284"/>
    <n v="2"/>
    <s v="Y"/>
    <s v="No"/>
    <n v="15"/>
    <n v="3"/>
    <n v="3"/>
    <n v="80"/>
    <n v="1"/>
    <n v="13"/>
    <n v="3"/>
    <n v="2"/>
    <x v="9"/>
    <n v="3"/>
    <n v="1"/>
    <n v="2"/>
    <x v="1"/>
    <x v="0"/>
    <s v="Active"/>
    <x v="4"/>
  </r>
  <r>
    <n v="34"/>
    <x v="1"/>
    <s v="Travel Frequently"/>
    <n v="702"/>
    <x v="1"/>
    <n v="16"/>
    <n v="4"/>
    <s v="Life Sciences"/>
    <n v="1"/>
    <x v="606"/>
    <n v="3"/>
    <x v="0"/>
    <n v="100"/>
    <n v="2"/>
    <n v="1"/>
    <x v="1"/>
    <n v="4"/>
    <s v="Single"/>
    <n v="2553"/>
    <n v="8306"/>
    <n v="1"/>
    <s v="Y"/>
    <s v="No"/>
    <n v="16"/>
    <n v="3"/>
    <n v="3"/>
    <n v="80"/>
    <n v="0"/>
    <n v="6"/>
    <n v="3"/>
    <n v="3"/>
    <x v="8"/>
    <n v="2"/>
    <n v="1"/>
    <n v="3"/>
    <x v="1"/>
    <x v="1"/>
    <s v="Active"/>
    <x v="3"/>
  </r>
  <r>
    <n v="49"/>
    <x v="0"/>
    <s v="Travel Rarely"/>
    <n v="1184"/>
    <x v="0"/>
    <n v="11"/>
    <n v="3"/>
    <s v="Marketing"/>
    <n v="1"/>
    <x v="607"/>
    <n v="3"/>
    <x v="0"/>
    <n v="43"/>
    <n v="3"/>
    <n v="3"/>
    <x v="0"/>
    <n v="4"/>
    <s v="Married"/>
    <n v="7654"/>
    <n v="5860"/>
    <n v="1"/>
    <s v="Y"/>
    <s v="No"/>
    <n v="18"/>
    <n v="3"/>
    <n v="1"/>
    <n v="80"/>
    <n v="2"/>
    <n v="9"/>
    <n v="3"/>
    <n v="4"/>
    <x v="7"/>
    <n v="8"/>
    <n v="7"/>
    <n v="7"/>
    <x v="0"/>
    <x v="0"/>
    <s v="Resigned"/>
    <x v="0"/>
  </r>
  <r>
    <n v="55"/>
    <x v="0"/>
    <s v="Travel Rarely"/>
    <n v="436"/>
    <x v="0"/>
    <n v="2"/>
    <n v="1"/>
    <s v="Medical"/>
    <n v="1"/>
    <x v="608"/>
    <n v="3"/>
    <x v="1"/>
    <n v="37"/>
    <n v="3"/>
    <n v="2"/>
    <x v="0"/>
    <n v="4"/>
    <s v="Single"/>
    <n v="5160"/>
    <n v="21519"/>
    <n v="4"/>
    <s v="Y"/>
    <s v="No"/>
    <n v="16"/>
    <n v="3"/>
    <n v="3"/>
    <n v="80"/>
    <n v="0"/>
    <n v="12"/>
    <n v="3"/>
    <n v="2"/>
    <x v="7"/>
    <n v="7"/>
    <n v="7"/>
    <n v="3"/>
    <x v="0"/>
    <x v="0"/>
    <s v="Resigned"/>
    <x v="0"/>
  </r>
  <r>
    <n v="43"/>
    <x v="1"/>
    <s v="Travel Rarely"/>
    <n v="589"/>
    <x v="1"/>
    <n v="14"/>
    <n v="2"/>
    <s v="Life Sciences"/>
    <n v="1"/>
    <x v="609"/>
    <n v="2"/>
    <x v="1"/>
    <n v="94"/>
    <n v="3"/>
    <n v="4"/>
    <x v="7"/>
    <n v="1"/>
    <s v="Married"/>
    <n v="17159"/>
    <n v="5200"/>
    <n v="6"/>
    <s v="Y"/>
    <s v="No"/>
    <n v="24"/>
    <n v="4"/>
    <n v="3"/>
    <n v="80"/>
    <n v="1"/>
    <n v="22"/>
    <n v="3"/>
    <n v="3"/>
    <x v="9"/>
    <n v="1"/>
    <n v="1"/>
    <n v="0"/>
    <x v="0"/>
    <x v="2"/>
    <s v="Active"/>
    <x v="4"/>
  </r>
  <r>
    <n v="27"/>
    <x v="1"/>
    <s v="Travel Rarely"/>
    <n v="269"/>
    <x v="1"/>
    <n v="5"/>
    <n v="1"/>
    <s v="Technical Degree"/>
    <n v="1"/>
    <x v="610"/>
    <n v="3"/>
    <x v="1"/>
    <n v="42"/>
    <n v="2"/>
    <n v="3"/>
    <x v="7"/>
    <n v="4"/>
    <s v="Divorced"/>
    <n v="12808"/>
    <n v="8842"/>
    <n v="1"/>
    <s v="Y"/>
    <s v="Yes"/>
    <n v="16"/>
    <n v="3"/>
    <n v="2"/>
    <n v="80"/>
    <n v="1"/>
    <n v="9"/>
    <n v="3"/>
    <n v="3"/>
    <x v="7"/>
    <n v="8"/>
    <n v="0"/>
    <n v="8"/>
    <x v="2"/>
    <x v="2"/>
    <s v="Active"/>
    <x v="0"/>
  </r>
  <r>
    <n v="35"/>
    <x v="1"/>
    <s v="Travel Rarely"/>
    <n v="950"/>
    <x v="1"/>
    <n v="7"/>
    <n v="3"/>
    <s v="Other"/>
    <n v="1"/>
    <x v="611"/>
    <n v="3"/>
    <x v="1"/>
    <n v="59"/>
    <n v="3"/>
    <n v="3"/>
    <x v="3"/>
    <n v="3"/>
    <s v="Single"/>
    <n v="10221"/>
    <n v="18869"/>
    <n v="3"/>
    <s v="Y"/>
    <s v="No"/>
    <n v="21"/>
    <n v="4"/>
    <n v="2"/>
    <n v="80"/>
    <n v="0"/>
    <n v="17"/>
    <n v="3"/>
    <n v="4"/>
    <x v="3"/>
    <n v="5"/>
    <n v="1"/>
    <n v="6"/>
    <x v="1"/>
    <x v="2"/>
    <s v="Active"/>
    <x v="0"/>
  </r>
  <r>
    <n v="28"/>
    <x v="1"/>
    <s v="Travel Rarely"/>
    <n v="760"/>
    <x v="0"/>
    <n v="2"/>
    <n v="4"/>
    <s v="Marketing"/>
    <n v="1"/>
    <x v="612"/>
    <n v="2"/>
    <x v="0"/>
    <n v="81"/>
    <n v="3"/>
    <n v="2"/>
    <x v="0"/>
    <n v="2"/>
    <s v="Married"/>
    <n v="4779"/>
    <n v="3698"/>
    <n v="1"/>
    <s v="Y"/>
    <s v="Yes"/>
    <n v="20"/>
    <n v="4"/>
    <n v="1"/>
    <n v="80"/>
    <n v="0"/>
    <n v="8"/>
    <n v="2"/>
    <n v="3"/>
    <x v="3"/>
    <n v="7"/>
    <n v="7"/>
    <n v="5"/>
    <x v="2"/>
    <x v="1"/>
    <s v="Active"/>
    <x v="0"/>
  </r>
  <r>
    <n v="34"/>
    <x v="1"/>
    <s v="Travel Rarely"/>
    <n v="829"/>
    <x v="2"/>
    <n v="3"/>
    <n v="2"/>
    <s v="Human Resources"/>
    <n v="1"/>
    <x v="613"/>
    <n v="3"/>
    <x v="1"/>
    <n v="88"/>
    <n v="3"/>
    <n v="1"/>
    <x v="8"/>
    <n v="4"/>
    <s v="Married"/>
    <n v="3737"/>
    <n v="2243"/>
    <n v="0"/>
    <s v="Y"/>
    <s v="No"/>
    <n v="19"/>
    <n v="3"/>
    <n v="3"/>
    <n v="80"/>
    <n v="1"/>
    <n v="4"/>
    <n v="1"/>
    <n v="1"/>
    <x v="11"/>
    <n v="2"/>
    <n v="0"/>
    <n v="2"/>
    <x v="1"/>
    <x v="1"/>
    <s v="Active"/>
    <x v="5"/>
  </r>
  <r>
    <n v="26"/>
    <x v="0"/>
    <s v="Travel Frequently"/>
    <n v="887"/>
    <x v="1"/>
    <n v="5"/>
    <n v="2"/>
    <s v="Medical"/>
    <n v="1"/>
    <x v="614"/>
    <n v="3"/>
    <x v="0"/>
    <n v="88"/>
    <n v="2"/>
    <n v="1"/>
    <x v="1"/>
    <n v="3"/>
    <s v="Married"/>
    <n v="2366"/>
    <n v="20898"/>
    <n v="1"/>
    <s v="Y"/>
    <s v="Yes"/>
    <n v="14"/>
    <n v="3"/>
    <n v="1"/>
    <n v="80"/>
    <n v="1"/>
    <n v="8"/>
    <n v="2"/>
    <n v="3"/>
    <x v="3"/>
    <n v="7"/>
    <n v="1"/>
    <n v="7"/>
    <x v="2"/>
    <x v="1"/>
    <s v="Resigned"/>
    <x v="0"/>
  </r>
  <r>
    <n v="27"/>
    <x v="1"/>
    <s v="Non Travel"/>
    <n v="443"/>
    <x v="1"/>
    <n v="3"/>
    <n v="3"/>
    <s v="Medical"/>
    <n v="1"/>
    <x v="615"/>
    <n v="4"/>
    <x v="1"/>
    <n v="50"/>
    <n v="3"/>
    <n v="1"/>
    <x v="1"/>
    <n v="4"/>
    <s v="Married"/>
    <n v="1706"/>
    <n v="16571"/>
    <n v="1"/>
    <s v="Y"/>
    <s v="No"/>
    <n v="11"/>
    <n v="3"/>
    <n v="3"/>
    <n v="80"/>
    <n v="3"/>
    <n v="0"/>
    <n v="6"/>
    <n v="2"/>
    <x v="2"/>
    <n v="0"/>
    <n v="0"/>
    <n v="0"/>
    <x v="2"/>
    <x v="1"/>
    <s v="Active"/>
    <x v="1"/>
  </r>
  <r>
    <n v="51"/>
    <x v="1"/>
    <s v="Travel Rarely"/>
    <n v="1318"/>
    <x v="0"/>
    <n v="26"/>
    <n v="4"/>
    <s v="Marketing"/>
    <n v="1"/>
    <x v="616"/>
    <n v="1"/>
    <x v="0"/>
    <n v="66"/>
    <n v="3"/>
    <n v="4"/>
    <x v="5"/>
    <n v="3"/>
    <s v="Married"/>
    <n v="16307"/>
    <n v="5594"/>
    <n v="2"/>
    <s v="Y"/>
    <s v="No"/>
    <n v="14"/>
    <n v="3"/>
    <n v="3"/>
    <n v="80"/>
    <n v="1"/>
    <n v="29"/>
    <n v="2"/>
    <n v="2"/>
    <x v="23"/>
    <n v="6"/>
    <n v="4"/>
    <n v="17"/>
    <x v="0"/>
    <x v="2"/>
    <s v="Active"/>
    <x v="0"/>
  </r>
  <r>
    <n v="44"/>
    <x v="1"/>
    <s v="Travel Rarely"/>
    <n v="625"/>
    <x v="1"/>
    <n v="4"/>
    <n v="3"/>
    <s v="Medical"/>
    <n v="1"/>
    <x v="617"/>
    <n v="4"/>
    <x v="1"/>
    <n v="50"/>
    <n v="3"/>
    <n v="2"/>
    <x v="4"/>
    <n v="2"/>
    <s v="Single"/>
    <n v="5933"/>
    <n v="5197"/>
    <n v="9"/>
    <s v="Y"/>
    <s v="No"/>
    <n v="12"/>
    <n v="3"/>
    <n v="4"/>
    <n v="80"/>
    <n v="0"/>
    <n v="10"/>
    <n v="2"/>
    <n v="2"/>
    <x v="8"/>
    <n v="2"/>
    <n v="2"/>
    <n v="3"/>
    <x v="0"/>
    <x v="0"/>
    <s v="Active"/>
    <x v="3"/>
  </r>
  <r>
    <n v="25"/>
    <x v="1"/>
    <s v="Travel Rarely"/>
    <n v="180"/>
    <x v="1"/>
    <n v="2"/>
    <n v="1"/>
    <s v="Medical"/>
    <n v="1"/>
    <x v="618"/>
    <n v="1"/>
    <x v="1"/>
    <n v="65"/>
    <n v="4"/>
    <n v="1"/>
    <x v="1"/>
    <n v="1"/>
    <s v="Single"/>
    <n v="3424"/>
    <n v="21632"/>
    <n v="7"/>
    <s v="Y"/>
    <s v="No"/>
    <n v="13"/>
    <n v="3"/>
    <n v="3"/>
    <n v="80"/>
    <n v="0"/>
    <n v="6"/>
    <n v="3"/>
    <n v="2"/>
    <x v="9"/>
    <n v="3"/>
    <n v="0"/>
    <n v="1"/>
    <x v="2"/>
    <x v="1"/>
    <s v="Active"/>
    <x v="4"/>
  </r>
  <r>
    <n v="33"/>
    <x v="1"/>
    <s v="Travel Rarely"/>
    <n v="586"/>
    <x v="0"/>
    <n v="1"/>
    <n v="3"/>
    <s v="Medical"/>
    <n v="1"/>
    <x v="619"/>
    <n v="1"/>
    <x v="1"/>
    <n v="48"/>
    <n v="4"/>
    <n v="2"/>
    <x v="0"/>
    <n v="1"/>
    <s v="Divorced"/>
    <n v="4037"/>
    <n v="21816"/>
    <n v="1"/>
    <s v="Y"/>
    <s v="No"/>
    <n v="22"/>
    <n v="4"/>
    <n v="1"/>
    <n v="80"/>
    <n v="1"/>
    <n v="9"/>
    <n v="5"/>
    <n v="3"/>
    <x v="7"/>
    <n v="8"/>
    <n v="0"/>
    <n v="8"/>
    <x v="1"/>
    <x v="1"/>
    <s v="Active"/>
    <x v="0"/>
  </r>
  <r>
    <n v="35"/>
    <x v="1"/>
    <s v="Travel Rarely"/>
    <n v="1343"/>
    <x v="1"/>
    <n v="27"/>
    <n v="1"/>
    <s v="Medical"/>
    <n v="1"/>
    <x v="620"/>
    <n v="3"/>
    <x v="0"/>
    <n v="53"/>
    <n v="2"/>
    <n v="1"/>
    <x v="1"/>
    <n v="1"/>
    <s v="Single"/>
    <n v="2559"/>
    <n v="17852"/>
    <n v="1"/>
    <s v="Y"/>
    <s v="No"/>
    <n v="11"/>
    <n v="3"/>
    <n v="4"/>
    <n v="80"/>
    <n v="0"/>
    <n v="6"/>
    <n v="3"/>
    <n v="2"/>
    <x v="0"/>
    <n v="5"/>
    <n v="1"/>
    <n v="1"/>
    <x v="1"/>
    <x v="1"/>
    <s v="Active"/>
    <x v="0"/>
  </r>
  <r>
    <n v="36"/>
    <x v="1"/>
    <s v="Travel Rarely"/>
    <n v="928"/>
    <x v="0"/>
    <n v="1"/>
    <n v="2"/>
    <s v="Life Sciences"/>
    <n v="1"/>
    <x v="621"/>
    <n v="2"/>
    <x v="1"/>
    <n v="56"/>
    <n v="3"/>
    <n v="2"/>
    <x v="0"/>
    <n v="4"/>
    <s v="Married"/>
    <n v="6201"/>
    <n v="2823"/>
    <n v="1"/>
    <s v="Y"/>
    <s v="Yes"/>
    <n v="14"/>
    <n v="3"/>
    <n v="4"/>
    <n v="80"/>
    <n v="1"/>
    <n v="18"/>
    <n v="1"/>
    <n v="2"/>
    <x v="29"/>
    <n v="14"/>
    <n v="4"/>
    <n v="11"/>
    <x v="1"/>
    <x v="0"/>
    <s v="Active"/>
    <x v="0"/>
  </r>
  <r>
    <n v="32"/>
    <x v="1"/>
    <s v="Travel Rarely"/>
    <n v="117"/>
    <x v="0"/>
    <n v="13"/>
    <n v="4"/>
    <s v="Life Sciences"/>
    <n v="1"/>
    <x v="622"/>
    <n v="2"/>
    <x v="1"/>
    <n v="73"/>
    <n v="3"/>
    <n v="2"/>
    <x v="0"/>
    <n v="4"/>
    <s v="Divorced"/>
    <n v="4403"/>
    <n v="9250"/>
    <n v="2"/>
    <s v="Y"/>
    <s v="No"/>
    <n v="11"/>
    <n v="3"/>
    <n v="3"/>
    <n v="80"/>
    <n v="1"/>
    <n v="8"/>
    <n v="3"/>
    <n v="2"/>
    <x v="8"/>
    <n v="2"/>
    <n v="0"/>
    <n v="3"/>
    <x v="1"/>
    <x v="1"/>
    <s v="Active"/>
    <x v="3"/>
  </r>
  <r>
    <n v="30"/>
    <x v="1"/>
    <s v="Travel Frequently"/>
    <n v="1012"/>
    <x v="1"/>
    <n v="5"/>
    <n v="4"/>
    <s v="Life Sciences"/>
    <n v="1"/>
    <x v="623"/>
    <n v="2"/>
    <x v="1"/>
    <n v="75"/>
    <n v="2"/>
    <n v="1"/>
    <x v="1"/>
    <n v="4"/>
    <s v="Divorced"/>
    <n v="3761"/>
    <n v="2373"/>
    <n v="9"/>
    <s v="Y"/>
    <s v="No"/>
    <n v="12"/>
    <n v="3"/>
    <n v="2"/>
    <n v="80"/>
    <n v="1"/>
    <n v="10"/>
    <n v="3"/>
    <n v="2"/>
    <x v="8"/>
    <n v="4"/>
    <n v="0"/>
    <n v="3"/>
    <x v="1"/>
    <x v="1"/>
    <s v="Active"/>
    <x v="3"/>
  </r>
  <r>
    <n v="53"/>
    <x v="1"/>
    <s v="Travel Rarely"/>
    <n v="661"/>
    <x v="0"/>
    <n v="7"/>
    <n v="2"/>
    <s v="Marketing"/>
    <n v="1"/>
    <x v="624"/>
    <n v="1"/>
    <x v="0"/>
    <n v="78"/>
    <n v="2"/>
    <n v="3"/>
    <x v="0"/>
    <n v="4"/>
    <s v="Married"/>
    <n v="10934"/>
    <n v="20715"/>
    <n v="7"/>
    <s v="Y"/>
    <s v="Yes"/>
    <n v="18"/>
    <n v="3"/>
    <n v="4"/>
    <n v="80"/>
    <n v="1"/>
    <n v="35"/>
    <n v="3"/>
    <n v="3"/>
    <x v="8"/>
    <n v="2"/>
    <n v="0"/>
    <n v="4"/>
    <x v="0"/>
    <x v="2"/>
    <s v="Active"/>
    <x v="3"/>
  </r>
  <r>
    <n v="45"/>
    <x v="1"/>
    <s v="Travel Rarely"/>
    <n v="930"/>
    <x v="0"/>
    <n v="9"/>
    <n v="3"/>
    <s v="Marketing"/>
    <n v="1"/>
    <x v="625"/>
    <n v="4"/>
    <x v="1"/>
    <n v="74"/>
    <n v="3"/>
    <n v="3"/>
    <x v="0"/>
    <n v="1"/>
    <s v="Divorced"/>
    <n v="10761"/>
    <n v="19239"/>
    <n v="4"/>
    <s v="Y"/>
    <s v="Yes"/>
    <n v="12"/>
    <n v="3"/>
    <n v="3"/>
    <n v="80"/>
    <n v="1"/>
    <n v="18"/>
    <n v="2"/>
    <n v="3"/>
    <x v="8"/>
    <n v="4"/>
    <n v="0"/>
    <n v="2"/>
    <x v="0"/>
    <x v="2"/>
    <s v="Active"/>
    <x v="3"/>
  </r>
  <r>
    <n v="32"/>
    <x v="1"/>
    <s v="Travel Rarely"/>
    <n v="638"/>
    <x v="1"/>
    <n v="8"/>
    <n v="2"/>
    <s v="Medical"/>
    <n v="1"/>
    <x v="626"/>
    <n v="3"/>
    <x v="0"/>
    <n v="91"/>
    <n v="4"/>
    <n v="2"/>
    <x v="1"/>
    <n v="3"/>
    <s v="Married"/>
    <n v="5175"/>
    <n v="22162"/>
    <n v="5"/>
    <s v="Y"/>
    <s v="No"/>
    <n v="12"/>
    <n v="3"/>
    <n v="3"/>
    <n v="80"/>
    <n v="1"/>
    <n v="9"/>
    <n v="3"/>
    <n v="2"/>
    <x v="8"/>
    <n v="3"/>
    <n v="1"/>
    <n v="3"/>
    <x v="1"/>
    <x v="0"/>
    <s v="Active"/>
    <x v="3"/>
  </r>
  <r>
    <n v="52"/>
    <x v="1"/>
    <s v="Travel Frequently"/>
    <n v="890"/>
    <x v="1"/>
    <n v="25"/>
    <n v="4"/>
    <s v="Medical"/>
    <n v="1"/>
    <x v="627"/>
    <n v="3"/>
    <x v="0"/>
    <n v="81"/>
    <n v="2"/>
    <n v="4"/>
    <x v="3"/>
    <n v="4"/>
    <s v="Married"/>
    <n v="13826"/>
    <n v="19028"/>
    <n v="3"/>
    <s v="Y"/>
    <s v="No"/>
    <n v="22"/>
    <n v="4"/>
    <n v="3"/>
    <n v="80"/>
    <n v="0"/>
    <n v="31"/>
    <n v="3"/>
    <n v="3"/>
    <x v="7"/>
    <n v="8"/>
    <n v="0"/>
    <n v="0"/>
    <x v="0"/>
    <x v="2"/>
    <s v="Active"/>
    <x v="0"/>
  </r>
  <r>
    <n v="37"/>
    <x v="1"/>
    <s v="Travel Rarely"/>
    <n v="342"/>
    <x v="0"/>
    <n v="16"/>
    <n v="4"/>
    <s v="Marketing"/>
    <n v="1"/>
    <x v="628"/>
    <n v="4"/>
    <x v="1"/>
    <n v="66"/>
    <n v="2"/>
    <n v="2"/>
    <x v="0"/>
    <n v="3"/>
    <s v="Divorced"/>
    <n v="6334"/>
    <n v="24558"/>
    <n v="4"/>
    <s v="Y"/>
    <s v="No"/>
    <n v="19"/>
    <n v="3"/>
    <n v="4"/>
    <n v="80"/>
    <n v="2"/>
    <n v="9"/>
    <n v="2"/>
    <n v="3"/>
    <x v="6"/>
    <n v="0"/>
    <n v="0"/>
    <n v="0"/>
    <x v="1"/>
    <x v="0"/>
    <s v="Active"/>
    <x v="1"/>
  </r>
  <r>
    <n v="28"/>
    <x v="1"/>
    <s v="Travel Rarely"/>
    <n v="1169"/>
    <x v="2"/>
    <n v="8"/>
    <n v="2"/>
    <s v="Medical"/>
    <n v="1"/>
    <x v="629"/>
    <n v="2"/>
    <x v="1"/>
    <n v="63"/>
    <n v="2"/>
    <n v="1"/>
    <x v="8"/>
    <n v="4"/>
    <s v="Divorced"/>
    <n v="4936"/>
    <n v="23965"/>
    <n v="1"/>
    <s v="Y"/>
    <s v="No"/>
    <n v="13"/>
    <n v="3"/>
    <n v="4"/>
    <n v="80"/>
    <n v="1"/>
    <n v="6"/>
    <n v="6"/>
    <n v="3"/>
    <x v="8"/>
    <n v="1"/>
    <n v="0"/>
    <n v="4"/>
    <x v="2"/>
    <x v="1"/>
    <s v="Active"/>
    <x v="3"/>
  </r>
  <r>
    <n v="22"/>
    <x v="1"/>
    <s v="Travel Rarely"/>
    <n v="1230"/>
    <x v="1"/>
    <n v="1"/>
    <n v="2"/>
    <s v="Life Sciences"/>
    <n v="1"/>
    <x v="630"/>
    <n v="4"/>
    <x v="1"/>
    <n v="33"/>
    <n v="2"/>
    <n v="2"/>
    <x v="3"/>
    <n v="4"/>
    <s v="Married"/>
    <n v="4775"/>
    <n v="19146"/>
    <n v="6"/>
    <s v="Y"/>
    <s v="No"/>
    <n v="22"/>
    <n v="4"/>
    <n v="1"/>
    <n v="80"/>
    <n v="2"/>
    <n v="4"/>
    <n v="2"/>
    <n v="1"/>
    <x v="4"/>
    <n v="2"/>
    <n v="2"/>
    <n v="2"/>
    <x v="2"/>
    <x v="1"/>
    <s v="Active"/>
    <x v="2"/>
  </r>
  <r>
    <n v="44"/>
    <x v="1"/>
    <s v="Travel Rarely"/>
    <n v="986"/>
    <x v="1"/>
    <n v="8"/>
    <n v="4"/>
    <s v="Life Sciences"/>
    <n v="1"/>
    <x v="631"/>
    <n v="1"/>
    <x v="1"/>
    <n v="62"/>
    <n v="4"/>
    <n v="1"/>
    <x v="2"/>
    <n v="4"/>
    <s v="Married"/>
    <n v="2818"/>
    <n v="5044"/>
    <n v="2"/>
    <s v="Y"/>
    <s v="Yes"/>
    <n v="24"/>
    <n v="4"/>
    <n v="3"/>
    <n v="80"/>
    <n v="1"/>
    <n v="10"/>
    <n v="2"/>
    <n v="2"/>
    <x v="11"/>
    <n v="2"/>
    <n v="0"/>
    <n v="2"/>
    <x v="0"/>
    <x v="1"/>
    <s v="Active"/>
    <x v="5"/>
  </r>
  <r>
    <n v="42"/>
    <x v="1"/>
    <s v="Travel Frequently"/>
    <n v="1271"/>
    <x v="1"/>
    <n v="2"/>
    <n v="1"/>
    <s v="Medical"/>
    <n v="1"/>
    <x v="632"/>
    <n v="2"/>
    <x v="1"/>
    <n v="35"/>
    <n v="3"/>
    <n v="1"/>
    <x v="1"/>
    <n v="4"/>
    <s v="Single"/>
    <n v="2515"/>
    <n v="9068"/>
    <n v="5"/>
    <s v="Y"/>
    <s v="Yes"/>
    <n v="14"/>
    <n v="3"/>
    <n v="4"/>
    <n v="80"/>
    <n v="0"/>
    <n v="8"/>
    <n v="2"/>
    <n v="3"/>
    <x v="4"/>
    <n v="1"/>
    <n v="2"/>
    <n v="2"/>
    <x v="0"/>
    <x v="1"/>
    <s v="Active"/>
    <x v="2"/>
  </r>
  <r>
    <n v="36"/>
    <x v="1"/>
    <s v="Travel Rarely"/>
    <n v="1278"/>
    <x v="2"/>
    <n v="8"/>
    <n v="3"/>
    <s v="Life Sciences"/>
    <n v="1"/>
    <x v="633"/>
    <n v="1"/>
    <x v="1"/>
    <n v="77"/>
    <n v="2"/>
    <n v="1"/>
    <x v="8"/>
    <n v="1"/>
    <s v="Married"/>
    <n v="2342"/>
    <n v="8635"/>
    <n v="0"/>
    <s v="Y"/>
    <s v="No"/>
    <n v="21"/>
    <n v="4"/>
    <n v="3"/>
    <n v="80"/>
    <n v="0"/>
    <n v="6"/>
    <n v="3"/>
    <n v="3"/>
    <x v="8"/>
    <n v="4"/>
    <n v="0"/>
    <n v="3"/>
    <x v="1"/>
    <x v="1"/>
    <s v="Active"/>
    <x v="3"/>
  </r>
  <r>
    <n v="25"/>
    <x v="1"/>
    <s v="Travel Rarely"/>
    <n v="141"/>
    <x v="0"/>
    <n v="3"/>
    <n v="1"/>
    <s v="Other"/>
    <n v="1"/>
    <x v="634"/>
    <n v="3"/>
    <x v="1"/>
    <n v="98"/>
    <n v="3"/>
    <n v="2"/>
    <x v="0"/>
    <n v="1"/>
    <s v="Married"/>
    <n v="4194"/>
    <n v="14363"/>
    <n v="1"/>
    <s v="Y"/>
    <s v="Yes"/>
    <n v="18"/>
    <n v="3"/>
    <n v="4"/>
    <n v="80"/>
    <n v="0"/>
    <n v="5"/>
    <n v="3"/>
    <n v="3"/>
    <x v="8"/>
    <n v="3"/>
    <n v="0"/>
    <n v="3"/>
    <x v="2"/>
    <x v="1"/>
    <s v="Active"/>
    <x v="3"/>
  </r>
  <r>
    <n v="35"/>
    <x v="1"/>
    <s v="Travel Rarely"/>
    <n v="607"/>
    <x v="1"/>
    <n v="9"/>
    <n v="3"/>
    <s v="Life Sciences"/>
    <n v="1"/>
    <x v="635"/>
    <n v="4"/>
    <x v="0"/>
    <n v="66"/>
    <n v="2"/>
    <n v="3"/>
    <x v="3"/>
    <n v="3"/>
    <s v="Married"/>
    <n v="10685"/>
    <n v="23457"/>
    <n v="1"/>
    <s v="Y"/>
    <s v="Yes"/>
    <n v="20"/>
    <n v="4"/>
    <n v="2"/>
    <n v="80"/>
    <n v="1"/>
    <n v="17"/>
    <n v="2"/>
    <n v="3"/>
    <x v="18"/>
    <n v="14"/>
    <n v="5"/>
    <n v="15"/>
    <x v="1"/>
    <x v="2"/>
    <s v="Active"/>
    <x v="0"/>
  </r>
  <r>
    <n v="35"/>
    <x v="0"/>
    <s v="Travel Frequently"/>
    <n v="130"/>
    <x v="1"/>
    <n v="25"/>
    <n v="4"/>
    <s v="Life Sciences"/>
    <n v="1"/>
    <x v="636"/>
    <n v="4"/>
    <x v="0"/>
    <n v="96"/>
    <n v="3"/>
    <n v="1"/>
    <x v="1"/>
    <n v="2"/>
    <s v="Divorced"/>
    <n v="2022"/>
    <n v="16612"/>
    <n v="1"/>
    <s v="Y"/>
    <s v="Yes"/>
    <n v="19"/>
    <n v="3"/>
    <n v="1"/>
    <n v="80"/>
    <n v="1"/>
    <n v="10"/>
    <n v="3"/>
    <n v="2"/>
    <x v="1"/>
    <n v="2"/>
    <n v="7"/>
    <n v="8"/>
    <x v="1"/>
    <x v="1"/>
    <s v="Resigned"/>
    <x v="0"/>
  </r>
  <r>
    <n v="32"/>
    <x v="1"/>
    <s v="Non Travel"/>
    <n v="300"/>
    <x v="1"/>
    <n v="1"/>
    <n v="3"/>
    <s v="Life Sciences"/>
    <n v="1"/>
    <x v="637"/>
    <n v="4"/>
    <x v="1"/>
    <n v="61"/>
    <n v="3"/>
    <n v="1"/>
    <x v="2"/>
    <n v="4"/>
    <s v="Divorced"/>
    <n v="2314"/>
    <n v="9148"/>
    <n v="0"/>
    <s v="Y"/>
    <s v="No"/>
    <n v="12"/>
    <n v="3"/>
    <n v="2"/>
    <n v="80"/>
    <n v="1"/>
    <n v="4"/>
    <n v="2"/>
    <n v="3"/>
    <x v="11"/>
    <n v="0"/>
    <n v="0"/>
    <n v="2"/>
    <x v="1"/>
    <x v="1"/>
    <s v="Active"/>
    <x v="5"/>
  </r>
  <r>
    <n v="25"/>
    <x v="1"/>
    <s v="Travel Rarely"/>
    <n v="583"/>
    <x v="0"/>
    <n v="4"/>
    <n v="1"/>
    <s v="Marketing"/>
    <n v="1"/>
    <x v="638"/>
    <n v="3"/>
    <x v="1"/>
    <n v="87"/>
    <n v="2"/>
    <n v="2"/>
    <x v="0"/>
    <n v="1"/>
    <s v="Married"/>
    <n v="4256"/>
    <n v="18154"/>
    <n v="1"/>
    <s v="Y"/>
    <s v="No"/>
    <n v="12"/>
    <n v="3"/>
    <n v="1"/>
    <n v="80"/>
    <n v="0"/>
    <n v="5"/>
    <n v="1"/>
    <n v="4"/>
    <x v="8"/>
    <n v="2"/>
    <n v="0"/>
    <n v="3"/>
    <x v="2"/>
    <x v="1"/>
    <s v="Active"/>
    <x v="3"/>
  </r>
  <r>
    <n v="49"/>
    <x v="1"/>
    <s v="Travel Rarely"/>
    <n v="1418"/>
    <x v="1"/>
    <n v="1"/>
    <n v="3"/>
    <s v="Technical Degree"/>
    <n v="1"/>
    <x v="639"/>
    <n v="3"/>
    <x v="0"/>
    <n v="36"/>
    <n v="3"/>
    <n v="1"/>
    <x v="1"/>
    <n v="1"/>
    <s v="Married"/>
    <n v="3580"/>
    <n v="10554"/>
    <n v="2"/>
    <s v="Y"/>
    <s v="No"/>
    <n v="16"/>
    <n v="3"/>
    <n v="2"/>
    <n v="80"/>
    <n v="1"/>
    <n v="7"/>
    <n v="2"/>
    <n v="3"/>
    <x v="9"/>
    <n v="2"/>
    <n v="0"/>
    <n v="2"/>
    <x v="0"/>
    <x v="1"/>
    <s v="Active"/>
    <x v="4"/>
  </r>
  <r>
    <n v="24"/>
    <x v="1"/>
    <s v="Non Travel"/>
    <n v="1269"/>
    <x v="1"/>
    <n v="4"/>
    <n v="1"/>
    <s v="Life Sciences"/>
    <n v="1"/>
    <x v="640"/>
    <n v="1"/>
    <x v="1"/>
    <n v="46"/>
    <n v="2"/>
    <n v="1"/>
    <x v="2"/>
    <n v="4"/>
    <s v="Married"/>
    <n v="3162"/>
    <n v="10778"/>
    <n v="0"/>
    <s v="Y"/>
    <s v="No"/>
    <n v="17"/>
    <n v="3"/>
    <n v="4"/>
    <n v="80"/>
    <n v="0"/>
    <n v="6"/>
    <n v="2"/>
    <n v="2"/>
    <x v="8"/>
    <n v="2"/>
    <n v="3"/>
    <n v="4"/>
    <x v="2"/>
    <x v="1"/>
    <s v="Active"/>
    <x v="3"/>
  </r>
  <r>
    <n v="32"/>
    <x v="1"/>
    <s v="Travel Frequently"/>
    <n v="379"/>
    <x v="0"/>
    <n v="5"/>
    <n v="2"/>
    <s v="Life Sciences"/>
    <n v="1"/>
    <x v="641"/>
    <n v="2"/>
    <x v="1"/>
    <n v="48"/>
    <n v="3"/>
    <n v="2"/>
    <x v="0"/>
    <n v="2"/>
    <s v="Married"/>
    <n v="6524"/>
    <n v="8891"/>
    <n v="1"/>
    <s v="Y"/>
    <s v="No"/>
    <n v="14"/>
    <n v="3"/>
    <n v="4"/>
    <n v="80"/>
    <n v="1"/>
    <n v="10"/>
    <n v="3"/>
    <n v="3"/>
    <x v="1"/>
    <n v="8"/>
    <n v="5"/>
    <n v="3"/>
    <x v="1"/>
    <x v="0"/>
    <s v="Active"/>
    <x v="0"/>
  </r>
  <r>
    <n v="38"/>
    <x v="1"/>
    <s v="Travel Rarely"/>
    <n v="395"/>
    <x v="0"/>
    <n v="9"/>
    <n v="3"/>
    <s v="Marketing"/>
    <n v="1"/>
    <x v="642"/>
    <n v="2"/>
    <x v="1"/>
    <n v="98"/>
    <n v="2"/>
    <n v="1"/>
    <x v="6"/>
    <n v="2"/>
    <s v="Married"/>
    <n v="2899"/>
    <n v="12102"/>
    <n v="0"/>
    <s v="Y"/>
    <s v="No"/>
    <n v="19"/>
    <n v="3"/>
    <n v="4"/>
    <n v="80"/>
    <n v="1"/>
    <n v="3"/>
    <n v="3"/>
    <n v="3"/>
    <x v="4"/>
    <n v="2"/>
    <n v="1"/>
    <n v="2"/>
    <x v="1"/>
    <x v="1"/>
    <s v="Active"/>
    <x v="2"/>
  </r>
  <r>
    <n v="42"/>
    <x v="1"/>
    <s v="Travel Rarely"/>
    <n v="1265"/>
    <x v="1"/>
    <n v="3"/>
    <n v="3"/>
    <s v="Life Sciences"/>
    <n v="1"/>
    <x v="643"/>
    <n v="3"/>
    <x v="0"/>
    <n v="95"/>
    <n v="4"/>
    <n v="2"/>
    <x v="2"/>
    <n v="4"/>
    <s v="Married"/>
    <n v="5231"/>
    <n v="23726"/>
    <n v="2"/>
    <s v="Y"/>
    <s v="Yes"/>
    <n v="13"/>
    <n v="3"/>
    <n v="2"/>
    <n v="80"/>
    <n v="1"/>
    <n v="17"/>
    <n v="1"/>
    <n v="2"/>
    <x v="8"/>
    <n v="3"/>
    <n v="1"/>
    <n v="3"/>
    <x v="0"/>
    <x v="0"/>
    <s v="Active"/>
    <x v="3"/>
  </r>
  <r>
    <n v="31"/>
    <x v="1"/>
    <s v="Travel Rarely"/>
    <n v="1222"/>
    <x v="1"/>
    <n v="11"/>
    <n v="4"/>
    <s v="Life Sciences"/>
    <n v="1"/>
    <x v="644"/>
    <n v="4"/>
    <x v="1"/>
    <n v="48"/>
    <n v="3"/>
    <n v="1"/>
    <x v="1"/>
    <n v="4"/>
    <s v="Married"/>
    <n v="2356"/>
    <n v="14871"/>
    <n v="3"/>
    <s v="Y"/>
    <s v="Yes"/>
    <n v="19"/>
    <n v="3"/>
    <n v="2"/>
    <n v="80"/>
    <n v="1"/>
    <n v="8"/>
    <n v="2"/>
    <n v="3"/>
    <x v="0"/>
    <n v="4"/>
    <n v="0"/>
    <n v="2"/>
    <x v="1"/>
    <x v="1"/>
    <s v="Active"/>
    <x v="0"/>
  </r>
  <r>
    <n v="29"/>
    <x v="0"/>
    <s v="Travel Rarely"/>
    <n v="341"/>
    <x v="0"/>
    <n v="1"/>
    <n v="3"/>
    <s v="Medical"/>
    <n v="1"/>
    <x v="645"/>
    <n v="2"/>
    <x v="0"/>
    <n v="48"/>
    <n v="2"/>
    <n v="1"/>
    <x v="6"/>
    <n v="3"/>
    <s v="Divorced"/>
    <n v="2800"/>
    <n v="23522"/>
    <n v="6"/>
    <s v="Y"/>
    <s v="Yes"/>
    <n v="19"/>
    <n v="3"/>
    <n v="3"/>
    <n v="80"/>
    <n v="3"/>
    <n v="5"/>
    <n v="3"/>
    <n v="3"/>
    <x v="11"/>
    <n v="2"/>
    <n v="0"/>
    <n v="2"/>
    <x v="2"/>
    <x v="1"/>
    <s v="Resigned"/>
    <x v="5"/>
  </r>
  <r>
    <n v="53"/>
    <x v="1"/>
    <s v="Travel Rarely"/>
    <n v="868"/>
    <x v="0"/>
    <n v="8"/>
    <n v="3"/>
    <s v="Marketing"/>
    <n v="1"/>
    <x v="646"/>
    <n v="1"/>
    <x v="1"/>
    <n v="73"/>
    <n v="3"/>
    <n v="4"/>
    <x v="0"/>
    <n v="4"/>
    <s v="Married"/>
    <n v="11836"/>
    <n v="22789"/>
    <n v="5"/>
    <s v="Y"/>
    <s v="No"/>
    <n v="14"/>
    <n v="3"/>
    <n v="3"/>
    <n v="80"/>
    <n v="1"/>
    <n v="28"/>
    <n v="3"/>
    <n v="3"/>
    <x v="4"/>
    <n v="0"/>
    <n v="2"/>
    <n v="2"/>
    <x v="0"/>
    <x v="2"/>
    <s v="Active"/>
    <x v="2"/>
  </r>
  <r>
    <n v="35"/>
    <x v="1"/>
    <s v="Travel Rarely"/>
    <n v="672"/>
    <x v="1"/>
    <n v="25"/>
    <n v="3"/>
    <s v="Technical Degree"/>
    <n v="1"/>
    <x v="647"/>
    <n v="4"/>
    <x v="1"/>
    <n v="78"/>
    <n v="2"/>
    <n v="3"/>
    <x v="3"/>
    <n v="2"/>
    <s v="Married"/>
    <n v="10903"/>
    <n v="9129"/>
    <n v="3"/>
    <s v="Y"/>
    <s v="No"/>
    <n v="16"/>
    <n v="3"/>
    <n v="1"/>
    <n v="80"/>
    <n v="0"/>
    <n v="16"/>
    <n v="2"/>
    <n v="3"/>
    <x v="20"/>
    <n v="10"/>
    <n v="4"/>
    <n v="8"/>
    <x v="1"/>
    <x v="2"/>
    <s v="Active"/>
    <x v="0"/>
  </r>
  <r>
    <n v="37"/>
    <x v="1"/>
    <s v="Travel Frequently"/>
    <n v="1231"/>
    <x v="0"/>
    <n v="21"/>
    <n v="2"/>
    <s v="Medical"/>
    <n v="1"/>
    <x v="648"/>
    <n v="3"/>
    <x v="0"/>
    <n v="54"/>
    <n v="3"/>
    <n v="1"/>
    <x v="6"/>
    <n v="4"/>
    <s v="Married"/>
    <n v="2973"/>
    <n v="21222"/>
    <n v="5"/>
    <s v="Y"/>
    <s v="No"/>
    <n v="15"/>
    <n v="3"/>
    <n v="2"/>
    <n v="80"/>
    <n v="1"/>
    <n v="10"/>
    <n v="3"/>
    <n v="3"/>
    <x v="8"/>
    <n v="4"/>
    <n v="0"/>
    <n v="0"/>
    <x v="1"/>
    <x v="1"/>
    <s v="Active"/>
    <x v="3"/>
  </r>
  <r>
    <n v="53"/>
    <x v="1"/>
    <s v="Travel Rarely"/>
    <n v="102"/>
    <x v="1"/>
    <n v="23"/>
    <n v="4"/>
    <s v="Life Sciences"/>
    <n v="1"/>
    <x v="649"/>
    <n v="4"/>
    <x v="0"/>
    <n v="72"/>
    <n v="3"/>
    <n v="4"/>
    <x v="7"/>
    <n v="4"/>
    <s v="Single"/>
    <n v="14275"/>
    <n v="20206"/>
    <n v="6"/>
    <s v="Y"/>
    <s v="No"/>
    <n v="18"/>
    <n v="3"/>
    <n v="3"/>
    <n v="80"/>
    <n v="0"/>
    <n v="33"/>
    <n v="0"/>
    <n v="3"/>
    <x v="12"/>
    <n v="9"/>
    <n v="3"/>
    <n v="8"/>
    <x v="0"/>
    <x v="2"/>
    <s v="Active"/>
    <x v="0"/>
  </r>
  <r>
    <n v="43"/>
    <x v="1"/>
    <s v="Travel Frequently"/>
    <n v="422"/>
    <x v="1"/>
    <n v="1"/>
    <n v="3"/>
    <s v="Life Sciences"/>
    <n v="1"/>
    <x v="650"/>
    <n v="4"/>
    <x v="0"/>
    <n v="33"/>
    <n v="3"/>
    <n v="2"/>
    <x v="4"/>
    <n v="4"/>
    <s v="Married"/>
    <n v="5562"/>
    <n v="21782"/>
    <n v="4"/>
    <s v="Y"/>
    <s v="No"/>
    <n v="13"/>
    <n v="3"/>
    <n v="2"/>
    <n v="80"/>
    <n v="1"/>
    <n v="12"/>
    <n v="2"/>
    <n v="2"/>
    <x v="8"/>
    <n v="2"/>
    <n v="2"/>
    <n v="2"/>
    <x v="0"/>
    <x v="0"/>
    <s v="Active"/>
    <x v="3"/>
  </r>
  <r>
    <n v="47"/>
    <x v="1"/>
    <s v="Travel Rarely"/>
    <n v="249"/>
    <x v="0"/>
    <n v="2"/>
    <n v="2"/>
    <s v="Marketing"/>
    <n v="1"/>
    <x v="651"/>
    <n v="3"/>
    <x v="0"/>
    <n v="35"/>
    <n v="3"/>
    <n v="2"/>
    <x v="0"/>
    <n v="4"/>
    <s v="Married"/>
    <n v="4537"/>
    <n v="17783"/>
    <n v="0"/>
    <s v="Y"/>
    <s v="Yes"/>
    <n v="22"/>
    <n v="4"/>
    <n v="1"/>
    <n v="80"/>
    <n v="1"/>
    <n v="8"/>
    <n v="2"/>
    <n v="3"/>
    <x v="5"/>
    <n v="6"/>
    <n v="7"/>
    <n v="7"/>
    <x v="0"/>
    <x v="1"/>
    <s v="Active"/>
    <x v="0"/>
  </r>
  <r>
    <n v="37"/>
    <x v="1"/>
    <s v="Non Travel"/>
    <n v="1252"/>
    <x v="0"/>
    <n v="19"/>
    <n v="2"/>
    <s v="Medical"/>
    <n v="1"/>
    <x v="652"/>
    <n v="1"/>
    <x v="1"/>
    <n v="32"/>
    <n v="3"/>
    <n v="3"/>
    <x v="0"/>
    <n v="2"/>
    <s v="Single"/>
    <n v="7642"/>
    <n v="4814"/>
    <n v="1"/>
    <s v="Y"/>
    <s v="Yes"/>
    <n v="13"/>
    <n v="3"/>
    <n v="4"/>
    <n v="80"/>
    <n v="0"/>
    <n v="10"/>
    <n v="2"/>
    <n v="3"/>
    <x v="1"/>
    <n v="0"/>
    <n v="0"/>
    <n v="9"/>
    <x v="1"/>
    <x v="0"/>
    <s v="Active"/>
    <x v="0"/>
  </r>
  <r>
    <n v="50"/>
    <x v="1"/>
    <s v="Non Travel"/>
    <n v="881"/>
    <x v="1"/>
    <n v="2"/>
    <n v="4"/>
    <s v="Life Sciences"/>
    <n v="1"/>
    <x v="653"/>
    <n v="1"/>
    <x v="1"/>
    <n v="98"/>
    <n v="3"/>
    <n v="4"/>
    <x v="5"/>
    <n v="1"/>
    <s v="Divorced"/>
    <n v="17924"/>
    <n v="4544"/>
    <n v="1"/>
    <s v="Y"/>
    <s v="No"/>
    <n v="11"/>
    <n v="3"/>
    <n v="4"/>
    <n v="80"/>
    <n v="1"/>
    <n v="31"/>
    <n v="3"/>
    <n v="3"/>
    <x v="31"/>
    <n v="6"/>
    <n v="14"/>
    <n v="7"/>
    <x v="0"/>
    <x v="2"/>
    <s v="Active"/>
    <x v="0"/>
  </r>
  <r>
    <n v="39"/>
    <x v="1"/>
    <s v="Travel Rarely"/>
    <n v="1383"/>
    <x v="2"/>
    <n v="2"/>
    <n v="3"/>
    <s v="Life Sciences"/>
    <n v="1"/>
    <x v="654"/>
    <n v="4"/>
    <x v="0"/>
    <n v="42"/>
    <n v="2"/>
    <n v="2"/>
    <x v="8"/>
    <n v="4"/>
    <s v="Married"/>
    <n v="5204"/>
    <n v="7790"/>
    <n v="8"/>
    <s v="Y"/>
    <s v="No"/>
    <n v="11"/>
    <n v="3"/>
    <n v="3"/>
    <n v="80"/>
    <n v="2"/>
    <n v="13"/>
    <n v="2"/>
    <n v="3"/>
    <x v="8"/>
    <n v="4"/>
    <n v="0"/>
    <n v="4"/>
    <x v="1"/>
    <x v="0"/>
    <s v="Active"/>
    <x v="3"/>
  </r>
  <r>
    <n v="33"/>
    <x v="1"/>
    <s v="Travel Rarely"/>
    <n v="1075"/>
    <x v="2"/>
    <n v="3"/>
    <n v="2"/>
    <s v="Human Resources"/>
    <n v="1"/>
    <x v="655"/>
    <n v="4"/>
    <x v="1"/>
    <n v="57"/>
    <n v="3"/>
    <n v="1"/>
    <x v="8"/>
    <n v="2"/>
    <s v="Divorced"/>
    <n v="2277"/>
    <n v="22650"/>
    <n v="3"/>
    <s v="Y"/>
    <s v="Yes"/>
    <n v="11"/>
    <n v="3"/>
    <n v="3"/>
    <n v="80"/>
    <n v="1"/>
    <n v="7"/>
    <n v="4"/>
    <n v="4"/>
    <x v="9"/>
    <n v="3"/>
    <n v="0"/>
    <n v="3"/>
    <x v="1"/>
    <x v="1"/>
    <s v="Active"/>
    <x v="4"/>
  </r>
  <r>
    <n v="32"/>
    <x v="0"/>
    <s v="Travel Rarely"/>
    <n v="374"/>
    <x v="1"/>
    <n v="25"/>
    <n v="4"/>
    <s v="Life Sciences"/>
    <n v="1"/>
    <x v="656"/>
    <n v="1"/>
    <x v="1"/>
    <n v="87"/>
    <n v="3"/>
    <n v="1"/>
    <x v="2"/>
    <n v="4"/>
    <s v="Single"/>
    <n v="2795"/>
    <n v="18016"/>
    <n v="1"/>
    <s v="Y"/>
    <s v="Yes"/>
    <n v="24"/>
    <n v="4"/>
    <n v="3"/>
    <n v="80"/>
    <n v="0"/>
    <n v="1"/>
    <n v="2"/>
    <n v="1"/>
    <x v="6"/>
    <n v="0"/>
    <n v="0"/>
    <n v="1"/>
    <x v="1"/>
    <x v="1"/>
    <s v="Resigned"/>
    <x v="1"/>
  </r>
  <r>
    <n v="29"/>
    <x v="1"/>
    <s v="Travel Rarely"/>
    <n v="1086"/>
    <x v="1"/>
    <n v="7"/>
    <n v="1"/>
    <s v="Medical"/>
    <n v="1"/>
    <x v="657"/>
    <n v="1"/>
    <x v="0"/>
    <n v="62"/>
    <n v="2"/>
    <n v="1"/>
    <x v="2"/>
    <n v="4"/>
    <s v="Divorced"/>
    <n v="2532"/>
    <n v="6054"/>
    <n v="6"/>
    <s v="Y"/>
    <s v="No"/>
    <n v="14"/>
    <n v="3"/>
    <n v="3"/>
    <n v="80"/>
    <n v="3"/>
    <n v="8"/>
    <n v="5"/>
    <n v="3"/>
    <x v="9"/>
    <n v="3"/>
    <n v="0"/>
    <n v="3"/>
    <x v="2"/>
    <x v="1"/>
    <s v="Active"/>
    <x v="4"/>
  </r>
  <r>
    <n v="44"/>
    <x v="1"/>
    <s v="Travel Rarely"/>
    <n v="661"/>
    <x v="1"/>
    <n v="9"/>
    <n v="2"/>
    <s v="Life Sciences"/>
    <n v="1"/>
    <x v="658"/>
    <n v="2"/>
    <x v="1"/>
    <n v="61"/>
    <n v="3"/>
    <n v="1"/>
    <x v="1"/>
    <n v="1"/>
    <s v="Married"/>
    <n v="2559"/>
    <n v="7508"/>
    <n v="1"/>
    <s v="Y"/>
    <s v="Yes"/>
    <n v="13"/>
    <n v="3"/>
    <n v="4"/>
    <n v="80"/>
    <n v="0"/>
    <n v="8"/>
    <n v="0"/>
    <n v="3"/>
    <x v="3"/>
    <n v="7"/>
    <n v="7"/>
    <n v="1"/>
    <x v="0"/>
    <x v="1"/>
    <s v="Active"/>
    <x v="0"/>
  </r>
  <r>
    <n v="28"/>
    <x v="1"/>
    <s v="Travel Rarely"/>
    <n v="821"/>
    <x v="0"/>
    <n v="5"/>
    <n v="4"/>
    <s v="Medical"/>
    <n v="1"/>
    <x v="659"/>
    <n v="1"/>
    <x v="1"/>
    <n v="98"/>
    <n v="3"/>
    <n v="2"/>
    <x v="0"/>
    <n v="4"/>
    <s v="Single"/>
    <n v="4908"/>
    <n v="24252"/>
    <n v="1"/>
    <s v="Y"/>
    <s v="No"/>
    <n v="14"/>
    <n v="3"/>
    <n v="2"/>
    <n v="80"/>
    <n v="0"/>
    <n v="4"/>
    <n v="3"/>
    <n v="3"/>
    <x v="9"/>
    <n v="2"/>
    <n v="0"/>
    <n v="2"/>
    <x v="2"/>
    <x v="1"/>
    <s v="Active"/>
    <x v="4"/>
  </r>
  <r>
    <n v="58"/>
    <x v="0"/>
    <s v="Travel Frequently"/>
    <n v="781"/>
    <x v="1"/>
    <n v="2"/>
    <n v="1"/>
    <s v="Life Sciences"/>
    <n v="1"/>
    <x v="660"/>
    <n v="4"/>
    <x v="1"/>
    <n v="57"/>
    <n v="2"/>
    <n v="1"/>
    <x v="2"/>
    <n v="4"/>
    <s v="Divorced"/>
    <n v="2380"/>
    <n v="13384"/>
    <n v="9"/>
    <s v="Y"/>
    <s v="Yes"/>
    <n v="14"/>
    <n v="3"/>
    <n v="4"/>
    <n v="80"/>
    <n v="1"/>
    <n v="3"/>
    <n v="3"/>
    <n v="2"/>
    <x v="6"/>
    <n v="0"/>
    <n v="0"/>
    <n v="0"/>
    <x v="0"/>
    <x v="1"/>
    <s v="Resigned"/>
    <x v="1"/>
  </r>
  <r>
    <n v="43"/>
    <x v="1"/>
    <s v="Travel Rarely"/>
    <n v="177"/>
    <x v="1"/>
    <n v="8"/>
    <n v="3"/>
    <s v="Life Sciences"/>
    <n v="1"/>
    <x v="661"/>
    <n v="1"/>
    <x v="0"/>
    <n v="55"/>
    <n v="3"/>
    <n v="2"/>
    <x v="3"/>
    <n v="2"/>
    <s v="Divorced"/>
    <n v="4765"/>
    <n v="23814"/>
    <n v="4"/>
    <s v="Y"/>
    <s v="No"/>
    <n v="21"/>
    <n v="4"/>
    <n v="3"/>
    <n v="80"/>
    <n v="1"/>
    <n v="4"/>
    <n v="2"/>
    <n v="4"/>
    <x v="6"/>
    <n v="0"/>
    <n v="0"/>
    <n v="0"/>
    <x v="0"/>
    <x v="1"/>
    <s v="Active"/>
    <x v="1"/>
  </r>
  <r>
    <n v="20"/>
    <x v="0"/>
    <s v="Travel Rarely"/>
    <n v="500"/>
    <x v="0"/>
    <n v="2"/>
    <n v="3"/>
    <s v="Medical"/>
    <n v="1"/>
    <x v="662"/>
    <n v="3"/>
    <x v="0"/>
    <n v="49"/>
    <n v="2"/>
    <n v="1"/>
    <x v="6"/>
    <n v="3"/>
    <s v="Single"/>
    <n v="2044"/>
    <n v="22052"/>
    <n v="1"/>
    <s v="Y"/>
    <s v="No"/>
    <n v="13"/>
    <n v="3"/>
    <n v="4"/>
    <n v="80"/>
    <n v="0"/>
    <n v="2"/>
    <n v="3"/>
    <n v="2"/>
    <x v="4"/>
    <n v="2"/>
    <n v="0"/>
    <n v="2"/>
    <x v="2"/>
    <x v="1"/>
    <s v="Resigned"/>
    <x v="2"/>
  </r>
  <r>
    <n v="21"/>
    <x v="0"/>
    <s v="Travel Rarely"/>
    <n v="1427"/>
    <x v="1"/>
    <n v="18"/>
    <n v="1"/>
    <s v="Other"/>
    <n v="1"/>
    <x v="663"/>
    <n v="4"/>
    <x v="0"/>
    <n v="65"/>
    <n v="3"/>
    <n v="1"/>
    <x v="1"/>
    <n v="4"/>
    <s v="Single"/>
    <n v="2693"/>
    <n v="8870"/>
    <n v="1"/>
    <s v="Y"/>
    <s v="No"/>
    <n v="19"/>
    <n v="3"/>
    <n v="1"/>
    <n v="80"/>
    <n v="0"/>
    <n v="1"/>
    <n v="3"/>
    <n v="2"/>
    <x v="6"/>
    <n v="0"/>
    <n v="0"/>
    <n v="0"/>
    <x v="2"/>
    <x v="1"/>
    <s v="Resigned"/>
    <x v="1"/>
  </r>
  <r>
    <n v="36"/>
    <x v="1"/>
    <s v="Travel Rarely"/>
    <n v="1425"/>
    <x v="1"/>
    <n v="14"/>
    <n v="1"/>
    <s v="Life Sciences"/>
    <n v="1"/>
    <x v="664"/>
    <n v="3"/>
    <x v="1"/>
    <n v="68"/>
    <n v="3"/>
    <n v="2"/>
    <x v="4"/>
    <n v="4"/>
    <s v="Married"/>
    <n v="6586"/>
    <n v="4821"/>
    <n v="0"/>
    <s v="Y"/>
    <s v="Yes"/>
    <n v="17"/>
    <n v="3"/>
    <n v="1"/>
    <n v="80"/>
    <n v="1"/>
    <n v="17"/>
    <n v="2"/>
    <n v="2"/>
    <x v="22"/>
    <n v="8"/>
    <n v="4"/>
    <n v="11"/>
    <x v="1"/>
    <x v="0"/>
    <s v="Active"/>
    <x v="0"/>
  </r>
  <r>
    <n v="47"/>
    <x v="1"/>
    <s v="Travel Rarely"/>
    <n v="1454"/>
    <x v="0"/>
    <n v="2"/>
    <n v="4"/>
    <s v="Life Sciences"/>
    <n v="1"/>
    <x v="665"/>
    <n v="4"/>
    <x v="0"/>
    <n v="65"/>
    <n v="2"/>
    <n v="1"/>
    <x v="6"/>
    <n v="4"/>
    <s v="Single"/>
    <n v="3294"/>
    <n v="13137"/>
    <n v="1"/>
    <s v="Y"/>
    <s v="Yes"/>
    <n v="18"/>
    <n v="3"/>
    <n v="1"/>
    <n v="80"/>
    <n v="0"/>
    <n v="3"/>
    <n v="3"/>
    <n v="2"/>
    <x v="11"/>
    <n v="2"/>
    <n v="1"/>
    <n v="2"/>
    <x v="0"/>
    <x v="1"/>
    <s v="Active"/>
    <x v="5"/>
  </r>
  <r>
    <n v="22"/>
    <x v="0"/>
    <s v="Travel Rarely"/>
    <n v="617"/>
    <x v="1"/>
    <n v="3"/>
    <n v="1"/>
    <s v="Life Sciences"/>
    <n v="1"/>
    <x v="666"/>
    <n v="2"/>
    <x v="0"/>
    <n v="34"/>
    <n v="3"/>
    <n v="2"/>
    <x v="3"/>
    <n v="3"/>
    <s v="Married"/>
    <n v="4171"/>
    <n v="10022"/>
    <n v="0"/>
    <s v="Y"/>
    <s v="Yes"/>
    <n v="19"/>
    <n v="3"/>
    <n v="1"/>
    <n v="80"/>
    <n v="1"/>
    <n v="4"/>
    <n v="3"/>
    <n v="4"/>
    <x v="11"/>
    <n v="2"/>
    <n v="0"/>
    <n v="2"/>
    <x v="2"/>
    <x v="1"/>
    <s v="Resigned"/>
    <x v="5"/>
  </r>
  <r>
    <n v="41"/>
    <x v="0"/>
    <s v="Travel Rarely"/>
    <n v="1085"/>
    <x v="1"/>
    <n v="2"/>
    <n v="4"/>
    <s v="Life Sciences"/>
    <n v="1"/>
    <x v="667"/>
    <n v="2"/>
    <x v="0"/>
    <n v="57"/>
    <n v="1"/>
    <n v="1"/>
    <x v="2"/>
    <n v="4"/>
    <s v="Divorced"/>
    <n v="2778"/>
    <n v="17725"/>
    <n v="4"/>
    <s v="Y"/>
    <s v="Yes"/>
    <n v="13"/>
    <n v="3"/>
    <n v="3"/>
    <n v="80"/>
    <n v="1"/>
    <n v="10"/>
    <n v="1"/>
    <n v="2"/>
    <x v="5"/>
    <n v="7"/>
    <n v="1"/>
    <n v="0"/>
    <x v="0"/>
    <x v="1"/>
    <s v="Resigned"/>
    <x v="0"/>
  </r>
  <r>
    <n v="28"/>
    <x v="1"/>
    <s v="Travel Rarely"/>
    <n v="995"/>
    <x v="1"/>
    <n v="9"/>
    <n v="3"/>
    <s v="Medical"/>
    <n v="1"/>
    <x v="668"/>
    <n v="3"/>
    <x v="0"/>
    <n v="77"/>
    <n v="3"/>
    <n v="1"/>
    <x v="1"/>
    <n v="3"/>
    <s v="Divorced"/>
    <n v="2377"/>
    <n v="9834"/>
    <n v="5"/>
    <s v="Y"/>
    <s v="No"/>
    <n v="18"/>
    <n v="3"/>
    <n v="2"/>
    <n v="80"/>
    <n v="1"/>
    <n v="6"/>
    <n v="2"/>
    <n v="3"/>
    <x v="4"/>
    <n v="2"/>
    <n v="2"/>
    <n v="2"/>
    <x v="2"/>
    <x v="1"/>
    <s v="Active"/>
    <x v="2"/>
  </r>
  <r>
    <n v="39"/>
    <x v="0"/>
    <s v="Travel Rarely"/>
    <n v="1122"/>
    <x v="1"/>
    <n v="6"/>
    <n v="3"/>
    <s v="Medical"/>
    <n v="1"/>
    <x v="669"/>
    <n v="4"/>
    <x v="1"/>
    <n v="70"/>
    <n v="3"/>
    <n v="1"/>
    <x v="2"/>
    <n v="1"/>
    <s v="Married"/>
    <n v="2404"/>
    <n v="4303"/>
    <n v="7"/>
    <s v="Y"/>
    <s v="Yes"/>
    <n v="21"/>
    <n v="4"/>
    <n v="4"/>
    <n v="80"/>
    <n v="0"/>
    <n v="8"/>
    <n v="2"/>
    <n v="1"/>
    <x v="4"/>
    <n v="2"/>
    <n v="2"/>
    <n v="2"/>
    <x v="1"/>
    <x v="1"/>
    <s v="Resigned"/>
    <x v="2"/>
  </r>
  <r>
    <n v="27"/>
    <x v="1"/>
    <s v="Travel Rarely"/>
    <n v="618"/>
    <x v="1"/>
    <n v="4"/>
    <n v="3"/>
    <s v="Life Sciences"/>
    <n v="1"/>
    <x v="670"/>
    <n v="2"/>
    <x v="0"/>
    <n v="76"/>
    <n v="3"/>
    <n v="1"/>
    <x v="1"/>
    <n v="3"/>
    <s v="Single"/>
    <n v="2318"/>
    <n v="17808"/>
    <n v="1"/>
    <s v="Y"/>
    <s v="No"/>
    <n v="19"/>
    <n v="3"/>
    <n v="3"/>
    <n v="80"/>
    <n v="0"/>
    <n v="1"/>
    <n v="2"/>
    <n v="3"/>
    <x v="6"/>
    <n v="1"/>
    <n v="0"/>
    <n v="0"/>
    <x v="2"/>
    <x v="1"/>
    <s v="Active"/>
    <x v="1"/>
  </r>
  <r>
    <n v="34"/>
    <x v="1"/>
    <s v="Travel Rarely"/>
    <n v="546"/>
    <x v="1"/>
    <n v="10"/>
    <n v="3"/>
    <s v="Life Sciences"/>
    <n v="1"/>
    <x v="671"/>
    <n v="2"/>
    <x v="1"/>
    <n v="83"/>
    <n v="3"/>
    <n v="1"/>
    <x v="2"/>
    <n v="2"/>
    <s v="Divorced"/>
    <n v="2008"/>
    <n v="6896"/>
    <n v="1"/>
    <s v="Y"/>
    <s v="No"/>
    <n v="14"/>
    <n v="3"/>
    <n v="2"/>
    <n v="80"/>
    <n v="2"/>
    <n v="1"/>
    <n v="3"/>
    <n v="3"/>
    <x v="6"/>
    <n v="0"/>
    <n v="1"/>
    <n v="0"/>
    <x v="1"/>
    <x v="1"/>
    <s v="Active"/>
    <x v="1"/>
  </r>
  <r>
    <n v="42"/>
    <x v="1"/>
    <s v="Travel Rarely"/>
    <n v="462"/>
    <x v="0"/>
    <n v="14"/>
    <n v="2"/>
    <s v="Medical"/>
    <n v="1"/>
    <x v="672"/>
    <n v="3"/>
    <x v="0"/>
    <n v="68"/>
    <n v="2"/>
    <n v="2"/>
    <x v="0"/>
    <n v="3"/>
    <s v="Single"/>
    <n v="6244"/>
    <n v="7824"/>
    <n v="7"/>
    <s v="Y"/>
    <s v="No"/>
    <n v="17"/>
    <n v="3"/>
    <n v="1"/>
    <n v="80"/>
    <n v="0"/>
    <n v="10"/>
    <n v="6"/>
    <n v="3"/>
    <x v="8"/>
    <n v="4"/>
    <n v="0"/>
    <n v="3"/>
    <x v="0"/>
    <x v="0"/>
    <s v="Active"/>
    <x v="3"/>
  </r>
  <r>
    <n v="33"/>
    <x v="1"/>
    <s v="Travel Rarely"/>
    <n v="1198"/>
    <x v="1"/>
    <n v="1"/>
    <n v="4"/>
    <s v="Other"/>
    <n v="1"/>
    <x v="673"/>
    <n v="3"/>
    <x v="1"/>
    <n v="100"/>
    <n v="2"/>
    <n v="1"/>
    <x v="1"/>
    <n v="1"/>
    <s v="Single"/>
    <n v="2799"/>
    <n v="3339"/>
    <n v="3"/>
    <s v="Y"/>
    <s v="Yes"/>
    <n v="11"/>
    <n v="3"/>
    <n v="2"/>
    <n v="80"/>
    <n v="0"/>
    <n v="6"/>
    <n v="1"/>
    <n v="3"/>
    <x v="11"/>
    <n v="2"/>
    <n v="0"/>
    <n v="2"/>
    <x v="1"/>
    <x v="1"/>
    <s v="Active"/>
    <x v="5"/>
  </r>
  <r>
    <n v="58"/>
    <x v="1"/>
    <s v="Travel Rarely"/>
    <n v="1272"/>
    <x v="1"/>
    <n v="5"/>
    <n v="3"/>
    <s v="Technical Degree"/>
    <n v="1"/>
    <x v="674"/>
    <n v="3"/>
    <x v="0"/>
    <n v="37"/>
    <n v="2"/>
    <n v="3"/>
    <x v="4"/>
    <n v="2"/>
    <s v="Divorced"/>
    <n v="10552"/>
    <n v="9255"/>
    <n v="2"/>
    <s v="Y"/>
    <s v="Yes"/>
    <n v="13"/>
    <n v="3"/>
    <n v="4"/>
    <n v="80"/>
    <n v="1"/>
    <n v="24"/>
    <n v="3"/>
    <n v="3"/>
    <x v="0"/>
    <n v="0"/>
    <n v="0"/>
    <n v="4"/>
    <x v="0"/>
    <x v="2"/>
    <s v="Active"/>
    <x v="0"/>
  </r>
  <r>
    <n v="31"/>
    <x v="1"/>
    <s v="Travel Rarely"/>
    <n v="154"/>
    <x v="0"/>
    <n v="7"/>
    <n v="4"/>
    <s v="Life Sciences"/>
    <n v="1"/>
    <x v="675"/>
    <n v="2"/>
    <x v="1"/>
    <n v="41"/>
    <n v="2"/>
    <n v="1"/>
    <x v="6"/>
    <n v="3"/>
    <s v="Married"/>
    <n v="2329"/>
    <n v="11737"/>
    <n v="3"/>
    <s v="Y"/>
    <s v="No"/>
    <n v="15"/>
    <n v="3"/>
    <n v="2"/>
    <n v="80"/>
    <n v="0"/>
    <n v="13"/>
    <n v="2"/>
    <n v="4"/>
    <x v="5"/>
    <n v="7"/>
    <n v="5"/>
    <n v="2"/>
    <x v="1"/>
    <x v="1"/>
    <s v="Active"/>
    <x v="0"/>
  </r>
  <r>
    <n v="35"/>
    <x v="1"/>
    <s v="Travel Rarely"/>
    <n v="1137"/>
    <x v="1"/>
    <n v="21"/>
    <n v="1"/>
    <s v="Life Sciences"/>
    <n v="1"/>
    <x v="676"/>
    <n v="4"/>
    <x v="0"/>
    <n v="51"/>
    <n v="3"/>
    <n v="2"/>
    <x v="4"/>
    <n v="4"/>
    <s v="Married"/>
    <n v="4014"/>
    <n v="19170"/>
    <n v="1"/>
    <s v="Y"/>
    <s v="Yes"/>
    <n v="25"/>
    <n v="4"/>
    <n v="4"/>
    <n v="80"/>
    <n v="1"/>
    <n v="10"/>
    <n v="2"/>
    <n v="1"/>
    <x v="1"/>
    <n v="6"/>
    <n v="0"/>
    <n v="7"/>
    <x v="1"/>
    <x v="1"/>
    <s v="Active"/>
    <x v="0"/>
  </r>
  <r>
    <n v="49"/>
    <x v="1"/>
    <s v="Travel Rarely"/>
    <n v="527"/>
    <x v="1"/>
    <n v="8"/>
    <n v="2"/>
    <s v="Other"/>
    <n v="1"/>
    <x v="677"/>
    <n v="1"/>
    <x v="0"/>
    <n v="51"/>
    <n v="3"/>
    <n v="3"/>
    <x v="2"/>
    <n v="2"/>
    <s v="Married"/>
    <n v="7403"/>
    <n v="22477"/>
    <n v="4"/>
    <s v="Y"/>
    <s v="No"/>
    <n v="11"/>
    <n v="3"/>
    <n v="3"/>
    <n v="80"/>
    <n v="1"/>
    <n v="29"/>
    <n v="3"/>
    <n v="2"/>
    <x v="34"/>
    <n v="9"/>
    <n v="1"/>
    <n v="7"/>
    <x v="0"/>
    <x v="0"/>
    <s v="Active"/>
    <x v="0"/>
  </r>
  <r>
    <n v="48"/>
    <x v="1"/>
    <s v="Travel Rarely"/>
    <n v="1469"/>
    <x v="1"/>
    <n v="20"/>
    <n v="4"/>
    <s v="Medical"/>
    <n v="1"/>
    <x v="678"/>
    <n v="4"/>
    <x v="1"/>
    <n v="51"/>
    <n v="3"/>
    <n v="1"/>
    <x v="1"/>
    <n v="3"/>
    <s v="Married"/>
    <n v="2259"/>
    <n v="5543"/>
    <n v="4"/>
    <s v="Y"/>
    <s v="No"/>
    <n v="17"/>
    <n v="3"/>
    <n v="1"/>
    <n v="80"/>
    <n v="2"/>
    <n v="13"/>
    <n v="2"/>
    <n v="2"/>
    <x v="2"/>
    <n v="0"/>
    <n v="0"/>
    <n v="0"/>
    <x v="0"/>
    <x v="1"/>
    <s v="Active"/>
    <x v="1"/>
  </r>
  <r>
    <n v="31"/>
    <x v="1"/>
    <s v="Non Travel"/>
    <n v="1188"/>
    <x v="0"/>
    <n v="20"/>
    <n v="2"/>
    <s v="Marketing"/>
    <n v="1"/>
    <x v="679"/>
    <n v="4"/>
    <x v="0"/>
    <n v="45"/>
    <n v="3"/>
    <n v="2"/>
    <x v="0"/>
    <n v="3"/>
    <s v="Married"/>
    <n v="6932"/>
    <n v="24406"/>
    <n v="1"/>
    <s v="Y"/>
    <s v="No"/>
    <n v="13"/>
    <n v="3"/>
    <n v="4"/>
    <n v="80"/>
    <n v="1"/>
    <n v="9"/>
    <n v="2"/>
    <n v="2"/>
    <x v="7"/>
    <n v="8"/>
    <n v="0"/>
    <n v="0"/>
    <x v="1"/>
    <x v="0"/>
    <s v="Active"/>
    <x v="0"/>
  </r>
  <r>
    <n v="36"/>
    <x v="1"/>
    <s v="Travel Rarely"/>
    <n v="188"/>
    <x v="1"/>
    <n v="7"/>
    <n v="4"/>
    <s v="Other"/>
    <n v="1"/>
    <x v="680"/>
    <n v="2"/>
    <x v="1"/>
    <n v="65"/>
    <n v="3"/>
    <n v="1"/>
    <x v="1"/>
    <n v="4"/>
    <s v="Single"/>
    <n v="4678"/>
    <n v="23293"/>
    <n v="2"/>
    <s v="Y"/>
    <s v="No"/>
    <n v="18"/>
    <n v="3"/>
    <n v="3"/>
    <n v="80"/>
    <n v="0"/>
    <n v="8"/>
    <n v="6"/>
    <n v="3"/>
    <x v="0"/>
    <n v="2"/>
    <n v="0"/>
    <n v="1"/>
    <x v="1"/>
    <x v="1"/>
    <s v="Active"/>
    <x v="0"/>
  </r>
  <r>
    <n v="38"/>
    <x v="1"/>
    <s v="Travel Rarely"/>
    <n v="1333"/>
    <x v="1"/>
    <n v="1"/>
    <n v="3"/>
    <s v="Technical Degree"/>
    <n v="1"/>
    <x v="681"/>
    <n v="4"/>
    <x v="0"/>
    <n v="80"/>
    <n v="3"/>
    <n v="3"/>
    <x v="7"/>
    <n v="1"/>
    <s v="Married"/>
    <n v="13582"/>
    <n v="16292"/>
    <n v="1"/>
    <s v="Y"/>
    <s v="No"/>
    <n v="13"/>
    <n v="3"/>
    <n v="2"/>
    <n v="80"/>
    <n v="1"/>
    <n v="15"/>
    <n v="3"/>
    <n v="3"/>
    <x v="15"/>
    <n v="12"/>
    <n v="5"/>
    <n v="11"/>
    <x v="1"/>
    <x v="2"/>
    <s v="Active"/>
    <x v="0"/>
  </r>
  <r>
    <n v="32"/>
    <x v="1"/>
    <s v="Non Travel"/>
    <n v="1184"/>
    <x v="1"/>
    <n v="1"/>
    <n v="3"/>
    <s v="Life Sciences"/>
    <n v="1"/>
    <x v="682"/>
    <n v="3"/>
    <x v="0"/>
    <n v="70"/>
    <n v="2"/>
    <n v="1"/>
    <x v="2"/>
    <n v="2"/>
    <s v="Married"/>
    <n v="2332"/>
    <n v="3974"/>
    <n v="6"/>
    <s v="Y"/>
    <s v="No"/>
    <n v="20"/>
    <n v="4"/>
    <n v="3"/>
    <n v="80"/>
    <n v="0"/>
    <n v="5"/>
    <n v="3"/>
    <n v="3"/>
    <x v="11"/>
    <n v="0"/>
    <n v="0"/>
    <n v="2"/>
    <x v="1"/>
    <x v="1"/>
    <s v="Active"/>
    <x v="5"/>
  </r>
  <r>
    <n v="25"/>
    <x v="0"/>
    <s v="Travel Rarely"/>
    <n v="867"/>
    <x v="0"/>
    <n v="19"/>
    <n v="2"/>
    <s v="Marketing"/>
    <n v="1"/>
    <x v="683"/>
    <n v="3"/>
    <x v="1"/>
    <n v="36"/>
    <n v="2"/>
    <n v="1"/>
    <x v="6"/>
    <n v="2"/>
    <s v="Married"/>
    <n v="2413"/>
    <n v="18798"/>
    <n v="1"/>
    <s v="Y"/>
    <s v="Yes"/>
    <n v="18"/>
    <n v="3"/>
    <n v="3"/>
    <n v="80"/>
    <n v="3"/>
    <n v="1"/>
    <n v="2"/>
    <n v="3"/>
    <x v="6"/>
    <n v="0"/>
    <n v="0"/>
    <n v="0"/>
    <x v="2"/>
    <x v="1"/>
    <s v="Resigned"/>
    <x v="1"/>
  </r>
  <r>
    <n v="40"/>
    <x v="1"/>
    <s v="Travel Rarely"/>
    <n v="658"/>
    <x v="0"/>
    <n v="10"/>
    <n v="4"/>
    <s v="Marketing"/>
    <n v="1"/>
    <x v="684"/>
    <n v="1"/>
    <x v="1"/>
    <n v="67"/>
    <n v="2"/>
    <n v="3"/>
    <x v="0"/>
    <n v="2"/>
    <s v="Divorced"/>
    <n v="9705"/>
    <n v="20652"/>
    <n v="2"/>
    <s v="Y"/>
    <s v="No"/>
    <n v="12"/>
    <n v="3"/>
    <n v="2"/>
    <n v="80"/>
    <n v="1"/>
    <n v="11"/>
    <n v="2"/>
    <n v="2"/>
    <x v="6"/>
    <n v="0"/>
    <n v="0"/>
    <n v="0"/>
    <x v="1"/>
    <x v="0"/>
    <s v="Active"/>
    <x v="1"/>
  </r>
  <r>
    <n v="26"/>
    <x v="1"/>
    <s v="Travel Frequently"/>
    <n v="1283"/>
    <x v="0"/>
    <n v="1"/>
    <n v="3"/>
    <s v="Medical"/>
    <n v="1"/>
    <x v="685"/>
    <n v="3"/>
    <x v="1"/>
    <n v="52"/>
    <n v="2"/>
    <n v="2"/>
    <x v="0"/>
    <n v="1"/>
    <s v="Single"/>
    <n v="4294"/>
    <n v="11148"/>
    <n v="1"/>
    <s v="Y"/>
    <s v="No"/>
    <n v="12"/>
    <n v="3"/>
    <n v="2"/>
    <n v="80"/>
    <n v="0"/>
    <n v="7"/>
    <n v="2"/>
    <n v="3"/>
    <x v="5"/>
    <n v="7"/>
    <n v="0"/>
    <n v="7"/>
    <x v="2"/>
    <x v="1"/>
    <s v="Active"/>
    <x v="0"/>
  </r>
  <r>
    <n v="41"/>
    <x v="1"/>
    <s v="Travel Rarely"/>
    <n v="263"/>
    <x v="1"/>
    <n v="6"/>
    <n v="3"/>
    <s v="Medical"/>
    <n v="1"/>
    <x v="686"/>
    <n v="4"/>
    <x v="1"/>
    <n v="59"/>
    <n v="3"/>
    <n v="1"/>
    <x v="2"/>
    <n v="1"/>
    <s v="Single"/>
    <n v="4721"/>
    <n v="3119"/>
    <n v="2"/>
    <s v="Y"/>
    <s v="Yes"/>
    <n v="13"/>
    <n v="3"/>
    <n v="3"/>
    <n v="80"/>
    <n v="0"/>
    <n v="20"/>
    <n v="3"/>
    <n v="3"/>
    <x v="29"/>
    <n v="13"/>
    <n v="2"/>
    <n v="17"/>
    <x v="0"/>
    <x v="1"/>
    <s v="Active"/>
    <x v="0"/>
  </r>
  <r>
    <n v="36"/>
    <x v="1"/>
    <s v="Travel Rarely"/>
    <n v="938"/>
    <x v="1"/>
    <n v="2"/>
    <n v="4"/>
    <s v="Medical"/>
    <n v="1"/>
    <x v="687"/>
    <n v="3"/>
    <x v="1"/>
    <n v="79"/>
    <n v="3"/>
    <n v="1"/>
    <x v="2"/>
    <n v="3"/>
    <s v="Single"/>
    <n v="2519"/>
    <n v="12287"/>
    <n v="4"/>
    <s v="Y"/>
    <s v="No"/>
    <n v="21"/>
    <n v="4"/>
    <n v="3"/>
    <n v="80"/>
    <n v="0"/>
    <n v="16"/>
    <n v="6"/>
    <n v="3"/>
    <x v="19"/>
    <n v="8"/>
    <n v="3"/>
    <n v="9"/>
    <x v="1"/>
    <x v="1"/>
    <s v="Active"/>
    <x v="0"/>
  </r>
  <r>
    <n v="19"/>
    <x v="0"/>
    <s v="Travel Rarely"/>
    <n v="419"/>
    <x v="0"/>
    <n v="21"/>
    <n v="3"/>
    <s v="Other"/>
    <n v="1"/>
    <x v="688"/>
    <n v="4"/>
    <x v="1"/>
    <n v="37"/>
    <n v="2"/>
    <n v="1"/>
    <x v="6"/>
    <n v="2"/>
    <s v="Single"/>
    <n v="2121"/>
    <n v="9947"/>
    <n v="1"/>
    <s v="Y"/>
    <s v="Yes"/>
    <n v="13"/>
    <n v="3"/>
    <n v="2"/>
    <n v="80"/>
    <n v="0"/>
    <n v="1"/>
    <n v="3"/>
    <n v="4"/>
    <x v="6"/>
    <n v="0"/>
    <n v="0"/>
    <n v="0"/>
    <x v="2"/>
    <x v="1"/>
    <s v="Resigned"/>
    <x v="1"/>
  </r>
  <r>
    <n v="20"/>
    <x v="0"/>
    <s v="Travel Rarely"/>
    <n v="129"/>
    <x v="1"/>
    <n v="4"/>
    <n v="3"/>
    <s v="Technical Degree"/>
    <n v="1"/>
    <x v="689"/>
    <n v="1"/>
    <x v="1"/>
    <n v="84"/>
    <n v="3"/>
    <n v="1"/>
    <x v="2"/>
    <n v="1"/>
    <s v="Single"/>
    <n v="2973"/>
    <n v="13008"/>
    <n v="1"/>
    <s v="Y"/>
    <s v="No"/>
    <n v="19"/>
    <n v="3"/>
    <n v="2"/>
    <n v="80"/>
    <n v="0"/>
    <n v="1"/>
    <n v="2"/>
    <n v="3"/>
    <x v="6"/>
    <n v="0"/>
    <n v="0"/>
    <n v="0"/>
    <x v="2"/>
    <x v="1"/>
    <s v="Resigned"/>
    <x v="1"/>
  </r>
  <r>
    <n v="31"/>
    <x v="1"/>
    <s v="Travel Rarely"/>
    <n v="616"/>
    <x v="1"/>
    <n v="12"/>
    <n v="3"/>
    <s v="Medical"/>
    <n v="1"/>
    <x v="690"/>
    <n v="4"/>
    <x v="0"/>
    <n v="41"/>
    <n v="3"/>
    <n v="2"/>
    <x v="4"/>
    <n v="4"/>
    <s v="Married"/>
    <n v="5855"/>
    <n v="17369"/>
    <n v="0"/>
    <s v="Y"/>
    <s v="Yes"/>
    <n v="11"/>
    <n v="3"/>
    <n v="3"/>
    <n v="80"/>
    <n v="2"/>
    <n v="10"/>
    <n v="2"/>
    <n v="1"/>
    <x v="7"/>
    <n v="7"/>
    <n v="8"/>
    <n v="5"/>
    <x v="1"/>
    <x v="0"/>
    <s v="Active"/>
    <x v="0"/>
  </r>
  <r>
    <n v="40"/>
    <x v="1"/>
    <s v="Travel Frequently"/>
    <n v="1469"/>
    <x v="1"/>
    <n v="9"/>
    <n v="4"/>
    <s v="Medical"/>
    <n v="1"/>
    <x v="691"/>
    <n v="4"/>
    <x v="1"/>
    <n v="35"/>
    <n v="3"/>
    <n v="1"/>
    <x v="1"/>
    <n v="2"/>
    <s v="Divorced"/>
    <n v="3617"/>
    <n v="25063"/>
    <n v="8"/>
    <s v="Y"/>
    <s v="Yes"/>
    <n v="14"/>
    <n v="3"/>
    <n v="4"/>
    <n v="80"/>
    <n v="1"/>
    <n v="3"/>
    <n v="2"/>
    <n v="3"/>
    <x v="6"/>
    <n v="1"/>
    <n v="0"/>
    <n v="0"/>
    <x v="1"/>
    <x v="1"/>
    <s v="Active"/>
    <x v="1"/>
  </r>
  <r>
    <n v="32"/>
    <x v="1"/>
    <s v="Travel Rarely"/>
    <n v="498"/>
    <x v="1"/>
    <n v="3"/>
    <n v="4"/>
    <s v="Medical"/>
    <n v="1"/>
    <x v="692"/>
    <n v="3"/>
    <x v="0"/>
    <n v="93"/>
    <n v="3"/>
    <n v="2"/>
    <x v="3"/>
    <n v="1"/>
    <s v="Married"/>
    <n v="6725"/>
    <n v="13554"/>
    <n v="1"/>
    <s v="Y"/>
    <s v="No"/>
    <n v="12"/>
    <n v="3"/>
    <n v="3"/>
    <n v="80"/>
    <n v="1"/>
    <n v="8"/>
    <n v="2"/>
    <n v="4"/>
    <x v="3"/>
    <n v="7"/>
    <n v="6"/>
    <n v="3"/>
    <x v="1"/>
    <x v="0"/>
    <s v="Active"/>
    <x v="0"/>
  </r>
  <r>
    <n v="36"/>
    <x v="0"/>
    <s v="Travel Rarely"/>
    <n v="530"/>
    <x v="0"/>
    <n v="3"/>
    <n v="1"/>
    <s v="Life Sciences"/>
    <n v="1"/>
    <x v="693"/>
    <n v="3"/>
    <x v="1"/>
    <n v="51"/>
    <n v="2"/>
    <n v="3"/>
    <x v="0"/>
    <n v="4"/>
    <s v="Married"/>
    <n v="10325"/>
    <n v="5518"/>
    <n v="1"/>
    <s v="Y"/>
    <s v="Yes"/>
    <n v="11"/>
    <n v="3"/>
    <n v="1"/>
    <n v="80"/>
    <n v="1"/>
    <n v="16"/>
    <n v="6"/>
    <n v="3"/>
    <x v="22"/>
    <n v="7"/>
    <n v="3"/>
    <n v="7"/>
    <x v="1"/>
    <x v="2"/>
    <s v="Resigned"/>
    <x v="0"/>
  </r>
  <r>
    <n v="33"/>
    <x v="1"/>
    <s v="Travel Rarely"/>
    <n v="1069"/>
    <x v="1"/>
    <n v="1"/>
    <n v="3"/>
    <s v="Life Sciences"/>
    <n v="1"/>
    <x v="694"/>
    <n v="2"/>
    <x v="0"/>
    <n v="42"/>
    <n v="2"/>
    <n v="2"/>
    <x v="4"/>
    <n v="4"/>
    <s v="Single"/>
    <n v="6949"/>
    <n v="12291"/>
    <n v="0"/>
    <s v="Y"/>
    <s v="No"/>
    <n v="14"/>
    <n v="3"/>
    <n v="1"/>
    <n v="80"/>
    <n v="0"/>
    <n v="6"/>
    <n v="3"/>
    <n v="3"/>
    <x v="8"/>
    <n v="0"/>
    <n v="1"/>
    <n v="4"/>
    <x v="1"/>
    <x v="0"/>
    <s v="Active"/>
    <x v="3"/>
  </r>
  <r>
    <n v="37"/>
    <x v="0"/>
    <s v="Travel Rarely"/>
    <n v="625"/>
    <x v="0"/>
    <n v="1"/>
    <n v="4"/>
    <s v="Life Sciences"/>
    <n v="1"/>
    <x v="695"/>
    <n v="1"/>
    <x v="1"/>
    <n v="46"/>
    <n v="2"/>
    <n v="3"/>
    <x v="0"/>
    <n v="3"/>
    <s v="Married"/>
    <n v="10609"/>
    <n v="14922"/>
    <n v="5"/>
    <s v="Y"/>
    <s v="No"/>
    <n v="11"/>
    <n v="3"/>
    <n v="3"/>
    <n v="80"/>
    <n v="0"/>
    <n v="17"/>
    <n v="2"/>
    <n v="1"/>
    <x v="13"/>
    <n v="1"/>
    <n v="11"/>
    <n v="7"/>
    <x v="1"/>
    <x v="2"/>
    <s v="Resigned"/>
    <x v="0"/>
  </r>
  <r>
    <n v="45"/>
    <x v="1"/>
    <s v="Non Travel"/>
    <n v="805"/>
    <x v="1"/>
    <n v="4"/>
    <n v="2"/>
    <s v="Life Sciences"/>
    <n v="1"/>
    <x v="696"/>
    <n v="3"/>
    <x v="1"/>
    <n v="57"/>
    <n v="3"/>
    <n v="2"/>
    <x v="2"/>
    <n v="2"/>
    <s v="Married"/>
    <n v="4447"/>
    <n v="23163"/>
    <n v="1"/>
    <s v="Y"/>
    <s v="No"/>
    <n v="12"/>
    <n v="3"/>
    <n v="2"/>
    <n v="80"/>
    <n v="0"/>
    <n v="9"/>
    <n v="5"/>
    <n v="2"/>
    <x v="7"/>
    <n v="7"/>
    <n v="0"/>
    <n v="8"/>
    <x v="0"/>
    <x v="1"/>
    <s v="Active"/>
    <x v="0"/>
  </r>
  <r>
    <n v="29"/>
    <x v="1"/>
    <s v="Travel Frequently"/>
    <n v="1404"/>
    <x v="0"/>
    <n v="20"/>
    <n v="3"/>
    <s v="Technical Degree"/>
    <n v="1"/>
    <x v="697"/>
    <n v="3"/>
    <x v="0"/>
    <n v="84"/>
    <n v="3"/>
    <n v="1"/>
    <x v="6"/>
    <n v="4"/>
    <s v="Married"/>
    <n v="2157"/>
    <n v="18203"/>
    <n v="1"/>
    <s v="Y"/>
    <s v="No"/>
    <n v="15"/>
    <n v="3"/>
    <n v="2"/>
    <n v="80"/>
    <n v="1"/>
    <n v="3"/>
    <n v="5"/>
    <n v="3"/>
    <x v="11"/>
    <n v="1"/>
    <n v="0"/>
    <n v="2"/>
    <x v="2"/>
    <x v="1"/>
    <s v="Active"/>
    <x v="5"/>
  </r>
  <r>
    <n v="35"/>
    <x v="1"/>
    <s v="Travel Rarely"/>
    <n v="1219"/>
    <x v="0"/>
    <n v="18"/>
    <n v="3"/>
    <s v="Medical"/>
    <n v="1"/>
    <x v="698"/>
    <n v="3"/>
    <x v="0"/>
    <n v="86"/>
    <n v="3"/>
    <n v="2"/>
    <x v="0"/>
    <n v="3"/>
    <s v="Married"/>
    <n v="4601"/>
    <n v="6179"/>
    <n v="1"/>
    <s v="Y"/>
    <s v="No"/>
    <n v="16"/>
    <n v="3"/>
    <n v="2"/>
    <n v="80"/>
    <n v="0"/>
    <n v="5"/>
    <n v="3"/>
    <n v="3"/>
    <x v="8"/>
    <n v="2"/>
    <n v="1"/>
    <n v="0"/>
    <x v="1"/>
    <x v="1"/>
    <s v="Active"/>
    <x v="3"/>
  </r>
  <r>
    <n v="52"/>
    <x v="1"/>
    <s v="Travel Rarely"/>
    <n v="1053"/>
    <x v="1"/>
    <n v="1"/>
    <n v="2"/>
    <s v="Life Sciences"/>
    <n v="1"/>
    <x v="699"/>
    <n v="4"/>
    <x v="1"/>
    <n v="70"/>
    <n v="3"/>
    <n v="4"/>
    <x v="5"/>
    <n v="4"/>
    <s v="Married"/>
    <n v="17099"/>
    <n v="13829"/>
    <n v="2"/>
    <s v="Y"/>
    <s v="No"/>
    <n v="15"/>
    <n v="3"/>
    <n v="2"/>
    <n v="80"/>
    <n v="1"/>
    <n v="26"/>
    <n v="2"/>
    <n v="2"/>
    <x v="7"/>
    <n v="8"/>
    <n v="7"/>
    <n v="8"/>
    <x v="0"/>
    <x v="2"/>
    <s v="Active"/>
    <x v="0"/>
  </r>
  <r>
    <n v="58"/>
    <x v="0"/>
    <s v="Travel Rarely"/>
    <n v="289"/>
    <x v="1"/>
    <n v="2"/>
    <n v="3"/>
    <s v="Technical Degree"/>
    <n v="1"/>
    <x v="700"/>
    <n v="4"/>
    <x v="1"/>
    <n v="51"/>
    <n v="3"/>
    <n v="1"/>
    <x v="1"/>
    <n v="3"/>
    <s v="Single"/>
    <n v="2479"/>
    <n v="26227"/>
    <n v="4"/>
    <s v="Y"/>
    <s v="No"/>
    <n v="24"/>
    <n v="4"/>
    <n v="1"/>
    <n v="80"/>
    <n v="0"/>
    <n v="7"/>
    <n v="4"/>
    <n v="3"/>
    <x v="6"/>
    <n v="0"/>
    <n v="0"/>
    <n v="0"/>
    <x v="0"/>
    <x v="1"/>
    <s v="Resigned"/>
    <x v="1"/>
  </r>
  <r>
    <n v="53"/>
    <x v="1"/>
    <s v="Travel Rarely"/>
    <n v="1376"/>
    <x v="0"/>
    <n v="2"/>
    <n v="2"/>
    <s v="Medical"/>
    <n v="1"/>
    <x v="701"/>
    <n v="3"/>
    <x v="1"/>
    <n v="45"/>
    <n v="3"/>
    <n v="4"/>
    <x v="5"/>
    <n v="3"/>
    <s v="Divorced"/>
    <n v="14852"/>
    <n v="13938"/>
    <n v="6"/>
    <s v="Y"/>
    <s v="No"/>
    <n v="13"/>
    <n v="3"/>
    <n v="3"/>
    <n v="80"/>
    <n v="1"/>
    <n v="22"/>
    <n v="3"/>
    <n v="4"/>
    <x v="18"/>
    <n v="13"/>
    <n v="15"/>
    <n v="2"/>
    <x v="0"/>
    <x v="2"/>
    <s v="Active"/>
    <x v="0"/>
  </r>
  <r>
    <n v="30"/>
    <x v="1"/>
    <s v="Travel Rarely"/>
    <n v="231"/>
    <x v="0"/>
    <n v="8"/>
    <n v="2"/>
    <s v="Other"/>
    <n v="1"/>
    <x v="702"/>
    <n v="3"/>
    <x v="1"/>
    <n v="62"/>
    <n v="3"/>
    <n v="3"/>
    <x v="0"/>
    <n v="3"/>
    <s v="Divorced"/>
    <n v="7264"/>
    <n v="9977"/>
    <n v="5"/>
    <s v="Y"/>
    <s v="No"/>
    <n v="11"/>
    <n v="3"/>
    <n v="1"/>
    <n v="80"/>
    <n v="1"/>
    <n v="10"/>
    <n v="2"/>
    <n v="4"/>
    <x v="3"/>
    <n v="4"/>
    <n v="7"/>
    <n v="7"/>
    <x v="1"/>
    <x v="0"/>
    <s v="Active"/>
    <x v="0"/>
  </r>
  <r>
    <n v="38"/>
    <x v="1"/>
    <s v="Non Travel"/>
    <n v="152"/>
    <x v="0"/>
    <n v="10"/>
    <n v="3"/>
    <s v="Technical Degree"/>
    <n v="1"/>
    <x v="703"/>
    <n v="3"/>
    <x v="0"/>
    <n v="85"/>
    <n v="3"/>
    <n v="2"/>
    <x v="0"/>
    <n v="4"/>
    <s v="Single"/>
    <n v="5666"/>
    <n v="19899"/>
    <n v="1"/>
    <s v="Y"/>
    <s v="Yes"/>
    <n v="13"/>
    <n v="3"/>
    <n v="2"/>
    <n v="80"/>
    <n v="0"/>
    <n v="6"/>
    <n v="1"/>
    <n v="3"/>
    <x v="8"/>
    <n v="3"/>
    <n v="1"/>
    <n v="3"/>
    <x v="1"/>
    <x v="0"/>
    <s v="Active"/>
    <x v="3"/>
  </r>
  <r>
    <n v="35"/>
    <x v="1"/>
    <s v="Travel Rarely"/>
    <n v="882"/>
    <x v="0"/>
    <n v="3"/>
    <n v="4"/>
    <s v="Life Sciences"/>
    <n v="1"/>
    <x v="704"/>
    <n v="4"/>
    <x v="1"/>
    <n v="92"/>
    <n v="3"/>
    <n v="3"/>
    <x v="0"/>
    <n v="4"/>
    <s v="Divorced"/>
    <n v="7823"/>
    <n v="6812"/>
    <n v="6"/>
    <s v="Y"/>
    <s v="No"/>
    <n v="13"/>
    <n v="3"/>
    <n v="2"/>
    <n v="80"/>
    <n v="1"/>
    <n v="12"/>
    <n v="2"/>
    <n v="3"/>
    <x v="1"/>
    <n v="9"/>
    <n v="0"/>
    <n v="8"/>
    <x v="1"/>
    <x v="0"/>
    <s v="Active"/>
    <x v="0"/>
  </r>
  <r>
    <n v="39"/>
    <x v="1"/>
    <s v="Travel Rarely"/>
    <n v="903"/>
    <x v="0"/>
    <n v="2"/>
    <n v="5"/>
    <s v="Life Sciences"/>
    <n v="1"/>
    <x v="705"/>
    <n v="1"/>
    <x v="1"/>
    <n v="41"/>
    <n v="4"/>
    <n v="3"/>
    <x v="0"/>
    <n v="3"/>
    <s v="Single"/>
    <n v="7880"/>
    <n v="2560"/>
    <n v="0"/>
    <s v="Y"/>
    <s v="No"/>
    <n v="18"/>
    <n v="3"/>
    <n v="4"/>
    <n v="80"/>
    <n v="0"/>
    <n v="9"/>
    <n v="3"/>
    <n v="3"/>
    <x v="3"/>
    <n v="7"/>
    <n v="0"/>
    <n v="7"/>
    <x v="1"/>
    <x v="0"/>
    <s v="Active"/>
    <x v="0"/>
  </r>
  <r>
    <n v="40"/>
    <x v="0"/>
    <s v="Non Travel"/>
    <n v="1479"/>
    <x v="0"/>
    <n v="24"/>
    <n v="3"/>
    <s v="Life Sciences"/>
    <n v="1"/>
    <x v="706"/>
    <n v="2"/>
    <x v="0"/>
    <n v="100"/>
    <n v="4"/>
    <n v="4"/>
    <x v="0"/>
    <n v="2"/>
    <s v="Single"/>
    <n v="13194"/>
    <n v="17071"/>
    <n v="4"/>
    <s v="Y"/>
    <s v="Yes"/>
    <n v="16"/>
    <n v="3"/>
    <n v="4"/>
    <n v="80"/>
    <n v="0"/>
    <n v="22"/>
    <n v="2"/>
    <n v="2"/>
    <x v="6"/>
    <n v="0"/>
    <n v="0"/>
    <n v="0"/>
    <x v="1"/>
    <x v="2"/>
    <s v="Resigned"/>
    <x v="1"/>
  </r>
  <r>
    <n v="47"/>
    <x v="1"/>
    <s v="Travel Frequently"/>
    <n v="1379"/>
    <x v="1"/>
    <n v="16"/>
    <n v="4"/>
    <s v="Medical"/>
    <n v="1"/>
    <x v="707"/>
    <n v="3"/>
    <x v="1"/>
    <n v="64"/>
    <n v="4"/>
    <n v="2"/>
    <x v="3"/>
    <n v="3"/>
    <s v="Divorced"/>
    <n v="5067"/>
    <n v="6759"/>
    <n v="1"/>
    <s v="Y"/>
    <s v="Yes"/>
    <n v="19"/>
    <n v="3"/>
    <n v="3"/>
    <n v="80"/>
    <n v="0"/>
    <n v="20"/>
    <n v="3"/>
    <n v="4"/>
    <x v="27"/>
    <n v="10"/>
    <n v="2"/>
    <n v="7"/>
    <x v="0"/>
    <x v="0"/>
    <s v="Active"/>
    <x v="0"/>
  </r>
  <r>
    <n v="36"/>
    <x v="1"/>
    <s v="Non Travel"/>
    <n v="1229"/>
    <x v="0"/>
    <n v="8"/>
    <n v="4"/>
    <s v="Technical Degree"/>
    <n v="1"/>
    <x v="708"/>
    <n v="1"/>
    <x v="1"/>
    <n v="84"/>
    <n v="3"/>
    <n v="2"/>
    <x v="0"/>
    <n v="4"/>
    <s v="Divorced"/>
    <n v="5079"/>
    <n v="25952"/>
    <n v="4"/>
    <s v="Y"/>
    <s v="No"/>
    <n v="13"/>
    <n v="3"/>
    <n v="4"/>
    <n v="80"/>
    <n v="2"/>
    <n v="12"/>
    <n v="3"/>
    <n v="3"/>
    <x v="5"/>
    <n v="7"/>
    <n v="0"/>
    <n v="7"/>
    <x v="1"/>
    <x v="0"/>
    <s v="Active"/>
    <x v="0"/>
  </r>
  <r>
    <n v="31"/>
    <x v="0"/>
    <s v="Non Travel"/>
    <n v="335"/>
    <x v="1"/>
    <n v="9"/>
    <n v="2"/>
    <s v="Medical"/>
    <n v="1"/>
    <x v="709"/>
    <n v="3"/>
    <x v="1"/>
    <n v="46"/>
    <n v="2"/>
    <n v="1"/>
    <x v="1"/>
    <n v="1"/>
    <s v="Single"/>
    <n v="2321"/>
    <n v="10322"/>
    <n v="0"/>
    <s v="Y"/>
    <s v="Yes"/>
    <n v="22"/>
    <n v="4"/>
    <n v="1"/>
    <n v="80"/>
    <n v="0"/>
    <n v="4"/>
    <n v="0"/>
    <n v="3"/>
    <x v="11"/>
    <n v="2"/>
    <n v="1"/>
    <n v="2"/>
    <x v="1"/>
    <x v="1"/>
    <s v="Resigned"/>
    <x v="5"/>
  </r>
  <r>
    <n v="33"/>
    <x v="1"/>
    <s v="Non Travel"/>
    <n v="722"/>
    <x v="0"/>
    <n v="17"/>
    <n v="3"/>
    <s v="Life Sciences"/>
    <n v="1"/>
    <x v="710"/>
    <n v="4"/>
    <x v="1"/>
    <n v="38"/>
    <n v="3"/>
    <n v="4"/>
    <x v="5"/>
    <n v="3"/>
    <s v="Single"/>
    <n v="17444"/>
    <n v="20489"/>
    <n v="1"/>
    <s v="Y"/>
    <s v="No"/>
    <n v="11"/>
    <n v="3"/>
    <n v="4"/>
    <n v="80"/>
    <n v="0"/>
    <n v="10"/>
    <n v="2"/>
    <n v="3"/>
    <x v="1"/>
    <n v="8"/>
    <n v="6"/>
    <n v="0"/>
    <x v="1"/>
    <x v="2"/>
    <s v="Active"/>
    <x v="0"/>
  </r>
  <r>
    <n v="29"/>
    <x v="0"/>
    <s v="Travel Rarely"/>
    <n v="906"/>
    <x v="1"/>
    <n v="10"/>
    <n v="3"/>
    <s v="Life Sciences"/>
    <n v="1"/>
    <x v="711"/>
    <n v="4"/>
    <x v="0"/>
    <n v="92"/>
    <n v="2"/>
    <n v="1"/>
    <x v="1"/>
    <n v="1"/>
    <s v="Single"/>
    <n v="2404"/>
    <n v="11479"/>
    <n v="6"/>
    <s v="Y"/>
    <s v="Yes"/>
    <n v="20"/>
    <n v="4"/>
    <n v="3"/>
    <n v="80"/>
    <n v="0"/>
    <n v="3"/>
    <n v="5"/>
    <n v="3"/>
    <x v="2"/>
    <n v="0"/>
    <n v="0"/>
    <n v="0"/>
    <x v="2"/>
    <x v="1"/>
    <s v="Resigned"/>
    <x v="1"/>
  </r>
  <r>
    <n v="33"/>
    <x v="1"/>
    <s v="Travel Rarely"/>
    <n v="461"/>
    <x v="1"/>
    <n v="13"/>
    <n v="1"/>
    <s v="Life Sciences"/>
    <n v="1"/>
    <x v="712"/>
    <n v="2"/>
    <x v="0"/>
    <n v="53"/>
    <n v="3"/>
    <n v="1"/>
    <x v="1"/>
    <n v="4"/>
    <s v="Single"/>
    <n v="3452"/>
    <n v="17241"/>
    <n v="3"/>
    <s v="Y"/>
    <s v="No"/>
    <n v="18"/>
    <n v="3"/>
    <n v="1"/>
    <n v="80"/>
    <n v="0"/>
    <n v="5"/>
    <n v="4"/>
    <n v="3"/>
    <x v="11"/>
    <n v="2"/>
    <n v="0"/>
    <n v="2"/>
    <x v="1"/>
    <x v="1"/>
    <s v="Active"/>
    <x v="5"/>
  </r>
  <r>
    <n v="45"/>
    <x v="1"/>
    <s v="Travel Rarely"/>
    <n v="974"/>
    <x v="1"/>
    <n v="1"/>
    <n v="4"/>
    <s v="Medical"/>
    <n v="1"/>
    <x v="713"/>
    <n v="4"/>
    <x v="0"/>
    <n v="91"/>
    <n v="3"/>
    <n v="1"/>
    <x v="2"/>
    <n v="4"/>
    <s v="Divorced"/>
    <n v="2270"/>
    <n v="11005"/>
    <n v="3"/>
    <s v="Y"/>
    <s v="No"/>
    <n v="14"/>
    <n v="3"/>
    <n v="4"/>
    <n v="80"/>
    <n v="2"/>
    <n v="8"/>
    <n v="2"/>
    <n v="3"/>
    <x v="8"/>
    <n v="3"/>
    <n v="0"/>
    <n v="2"/>
    <x v="0"/>
    <x v="1"/>
    <s v="Active"/>
    <x v="3"/>
  </r>
  <r>
    <n v="50"/>
    <x v="1"/>
    <s v="Travel Rarely"/>
    <n v="1126"/>
    <x v="1"/>
    <n v="1"/>
    <n v="2"/>
    <s v="Medical"/>
    <n v="1"/>
    <x v="714"/>
    <n v="4"/>
    <x v="1"/>
    <n v="66"/>
    <n v="3"/>
    <n v="4"/>
    <x v="7"/>
    <n v="4"/>
    <s v="Divorced"/>
    <n v="17399"/>
    <n v="6615"/>
    <n v="9"/>
    <s v="Y"/>
    <s v="No"/>
    <n v="22"/>
    <n v="4"/>
    <n v="3"/>
    <n v="80"/>
    <n v="1"/>
    <n v="32"/>
    <n v="1"/>
    <n v="2"/>
    <x v="8"/>
    <n v="4"/>
    <n v="1"/>
    <n v="3"/>
    <x v="0"/>
    <x v="2"/>
    <s v="Active"/>
    <x v="3"/>
  </r>
  <r>
    <n v="33"/>
    <x v="1"/>
    <s v="Travel Frequently"/>
    <n v="827"/>
    <x v="1"/>
    <n v="1"/>
    <n v="4"/>
    <s v="Other"/>
    <n v="1"/>
    <x v="715"/>
    <n v="3"/>
    <x v="0"/>
    <n v="84"/>
    <n v="4"/>
    <n v="2"/>
    <x v="4"/>
    <n v="2"/>
    <s v="Married"/>
    <n v="5488"/>
    <n v="20161"/>
    <n v="1"/>
    <s v="Y"/>
    <s v="Yes"/>
    <n v="13"/>
    <n v="3"/>
    <n v="1"/>
    <n v="80"/>
    <n v="1"/>
    <n v="6"/>
    <n v="2"/>
    <n v="3"/>
    <x v="0"/>
    <n v="5"/>
    <n v="1"/>
    <n v="2"/>
    <x v="1"/>
    <x v="0"/>
    <s v="Active"/>
    <x v="0"/>
  </r>
  <r>
    <n v="41"/>
    <x v="1"/>
    <s v="Travel Frequently"/>
    <n v="840"/>
    <x v="1"/>
    <n v="9"/>
    <n v="3"/>
    <s v="Medical"/>
    <n v="1"/>
    <x v="716"/>
    <n v="1"/>
    <x v="1"/>
    <n v="64"/>
    <n v="3"/>
    <n v="5"/>
    <x v="7"/>
    <n v="3"/>
    <s v="Divorced"/>
    <n v="19419"/>
    <n v="3735"/>
    <n v="2"/>
    <s v="Y"/>
    <s v="No"/>
    <n v="17"/>
    <n v="3"/>
    <n v="2"/>
    <n v="80"/>
    <n v="1"/>
    <n v="21"/>
    <n v="2"/>
    <n v="4"/>
    <x v="29"/>
    <n v="16"/>
    <n v="0"/>
    <n v="11"/>
    <x v="0"/>
    <x v="2"/>
    <s v="Active"/>
    <x v="0"/>
  </r>
  <r>
    <n v="27"/>
    <x v="1"/>
    <s v="Travel Rarely"/>
    <n v="1134"/>
    <x v="1"/>
    <n v="16"/>
    <n v="4"/>
    <s v="Technical Degree"/>
    <n v="1"/>
    <x v="717"/>
    <n v="3"/>
    <x v="0"/>
    <n v="37"/>
    <n v="3"/>
    <n v="1"/>
    <x v="2"/>
    <n v="2"/>
    <s v="Married"/>
    <n v="2811"/>
    <n v="12086"/>
    <n v="9"/>
    <s v="Y"/>
    <s v="No"/>
    <n v="14"/>
    <n v="3"/>
    <n v="2"/>
    <n v="80"/>
    <n v="1"/>
    <n v="4"/>
    <n v="2"/>
    <n v="3"/>
    <x v="4"/>
    <n v="2"/>
    <n v="2"/>
    <n v="2"/>
    <x v="2"/>
    <x v="1"/>
    <s v="Active"/>
    <x v="2"/>
  </r>
  <r>
    <n v="45"/>
    <x v="1"/>
    <s v="Non Travel"/>
    <n v="248"/>
    <x v="1"/>
    <n v="23"/>
    <n v="2"/>
    <s v="Life Sciences"/>
    <n v="1"/>
    <x v="718"/>
    <n v="4"/>
    <x v="1"/>
    <n v="42"/>
    <n v="3"/>
    <n v="2"/>
    <x v="2"/>
    <n v="1"/>
    <s v="Married"/>
    <n v="3633"/>
    <n v="14039"/>
    <n v="1"/>
    <s v="Y"/>
    <s v="Yes"/>
    <n v="15"/>
    <n v="3"/>
    <n v="3"/>
    <n v="80"/>
    <n v="1"/>
    <n v="9"/>
    <n v="2"/>
    <n v="3"/>
    <x v="7"/>
    <n v="8"/>
    <n v="0"/>
    <n v="8"/>
    <x v="0"/>
    <x v="1"/>
    <s v="Active"/>
    <x v="0"/>
  </r>
  <r>
    <n v="47"/>
    <x v="1"/>
    <s v="Travel Rarely"/>
    <n v="955"/>
    <x v="0"/>
    <n v="4"/>
    <n v="2"/>
    <s v="Life Sciences"/>
    <n v="1"/>
    <x v="719"/>
    <n v="4"/>
    <x v="0"/>
    <n v="83"/>
    <n v="3"/>
    <n v="2"/>
    <x v="0"/>
    <n v="4"/>
    <s v="Single"/>
    <n v="4163"/>
    <n v="8571"/>
    <n v="1"/>
    <s v="Y"/>
    <s v="Yes"/>
    <n v="17"/>
    <n v="3"/>
    <n v="3"/>
    <n v="80"/>
    <n v="0"/>
    <n v="9"/>
    <n v="0"/>
    <n v="3"/>
    <x v="7"/>
    <n v="0"/>
    <n v="0"/>
    <n v="7"/>
    <x v="0"/>
    <x v="1"/>
    <s v="Active"/>
    <x v="0"/>
  </r>
  <r>
    <n v="30"/>
    <x v="0"/>
    <s v="Travel Rarely"/>
    <n v="138"/>
    <x v="1"/>
    <n v="22"/>
    <n v="3"/>
    <s v="Life Sciences"/>
    <n v="1"/>
    <x v="720"/>
    <n v="1"/>
    <x v="0"/>
    <n v="48"/>
    <n v="3"/>
    <n v="1"/>
    <x v="1"/>
    <n v="3"/>
    <s v="Married"/>
    <n v="2132"/>
    <n v="11539"/>
    <n v="4"/>
    <s v="Y"/>
    <s v="Yes"/>
    <n v="11"/>
    <n v="3"/>
    <n v="2"/>
    <n v="80"/>
    <n v="0"/>
    <n v="7"/>
    <n v="2"/>
    <n v="3"/>
    <x v="8"/>
    <n v="2"/>
    <n v="0"/>
    <n v="1"/>
    <x v="1"/>
    <x v="1"/>
    <s v="Resigned"/>
    <x v="3"/>
  </r>
  <r>
    <n v="50"/>
    <x v="1"/>
    <s v="Travel Rarely"/>
    <n v="939"/>
    <x v="1"/>
    <n v="24"/>
    <n v="3"/>
    <s v="Life Sciences"/>
    <n v="1"/>
    <x v="721"/>
    <n v="4"/>
    <x v="1"/>
    <n v="95"/>
    <n v="3"/>
    <n v="4"/>
    <x v="3"/>
    <n v="3"/>
    <s v="Married"/>
    <n v="13973"/>
    <n v="4161"/>
    <n v="3"/>
    <s v="Y"/>
    <s v="Yes"/>
    <n v="18"/>
    <n v="3"/>
    <n v="4"/>
    <n v="80"/>
    <n v="1"/>
    <n v="22"/>
    <n v="2"/>
    <n v="3"/>
    <x v="12"/>
    <n v="11"/>
    <n v="1"/>
    <n v="5"/>
    <x v="0"/>
    <x v="2"/>
    <s v="Active"/>
    <x v="0"/>
  </r>
  <r>
    <n v="38"/>
    <x v="1"/>
    <s v="Travel Frequently"/>
    <n v="1391"/>
    <x v="1"/>
    <n v="10"/>
    <n v="1"/>
    <s v="Medical"/>
    <n v="1"/>
    <x v="722"/>
    <n v="3"/>
    <x v="1"/>
    <n v="66"/>
    <n v="3"/>
    <n v="1"/>
    <x v="1"/>
    <n v="3"/>
    <s v="Married"/>
    <n v="2684"/>
    <n v="12127"/>
    <n v="0"/>
    <s v="Y"/>
    <s v="No"/>
    <n v="17"/>
    <n v="3"/>
    <n v="2"/>
    <n v="80"/>
    <n v="1"/>
    <n v="3"/>
    <n v="0"/>
    <n v="2"/>
    <x v="4"/>
    <n v="1"/>
    <n v="0"/>
    <n v="2"/>
    <x v="1"/>
    <x v="1"/>
    <s v="Active"/>
    <x v="2"/>
  </r>
  <r>
    <n v="46"/>
    <x v="1"/>
    <s v="Travel Rarely"/>
    <n v="566"/>
    <x v="1"/>
    <n v="7"/>
    <n v="2"/>
    <s v="Medical"/>
    <n v="1"/>
    <x v="723"/>
    <n v="4"/>
    <x v="1"/>
    <n v="75"/>
    <n v="3"/>
    <n v="3"/>
    <x v="3"/>
    <n v="3"/>
    <s v="Divorced"/>
    <n v="10845"/>
    <n v="24208"/>
    <n v="6"/>
    <s v="Y"/>
    <s v="No"/>
    <n v="13"/>
    <n v="3"/>
    <n v="2"/>
    <n v="80"/>
    <n v="1"/>
    <n v="13"/>
    <n v="3"/>
    <n v="3"/>
    <x v="3"/>
    <n v="7"/>
    <n v="0"/>
    <n v="7"/>
    <x v="0"/>
    <x v="2"/>
    <s v="Active"/>
    <x v="0"/>
  </r>
  <r>
    <n v="24"/>
    <x v="1"/>
    <s v="Travel Rarely"/>
    <n v="1206"/>
    <x v="1"/>
    <n v="17"/>
    <n v="1"/>
    <s v="Medical"/>
    <n v="1"/>
    <x v="724"/>
    <n v="4"/>
    <x v="0"/>
    <n v="41"/>
    <n v="2"/>
    <n v="2"/>
    <x v="3"/>
    <n v="3"/>
    <s v="Divorced"/>
    <n v="4377"/>
    <n v="24117"/>
    <n v="1"/>
    <s v="Y"/>
    <s v="No"/>
    <n v="15"/>
    <n v="3"/>
    <n v="2"/>
    <n v="80"/>
    <n v="2"/>
    <n v="5"/>
    <n v="6"/>
    <n v="3"/>
    <x v="9"/>
    <n v="2"/>
    <n v="3"/>
    <n v="2"/>
    <x v="2"/>
    <x v="1"/>
    <s v="Active"/>
    <x v="4"/>
  </r>
  <r>
    <n v="35"/>
    <x v="0"/>
    <s v="Travel Rarely"/>
    <n v="622"/>
    <x v="1"/>
    <n v="14"/>
    <n v="4"/>
    <s v="Other"/>
    <n v="1"/>
    <x v="725"/>
    <n v="3"/>
    <x v="1"/>
    <n v="39"/>
    <n v="2"/>
    <n v="1"/>
    <x v="2"/>
    <n v="2"/>
    <s v="Divorced"/>
    <n v="3743"/>
    <n v="10074"/>
    <n v="1"/>
    <s v="Y"/>
    <s v="Yes"/>
    <n v="24"/>
    <n v="4"/>
    <n v="4"/>
    <n v="80"/>
    <n v="1"/>
    <n v="5"/>
    <n v="2"/>
    <n v="1"/>
    <x v="9"/>
    <n v="2"/>
    <n v="0"/>
    <n v="2"/>
    <x v="1"/>
    <x v="1"/>
    <s v="Resigned"/>
    <x v="4"/>
  </r>
  <r>
    <n v="31"/>
    <x v="1"/>
    <s v="Travel Frequently"/>
    <n v="853"/>
    <x v="1"/>
    <n v="1"/>
    <n v="1"/>
    <s v="Life Sciences"/>
    <n v="1"/>
    <x v="726"/>
    <n v="3"/>
    <x v="0"/>
    <n v="96"/>
    <n v="3"/>
    <n v="2"/>
    <x v="3"/>
    <n v="1"/>
    <s v="Married"/>
    <n v="4148"/>
    <n v="11275"/>
    <n v="1"/>
    <s v="Y"/>
    <s v="No"/>
    <n v="12"/>
    <n v="3"/>
    <n v="3"/>
    <n v="80"/>
    <n v="1"/>
    <n v="4"/>
    <n v="1"/>
    <n v="3"/>
    <x v="9"/>
    <n v="3"/>
    <n v="0"/>
    <n v="3"/>
    <x v="1"/>
    <x v="1"/>
    <s v="Active"/>
    <x v="4"/>
  </r>
  <r>
    <n v="18"/>
    <x v="1"/>
    <s v="Non Travel"/>
    <n v="287"/>
    <x v="1"/>
    <n v="5"/>
    <n v="2"/>
    <s v="Life Sciences"/>
    <n v="1"/>
    <x v="727"/>
    <n v="2"/>
    <x v="1"/>
    <n v="73"/>
    <n v="3"/>
    <n v="1"/>
    <x v="1"/>
    <n v="4"/>
    <s v="Single"/>
    <n v="1051"/>
    <n v="13493"/>
    <n v="1"/>
    <s v="Y"/>
    <s v="No"/>
    <n v="15"/>
    <n v="3"/>
    <n v="4"/>
    <n v="80"/>
    <n v="0"/>
    <n v="0"/>
    <n v="2"/>
    <n v="3"/>
    <x v="2"/>
    <n v="0"/>
    <n v="0"/>
    <n v="0"/>
    <x v="2"/>
    <x v="1"/>
    <s v="Active"/>
    <x v="1"/>
  </r>
  <r>
    <n v="54"/>
    <x v="1"/>
    <s v="Travel Rarely"/>
    <n v="1441"/>
    <x v="1"/>
    <n v="17"/>
    <n v="3"/>
    <s v="Technical Degree"/>
    <n v="1"/>
    <x v="728"/>
    <n v="3"/>
    <x v="0"/>
    <n v="56"/>
    <n v="3"/>
    <n v="3"/>
    <x v="3"/>
    <n v="3"/>
    <s v="Married"/>
    <n v="10739"/>
    <n v="13943"/>
    <n v="8"/>
    <s v="Y"/>
    <s v="No"/>
    <n v="11"/>
    <n v="3"/>
    <n v="3"/>
    <n v="80"/>
    <n v="1"/>
    <n v="22"/>
    <n v="2"/>
    <n v="3"/>
    <x v="1"/>
    <n v="7"/>
    <n v="0"/>
    <n v="8"/>
    <x v="0"/>
    <x v="2"/>
    <s v="Active"/>
    <x v="0"/>
  </r>
  <r>
    <n v="35"/>
    <x v="1"/>
    <s v="Travel Rarely"/>
    <n v="583"/>
    <x v="1"/>
    <n v="25"/>
    <n v="4"/>
    <s v="Medical"/>
    <n v="1"/>
    <x v="729"/>
    <n v="3"/>
    <x v="0"/>
    <n v="57"/>
    <n v="3"/>
    <n v="3"/>
    <x v="4"/>
    <n v="3"/>
    <s v="Divorced"/>
    <n v="10388"/>
    <n v="6975"/>
    <n v="1"/>
    <s v="Y"/>
    <s v="Yes"/>
    <n v="11"/>
    <n v="3"/>
    <n v="3"/>
    <n v="80"/>
    <n v="1"/>
    <n v="16"/>
    <n v="3"/>
    <n v="2"/>
    <x v="22"/>
    <n v="10"/>
    <n v="10"/>
    <n v="1"/>
    <x v="1"/>
    <x v="2"/>
    <s v="Active"/>
    <x v="0"/>
  </r>
  <r>
    <n v="30"/>
    <x v="1"/>
    <s v="Travel Rarely"/>
    <n v="153"/>
    <x v="1"/>
    <n v="8"/>
    <n v="2"/>
    <s v="Life Sciences"/>
    <n v="1"/>
    <x v="730"/>
    <n v="2"/>
    <x v="0"/>
    <n v="73"/>
    <n v="4"/>
    <n v="3"/>
    <x v="7"/>
    <n v="1"/>
    <s v="Married"/>
    <n v="11416"/>
    <n v="17802"/>
    <n v="0"/>
    <s v="Y"/>
    <s v="Yes"/>
    <n v="12"/>
    <n v="3"/>
    <n v="3"/>
    <n v="80"/>
    <n v="3"/>
    <n v="9"/>
    <n v="4"/>
    <n v="2"/>
    <x v="3"/>
    <n v="7"/>
    <n v="1"/>
    <n v="7"/>
    <x v="1"/>
    <x v="2"/>
    <s v="Active"/>
    <x v="0"/>
  </r>
  <r>
    <n v="20"/>
    <x v="0"/>
    <s v="Travel Rarely"/>
    <n v="1097"/>
    <x v="1"/>
    <n v="11"/>
    <n v="3"/>
    <s v="Medical"/>
    <n v="1"/>
    <x v="731"/>
    <n v="4"/>
    <x v="0"/>
    <n v="98"/>
    <n v="2"/>
    <n v="1"/>
    <x v="1"/>
    <n v="1"/>
    <s v="Single"/>
    <n v="2600"/>
    <n v="18275"/>
    <n v="1"/>
    <s v="Y"/>
    <s v="Yes"/>
    <n v="15"/>
    <n v="3"/>
    <n v="1"/>
    <n v="80"/>
    <n v="0"/>
    <n v="1"/>
    <n v="2"/>
    <n v="3"/>
    <x v="6"/>
    <n v="0"/>
    <n v="0"/>
    <n v="0"/>
    <x v="2"/>
    <x v="1"/>
    <s v="Resigned"/>
    <x v="1"/>
  </r>
  <r>
    <n v="30"/>
    <x v="0"/>
    <s v="Travel Frequently"/>
    <n v="109"/>
    <x v="1"/>
    <n v="5"/>
    <n v="3"/>
    <s v="Medical"/>
    <n v="1"/>
    <x v="732"/>
    <n v="2"/>
    <x v="0"/>
    <n v="60"/>
    <n v="3"/>
    <n v="1"/>
    <x v="2"/>
    <n v="2"/>
    <s v="Single"/>
    <n v="2422"/>
    <n v="25725"/>
    <n v="0"/>
    <s v="Y"/>
    <s v="No"/>
    <n v="17"/>
    <n v="3"/>
    <n v="1"/>
    <n v="80"/>
    <n v="0"/>
    <n v="4"/>
    <n v="3"/>
    <n v="3"/>
    <x v="11"/>
    <n v="2"/>
    <n v="1"/>
    <n v="2"/>
    <x v="1"/>
    <x v="1"/>
    <s v="Resigned"/>
    <x v="5"/>
  </r>
  <r>
    <n v="26"/>
    <x v="1"/>
    <s v="Travel Rarely"/>
    <n v="1066"/>
    <x v="1"/>
    <n v="2"/>
    <n v="2"/>
    <s v="Medical"/>
    <n v="1"/>
    <x v="733"/>
    <n v="4"/>
    <x v="1"/>
    <n v="32"/>
    <n v="4"/>
    <n v="2"/>
    <x v="3"/>
    <n v="4"/>
    <s v="Married"/>
    <n v="5472"/>
    <n v="3334"/>
    <n v="1"/>
    <s v="Y"/>
    <s v="No"/>
    <n v="12"/>
    <n v="3"/>
    <n v="2"/>
    <n v="80"/>
    <n v="0"/>
    <n v="8"/>
    <n v="2"/>
    <n v="3"/>
    <x v="3"/>
    <n v="7"/>
    <n v="1"/>
    <n v="3"/>
    <x v="2"/>
    <x v="0"/>
    <s v="Active"/>
    <x v="0"/>
  </r>
  <r>
    <n v="22"/>
    <x v="1"/>
    <s v="Travel Rarely"/>
    <n v="217"/>
    <x v="1"/>
    <n v="8"/>
    <n v="1"/>
    <s v="Life Sciences"/>
    <n v="1"/>
    <x v="734"/>
    <n v="2"/>
    <x v="1"/>
    <n v="94"/>
    <n v="1"/>
    <n v="1"/>
    <x v="2"/>
    <n v="1"/>
    <s v="Married"/>
    <n v="2451"/>
    <n v="6881"/>
    <n v="1"/>
    <s v="Y"/>
    <s v="No"/>
    <n v="15"/>
    <n v="3"/>
    <n v="1"/>
    <n v="80"/>
    <n v="1"/>
    <n v="4"/>
    <n v="3"/>
    <n v="2"/>
    <x v="9"/>
    <n v="3"/>
    <n v="1"/>
    <n v="1"/>
    <x v="2"/>
    <x v="1"/>
    <s v="Active"/>
    <x v="4"/>
  </r>
  <r>
    <n v="48"/>
    <x v="1"/>
    <s v="Travel Rarely"/>
    <n v="277"/>
    <x v="1"/>
    <n v="6"/>
    <n v="3"/>
    <s v="Life Sciences"/>
    <n v="1"/>
    <x v="735"/>
    <n v="1"/>
    <x v="1"/>
    <n v="97"/>
    <n v="2"/>
    <n v="2"/>
    <x v="4"/>
    <n v="3"/>
    <s v="Single"/>
    <n v="4240"/>
    <n v="13119"/>
    <n v="2"/>
    <s v="Y"/>
    <s v="No"/>
    <n v="13"/>
    <n v="3"/>
    <n v="4"/>
    <n v="80"/>
    <n v="0"/>
    <n v="19"/>
    <n v="0"/>
    <n v="3"/>
    <x v="4"/>
    <n v="2"/>
    <n v="2"/>
    <n v="2"/>
    <x v="0"/>
    <x v="1"/>
    <s v="Active"/>
    <x v="2"/>
  </r>
  <r>
    <n v="48"/>
    <x v="1"/>
    <s v="Travel Rarely"/>
    <n v="1355"/>
    <x v="1"/>
    <n v="4"/>
    <n v="4"/>
    <s v="Life Sciences"/>
    <n v="1"/>
    <x v="736"/>
    <n v="3"/>
    <x v="1"/>
    <n v="78"/>
    <n v="2"/>
    <n v="3"/>
    <x v="4"/>
    <n v="3"/>
    <s v="Single"/>
    <n v="10999"/>
    <n v="22245"/>
    <n v="7"/>
    <s v="Y"/>
    <s v="No"/>
    <n v="14"/>
    <n v="3"/>
    <n v="2"/>
    <n v="80"/>
    <n v="0"/>
    <n v="27"/>
    <n v="3"/>
    <n v="3"/>
    <x v="15"/>
    <n v="11"/>
    <n v="4"/>
    <n v="8"/>
    <x v="0"/>
    <x v="2"/>
    <s v="Active"/>
    <x v="0"/>
  </r>
  <r>
    <n v="41"/>
    <x v="1"/>
    <s v="Travel Rarely"/>
    <n v="549"/>
    <x v="1"/>
    <n v="7"/>
    <n v="2"/>
    <s v="Medical"/>
    <n v="1"/>
    <x v="737"/>
    <n v="4"/>
    <x v="0"/>
    <n v="42"/>
    <n v="3"/>
    <n v="2"/>
    <x v="3"/>
    <n v="3"/>
    <s v="Single"/>
    <n v="5003"/>
    <n v="23371"/>
    <n v="6"/>
    <s v="Y"/>
    <s v="No"/>
    <n v="14"/>
    <n v="3"/>
    <n v="2"/>
    <n v="80"/>
    <n v="0"/>
    <n v="8"/>
    <n v="6"/>
    <n v="3"/>
    <x v="4"/>
    <n v="2"/>
    <n v="2"/>
    <n v="1"/>
    <x v="0"/>
    <x v="0"/>
    <s v="Active"/>
    <x v="2"/>
  </r>
  <r>
    <n v="39"/>
    <x v="1"/>
    <s v="Travel Rarely"/>
    <n v="466"/>
    <x v="1"/>
    <n v="1"/>
    <n v="1"/>
    <s v="Life Sciences"/>
    <n v="1"/>
    <x v="738"/>
    <n v="4"/>
    <x v="0"/>
    <n v="65"/>
    <n v="2"/>
    <n v="4"/>
    <x v="3"/>
    <n v="4"/>
    <s v="Married"/>
    <n v="12742"/>
    <n v="7060"/>
    <n v="1"/>
    <s v="Y"/>
    <s v="No"/>
    <n v="16"/>
    <n v="3"/>
    <n v="3"/>
    <n v="80"/>
    <n v="1"/>
    <n v="21"/>
    <n v="3"/>
    <n v="3"/>
    <x v="17"/>
    <n v="6"/>
    <n v="11"/>
    <n v="8"/>
    <x v="1"/>
    <x v="2"/>
    <s v="Active"/>
    <x v="0"/>
  </r>
  <r>
    <n v="27"/>
    <x v="1"/>
    <s v="Travel Rarely"/>
    <n v="1055"/>
    <x v="1"/>
    <n v="2"/>
    <n v="4"/>
    <s v="Life Sciences"/>
    <n v="1"/>
    <x v="739"/>
    <n v="1"/>
    <x v="0"/>
    <n v="47"/>
    <n v="3"/>
    <n v="2"/>
    <x v="3"/>
    <n v="4"/>
    <s v="Married"/>
    <n v="4227"/>
    <n v="4658"/>
    <n v="0"/>
    <s v="Y"/>
    <s v="No"/>
    <n v="18"/>
    <n v="3"/>
    <n v="2"/>
    <n v="80"/>
    <n v="1"/>
    <n v="4"/>
    <n v="2"/>
    <n v="3"/>
    <x v="11"/>
    <n v="2"/>
    <n v="2"/>
    <n v="2"/>
    <x v="2"/>
    <x v="1"/>
    <s v="Active"/>
    <x v="5"/>
  </r>
  <r>
    <n v="35"/>
    <x v="1"/>
    <s v="Travel Rarely"/>
    <n v="802"/>
    <x v="1"/>
    <n v="10"/>
    <n v="3"/>
    <s v="Other"/>
    <n v="1"/>
    <x v="740"/>
    <n v="2"/>
    <x v="1"/>
    <n v="45"/>
    <n v="3"/>
    <n v="1"/>
    <x v="2"/>
    <n v="4"/>
    <s v="Divorced"/>
    <n v="3917"/>
    <n v="9541"/>
    <n v="1"/>
    <s v="Y"/>
    <s v="No"/>
    <n v="20"/>
    <n v="4"/>
    <n v="1"/>
    <n v="80"/>
    <n v="1"/>
    <n v="3"/>
    <n v="4"/>
    <n v="2"/>
    <x v="11"/>
    <n v="2"/>
    <n v="1"/>
    <n v="2"/>
    <x v="1"/>
    <x v="1"/>
    <s v="Active"/>
    <x v="5"/>
  </r>
  <r>
    <n v="42"/>
    <x v="1"/>
    <s v="Travel Rarely"/>
    <n v="265"/>
    <x v="0"/>
    <n v="5"/>
    <n v="2"/>
    <s v="Marketing"/>
    <n v="1"/>
    <x v="741"/>
    <n v="4"/>
    <x v="1"/>
    <n v="90"/>
    <n v="3"/>
    <n v="5"/>
    <x v="5"/>
    <n v="3"/>
    <s v="Married"/>
    <n v="18303"/>
    <n v="7770"/>
    <n v="6"/>
    <s v="Y"/>
    <s v="No"/>
    <n v="13"/>
    <n v="3"/>
    <n v="2"/>
    <n v="80"/>
    <n v="0"/>
    <n v="21"/>
    <n v="3"/>
    <n v="4"/>
    <x v="6"/>
    <n v="0"/>
    <n v="0"/>
    <n v="0"/>
    <x v="0"/>
    <x v="2"/>
    <s v="Active"/>
    <x v="1"/>
  </r>
  <r>
    <n v="50"/>
    <x v="1"/>
    <s v="Travel Rarely"/>
    <n v="804"/>
    <x v="1"/>
    <n v="9"/>
    <n v="3"/>
    <s v="Life Sciences"/>
    <n v="1"/>
    <x v="742"/>
    <n v="1"/>
    <x v="1"/>
    <n v="64"/>
    <n v="3"/>
    <n v="1"/>
    <x v="2"/>
    <n v="4"/>
    <s v="Married"/>
    <n v="2380"/>
    <n v="20165"/>
    <n v="4"/>
    <s v="Y"/>
    <s v="No"/>
    <n v="18"/>
    <n v="3"/>
    <n v="2"/>
    <n v="80"/>
    <n v="0"/>
    <n v="8"/>
    <n v="5"/>
    <n v="3"/>
    <x v="6"/>
    <n v="0"/>
    <n v="0"/>
    <n v="0"/>
    <x v="0"/>
    <x v="1"/>
    <s v="Active"/>
    <x v="1"/>
  </r>
  <r>
    <n v="59"/>
    <x v="1"/>
    <s v="Travel Rarely"/>
    <n v="715"/>
    <x v="1"/>
    <n v="2"/>
    <n v="3"/>
    <s v="Life Sciences"/>
    <n v="1"/>
    <x v="743"/>
    <n v="3"/>
    <x v="0"/>
    <n v="69"/>
    <n v="2"/>
    <n v="4"/>
    <x v="3"/>
    <n v="4"/>
    <s v="Single"/>
    <n v="13726"/>
    <n v="21829"/>
    <n v="3"/>
    <s v="Y"/>
    <s v="Yes"/>
    <n v="13"/>
    <n v="3"/>
    <n v="1"/>
    <n v="80"/>
    <n v="0"/>
    <n v="30"/>
    <n v="4"/>
    <n v="3"/>
    <x v="8"/>
    <n v="3"/>
    <n v="4"/>
    <n v="3"/>
    <x v="0"/>
    <x v="2"/>
    <s v="Active"/>
    <x v="3"/>
  </r>
  <r>
    <n v="37"/>
    <x v="0"/>
    <s v="Travel Rarely"/>
    <n v="1141"/>
    <x v="1"/>
    <n v="11"/>
    <n v="2"/>
    <s v="Medical"/>
    <n v="1"/>
    <x v="744"/>
    <n v="1"/>
    <x v="0"/>
    <n v="61"/>
    <n v="1"/>
    <n v="2"/>
    <x v="4"/>
    <n v="2"/>
    <s v="Married"/>
    <n v="4777"/>
    <n v="14382"/>
    <n v="5"/>
    <s v="Y"/>
    <s v="No"/>
    <n v="15"/>
    <n v="3"/>
    <n v="1"/>
    <n v="80"/>
    <n v="0"/>
    <n v="15"/>
    <n v="2"/>
    <n v="1"/>
    <x v="6"/>
    <n v="0"/>
    <n v="0"/>
    <n v="0"/>
    <x v="1"/>
    <x v="1"/>
    <s v="Resigned"/>
    <x v="1"/>
  </r>
  <r>
    <n v="55"/>
    <x v="1"/>
    <s v="Travel Frequently"/>
    <n v="135"/>
    <x v="1"/>
    <n v="18"/>
    <n v="4"/>
    <s v="Medical"/>
    <n v="1"/>
    <x v="745"/>
    <n v="3"/>
    <x v="1"/>
    <n v="62"/>
    <n v="3"/>
    <n v="2"/>
    <x v="4"/>
    <n v="2"/>
    <s v="Married"/>
    <n v="6385"/>
    <n v="12992"/>
    <n v="3"/>
    <s v="Y"/>
    <s v="Yes"/>
    <n v="14"/>
    <n v="3"/>
    <n v="4"/>
    <n v="80"/>
    <n v="2"/>
    <n v="17"/>
    <n v="3"/>
    <n v="3"/>
    <x v="3"/>
    <n v="7"/>
    <n v="6"/>
    <n v="7"/>
    <x v="0"/>
    <x v="0"/>
    <s v="Active"/>
    <x v="0"/>
  </r>
  <r>
    <n v="41"/>
    <x v="1"/>
    <s v="Non Travel"/>
    <n v="247"/>
    <x v="1"/>
    <n v="7"/>
    <n v="1"/>
    <s v="Life Sciences"/>
    <n v="1"/>
    <x v="746"/>
    <n v="2"/>
    <x v="0"/>
    <n v="55"/>
    <n v="1"/>
    <n v="5"/>
    <x v="7"/>
    <n v="3"/>
    <s v="Divorced"/>
    <n v="19973"/>
    <n v="20284"/>
    <n v="1"/>
    <s v="Y"/>
    <s v="No"/>
    <n v="22"/>
    <n v="4"/>
    <n v="2"/>
    <n v="80"/>
    <n v="2"/>
    <n v="21"/>
    <n v="3"/>
    <n v="3"/>
    <x v="17"/>
    <n v="16"/>
    <n v="5"/>
    <n v="10"/>
    <x v="0"/>
    <x v="2"/>
    <s v="Active"/>
    <x v="0"/>
  </r>
  <r>
    <n v="38"/>
    <x v="1"/>
    <s v="Travel Rarely"/>
    <n v="1035"/>
    <x v="0"/>
    <n v="3"/>
    <n v="4"/>
    <s v="Life Sciences"/>
    <n v="1"/>
    <x v="747"/>
    <n v="2"/>
    <x v="1"/>
    <n v="42"/>
    <n v="3"/>
    <n v="2"/>
    <x v="0"/>
    <n v="4"/>
    <s v="Single"/>
    <n v="6861"/>
    <n v="4981"/>
    <n v="8"/>
    <s v="Y"/>
    <s v="Yes"/>
    <n v="12"/>
    <n v="3"/>
    <n v="3"/>
    <n v="80"/>
    <n v="0"/>
    <n v="19"/>
    <n v="1"/>
    <n v="3"/>
    <x v="6"/>
    <n v="0"/>
    <n v="0"/>
    <n v="0"/>
    <x v="1"/>
    <x v="0"/>
    <s v="Active"/>
    <x v="1"/>
  </r>
  <r>
    <n v="26"/>
    <x v="0"/>
    <s v="Non Travel"/>
    <n v="265"/>
    <x v="0"/>
    <n v="29"/>
    <n v="2"/>
    <s v="Medical"/>
    <n v="1"/>
    <x v="748"/>
    <n v="2"/>
    <x v="1"/>
    <n v="79"/>
    <n v="1"/>
    <n v="2"/>
    <x v="0"/>
    <n v="1"/>
    <s v="Single"/>
    <n v="4969"/>
    <n v="21813"/>
    <n v="8"/>
    <s v="Y"/>
    <s v="No"/>
    <n v="18"/>
    <n v="3"/>
    <n v="4"/>
    <n v="80"/>
    <n v="0"/>
    <n v="7"/>
    <n v="6"/>
    <n v="3"/>
    <x v="4"/>
    <n v="2"/>
    <n v="2"/>
    <n v="2"/>
    <x v="2"/>
    <x v="1"/>
    <s v="Resigned"/>
    <x v="2"/>
  </r>
  <r>
    <n v="52"/>
    <x v="0"/>
    <s v="Travel Rarely"/>
    <n v="266"/>
    <x v="0"/>
    <n v="2"/>
    <n v="1"/>
    <s v="Marketing"/>
    <n v="1"/>
    <x v="749"/>
    <n v="1"/>
    <x v="0"/>
    <n v="57"/>
    <n v="1"/>
    <n v="5"/>
    <x v="5"/>
    <n v="4"/>
    <s v="Married"/>
    <n v="19845"/>
    <n v="25846"/>
    <n v="1"/>
    <s v="Y"/>
    <s v="No"/>
    <n v="15"/>
    <n v="3"/>
    <n v="4"/>
    <n v="80"/>
    <n v="1"/>
    <n v="33"/>
    <n v="3"/>
    <n v="3"/>
    <x v="32"/>
    <n v="14"/>
    <n v="6"/>
    <n v="9"/>
    <x v="0"/>
    <x v="2"/>
    <s v="Resigned"/>
    <x v="0"/>
  </r>
  <r>
    <n v="44"/>
    <x v="1"/>
    <s v="Travel Rarely"/>
    <n v="1448"/>
    <x v="0"/>
    <n v="28"/>
    <n v="3"/>
    <s v="Medical"/>
    <n v="1"/>
    <x v="750"/>
    <n v="4"/>
    <x v="0"/>
    <n v="53"/>
    <n v="4"/>
    <n v="4"/>
    <x v="0"/>
    <n v="4"/>
    <s v="Married"/>
    <n v="13320"/>
    <n v="11737"/>
    <n v="3"/>
    <s v="Y"/>
    <s v="Yes"/>
    <n v="18"/>
    <n v="3"/>
    <n v="3"/>
    <n v="80"/>
    <n v="1"/>
    <n v="23"/>
    <n v="2"/>
    <n v="3"/>
    <x v="12"/>
    <n v="11"/>
    <n v="11"/>
    <n v="11"/>
    <x v="0"/>
    <x v="2"/>
    <s v="Active"/>
    <x v="0"/>
  </r>
  <r>
    <n v="50"/>
    <x v="1"/>
    <s v="Non Travel"/>
    <n v="145"/>
    <x v="0"/>
    <n v="1"/>
    <n v="3"/>
    <s v="Life Sciences"/>
    <n v="1"/>
    <x v="751"/>
    <n v="4"/>
    <x v="0"/>
    <n v="95"/>
    <n v="3"/>
    <n v="2"/>
    <x v="0"/>
    <n v="3"/>
    <s v="Married"/>
    <n v="6347"/>
    <n v="24920"/>
    <n v="0"/>
    <s v="Y"/>
    <s v="No"/>
    <n v="12"/>
    <n v="3"/>
    <n v="1"/>
    <n v="80"/>
    <n v="1"/>
    <n v="19"/>
    <n v="3"/>
    <n v="3"/>
    <x v="29"/>
    <n v="7"/>
    <n v="0"/>
    <n v="13"/>
    <x v="0"/>
    <x v="0"/>
    <s v="Active"/>
    <x v="0"/>
  </r>
  <r>
    <n v="36"/>
    <x v="0"/>
    <s v="Travel Rarely"/>
    <n v="885"/>
    <x v="1"/>
    <n v="16"/>
    <n v="4"/>
    <s v="Life Sciences"/>
    <n v="1"/>
    <x v="752"/>
    <n v="3"/>
    <x v="0"/>
    <n v="43"/>
    <n v="4"/>
    <n v="1"/>
    <x v="2"/>
    <n v="1"/>
    <s v="Single"/>
    <n v="2743"/>
    <n v="8269"/>
    <n v="1"/>
    <s v="Y"/>
    <s v="No"/>
    <n v="16"/>
    <n v="3"/>
    <n v="3"/>
    <n v="80"/>
    <n v="0"/>
    <n v="18"/>
    <n v="1"/>
    <n v="3"/>
    <x v="18"/>
    <n v="13"/>
    <n v="15"/>
    <n v="14"/>
    <x v="1"/>
    <x v="1"/>
    <s v="Resigned"/>
    <x v="0"/>
  </r>
  <r>
    <n v="39"/>
    <x v="1"/>
    <s v="Travel Frequently"/>
    <n v="945"/>
    <x v="1"/>
    <n v="22"/>
    <n v="3"/>
    <s v="Medical"/>
    <n v="1"/>
    <x v="753"/>
    <n v="4"/>
    <x v="0"/>
    <n v="82"/>
    <n v="3"/>
    <n v="3"/>
    <x v="3"/>
    <n v="1"/>
    <s v="Single"/>
    <n v="10880"/>
    <n v="5083"/>
    <n v="1"/>
    <s v="Y"/>
    <s v="Yes"/>
    <n v="13"/>
    <n v="3"/>
    <n v="3"/>
    <n v="80"/>
    <n v="0"/>
    <n v="21"/>
    <n v="2"/>
    <n v="3"/>
    <x v="17"/>
    <n v="6"/>
    <n v="2"/>
    <n v="8"/>
    <x v="1"/>
    <x v="2"/>
    <s v="Active"/>
    <x v="0"/>
  </r>
  <r>
    <n v="33"/>
    <x v="1"/>
    <s v="Non Travel"/>
    <n v="1038"/>
    <x v="0"/>
    <n v="8"/>
    <n v="1"/>
    <s v="Life Sciences"/>
    <n v="1"/>
    <x v="754"/>
    <n v="2"/>
    <x v="0"/>
    <n v="88"/>
    <n v="2"/>
    <n v="1"/>
    <x v="6"/>
    <n v="4"/>
    <s v="Single"/>
    <n v="2342"/>
    <n v="21437"/>
    <n v="0"/>
    <s v="Y"/>
    <s v="No"/>
    <n v="19"/>
    <n v="3"/>
    <n v="4"/>
    <n v="80"/>
    <n v="0"/>
    <n v="3"/>
    <n v="2"/>
    <n v="2"/>
    <x v="4"/>
    <n v="2"/>
    <n v="2"/>
    <n v="2"/>
    <x v="1"/>
    <x v="1"/>
    <s v="Active"/>
    <x v="2"/>
  </r>
  <r>
    <n v="45"/>
    <x v="1"/>
    <s v="Travel Rarely"/>
    <n v="1234"/>
    <x v="0"/>
    <n v="11"/>
    <n v="2"/>
    <s v="Life Sciences"/>
    <n v="1"/>
    <x v="755"/>
    <n v="4"/>
    <x v="0"/>
    <n v="90"/>
    <n v="3"/>
    <n v="4"/>
    <x v="5"/>
    <n v="4"/>
    <s v="Married"/>
    <n v="17650"/>
    <n v="5404"/>
    <n v="3"/>
    <s v="Y"/>
    <s v="No"/>
    <n v="13"/>
    <n v="3"/>
    <n v="2"/>
    <n v="80"/>
    <n v="1"/>
    <n v="26"/>
    <n v="4"/>
    <n v="4"/>
    <x v="7"/>
    <n v="3"/>
    <n v="1"/>
    <n v="1"/>
    <x v="0"/>
    <x v="2"/>
    <s v="Active"/>
    <x v="0"/>
  </r>
  <r>
    <n v="32"/>
    <x v="1"/>
    <s v="Non Travel"/>
    <n v="1109"/>
    <x v="1"/>
    <n v="29"/>
    <n v="4"/>
    <s v="Medical"/>
    <n v="1"/>
    <x v="756"/>
    <n v="4"/>
    <x v="0"/>
    <n v="69"/>
    <n v="3"/>
    <n v="1"/>
    <x v="2"/>
    <n v="3"/>
    <s v="Single"/>
    <n v="4025"/>
    <n v="11135"/>
    <n v="9"/>
    <s v="Y"/>
    <s v="No"/>
    <n v="12"/>
    <n v="3"/>
    <n v="2"/>
    <n v="80"/>
    <n v="0"/>
    <n v="10"/>
    <n v="2"/>
    <n v="3"/>
    <x v="3"/>
    <n v="7"/>
    <n v="7"/>
    <n v="7"/>
    <x v="1"/>
    <x v="1"/>
    <s v="Active"/>
    <x v="0"/>
  </r>
  <r>
    <n v="34"/>
    <x v="1"/>
    <s v="Travel Rarely"/>
    <n v="216"/>
    <x v="0"/>
    <n v="1"/>
    <n v="4"/>
    <s v="Marketing"/>
    <n v="1"/>
    <x v="757"/>
    <n v="2"/>
    <x v="1"/>
    <n v="75"/>
    <n v="4"/>
    <n v="2"/>
    <x v="0"/>
    <n v="4"/>
    <s v="Divorced"/>
    <n v="9725"/>
    <n v="12278"/>
    <n v="0"/>
    <s v="Y"/>
    <s v="No"/>
    <n v="11"/>
    <n v="3"/>
    <n v="4"/>
    <n v="80"/>
    <n v="1"/>
    <n v="16"/>
    <n v="2"/>
    <n v="2"/>
    <x v="15"/>
    <n v="1"/>
    <n v="0"/>
    <n v="9"/>
    <x v="1"/>
    <x v="0"/>
    <s v="Active"/>
    <x v="0"/>
  </r>
  <r>
    <n v="59"/>
    <x v="1"/>
    <s v="Travel Rarely"/>
    <n v="1089"/>
    <x v="0"/>
    <n v="1"/>
    <n v="2"/>
    <s v="Technical Degree"/>
    <n v="1"/>
    <x v="758"/>
    <n v="2"/>
    <x v="1"/>
    <n v="66"/>
    <n v="3"/>
    <n v="3"/>
    <x v="5"/>
    <n v="4"/>
    <s v="Married"/>
    <n v="11904"/>
    <n v="11038"/>
    <n v="3"/>
    <s v="Y"/>
    <s v="Yes"/>
    <n v="14"/>
    <n v="3"/>
    <n v="3"/>
    <n v="80"/>
    <n v="1"/>
    <n v="14"/>
    <n v="1"/>
    <n v="1"/>
    <x v="0"/>
    <n v="4"/>
    <n v="0"/>
    <n v="4"/>
    <x v="0"/>
    <x v="2"/>
    <s v="Active"/>
    <x v="0"/>
  </r>
  <r>
    <n v="45"/>
    <x v="1"/>
    <s v="Travel Rarely"/>
    <n v="788"/>
    <x v="2"/>
    <n v="24"/>
    <n v="4"/>
    <s v="Medical"/>
    <n v="1"/>
    <x v="759"/>
    <n v="2"/>
    <x v="1"/>
    <n v="36"/>
    <n v="3"/>
    <n v="1"/>
    <x v="8"/>
    <n v="2"/>
    <s v="Single"/>
    <n v="2177"/>
    <n v="8318"/>
    <n v="1"/>
    <s v="Y"/>
    <s v="No"/>
    <n v="16"/>
    <n v="3"/>
    <n v="1"/>
    <n v="80"/>
    <n v="0"/>
    <n v="6"/>
    <n v="3"/>
    <n v="3"/>
    <x v="0"/>
    <n v="3"/>
    <n v="0"/>
    <n v="4"/>
    <x v="0"/>
    <x v="1"/>
    <s v="Active"/>
    <x v="0"/>
  </r>
  <r>
    <n v="53"/>
    <x v="1"/>
    <s v="Travel Frequently"/>
    <n v="124"/>
    <x v="0"/>
    <n v="2"/>
    <n v="3"/>
    <s v="Marketing"/>
    <n v="1"/>
    <x v="760"/>
    <n v="3"/>
    <x v="0"/>
    <n v="38"/>
    <n v="2"/>
    <n v="3"/>
    <x v="0"/>
    <n v="2"/>
    <s v="Married"/>
    <n v="7525"/>
    <n v="23537"/>
    <n v="2"/>
    <s v="Y"/>
    <s v="No"/>
    <n v="12"/>
    <n v="3"/>
    <n v="1"/>
    <n v="80"/>
    <n v="1"/>
    <n v="30"/>
    <n v="2"/>
    <n v="3"/>
    <x v="15"/>
    <n v="7"/>
    <n v="6"/>
    <n v="12"/>
    <x v="0"/>
    <x v="0"/>
    <s v="Active"/>
    <x v="0"/>
  </r>
  <r>
    <n v="36"/>
    <x v="0"/>
    <s v="Travel Rarely"/>
    <n v="660"/>
    <x v="1"/>
    <n v="15"/>
    <n v="3"/>
    <s v="Other"/>
    <n v="1"/>
    <x v="761"/>
    <n v="1"/>
    <x v="1"/>
    <n v="81"/>
    <n v="3"/>
    <n v="2"/>
    <x v="2"/>
    <n v="3"/>
    <s v="Divorced"/>
    <n v="4834"/>
    <n v="7858"/>
    <n v="7"/>
    <s v="Y"/>
    <s v="No"/>
    <n v="14"/>
    <n v="3"/>
    <n v="2"/>
    <n v="80"/>
    <n v="1"/>
    <n v="9"/>
    <n v="3"/>
    <n v="2"/>
    <x v="6"/>
    <n v="0"/>
    <n v="0"/>
    <n v="0"/>
    <x v="1"/>
    <x v="1"/>
    <s v="Resigned"/>
    <x v="1"/>
  </r>
  <r>
    <n v="26"/>
    <x v="0"/>
    <s v="Travel Frequently"/>
    <n v="342"/>
    <x v="1"/>
    <n v="2"/>
    <n v="3"/>
    <s v="Life Sciences"/>
    <n v="1"/>
    <x v="762"/>
    <n v="1"/>
    <x v="1"/>
    <n v="57"/>
    <n v="3"/>
    <n v="1"/>
    <x v="1"/>
    <n v="1"/>
    <s v="Married"/>
    <n v="2042"/>
    <n v="15346"/>
    <n v="6"/>
    <s v="Y"/>
    <s v="Yes"/>
    <n v="14"/>
    <n v="3"/>
    <n v="2"/>
    <n v="80"/>
    <n v="1"/>
    <n v="6"/>
    <n v="2"/>
    <n v="3"/>
    <x v="11"/>
    <n v="2"/>
    <n v="1"/>
    <n v="2"/>
    <x v="2"/>
    <x v="1"/>
    <s v="Resigned"/>
    <x v="5"/>
  </r>
  <r>
    <n v="34"/>
    <x v="1"/>
    <s v="Travel Rarely"/>
    <n v="1333"/>
    <x v="0"/>
    <n v="10"/>
    <n v="4"/>
    <s v="Life Sciences"/>
    <n v="1"/>
    <x v="763"/>
    <n v="3"/>
    <x v="0"/>
    <n v="87"/>
    <n v="3"/>
    <n v="1"/>
    <x v="6"/>
    <n v="3"/>
    <s v="Married"/>
    <n v="2220"/>
    <n v="18410"/>
    <n v="1"/>
    <s v="Y"/>
    <s v="Yes"/>
    <n v="19"/>
    <n v="3"/>
    <n v="4"/>
    <n v="80"/>
    <n v="1"/>
    <n v="1"/>
    <n v="2"/>
    <n v="3"/>
    <x v="6"/>
    <n v="1"/>
    <n v="0"/>
    <n v="0"/>
    <x v="1"/>
    <x v="1"/>
    <s v="Active"/>
    <x v="1"/>
  </r>
  <r>
    <n v="28"/>
    <x v="1"/>
    <s v="Travel Rarely"/>
    <n v="1144"/>
    <x v="0"/>
    <n v="10"/>
    <n v="1"/>
    <s v="Medical"/>
    <n v="1"/>
    <x v="764"/>
    <n v="4"/>
    <x v="1"/>
    <n v="74"/>
    <n v="3"/>
    <n v="1"/>
    <x v="6"/>
    <n v="2"/>
    <s v="Married"/>
    <n v="1052"/>
    <n v="23384"/>
    <n v="1"/>
    <s v="Y"/>
    <s v="No"/>
    <n v="22"/>
    <n v="4"/>
    <n v="2"/>
    <n v="80"/>
    <n v="0"/>
    <n v="1"/>
    <n v="5"/>
    <n v="3"/>
    <x v="6"/>
    <n v="0"/>
    <n v="0"/>
    <n v="0"/>
    <x v="2"/>
    <x v="1"/>
    <s v="Active"/>
    <x v="1"/>
  </r>
  <r>
    <n v="38"/>
    <x v="1"/>
    <s v="Travel Frequently"/>
    <n v="1186"/>
    <x v="1"/>
    <n v="3"/>
    <n v="4"/>
    <s v="Other"/>
    <n v="1"/>
    <x v="765"/>
    <n v="3"/>
    <x v="1"/>
    <n v="44"/>
    <n v="3"/>
    <n v="1"/>
    <x v="1"/>
    <n v="3"/>
    <s v="Married"/>
    <n v="2821"/>
    <n v="2997"/>
    <n v="3"/>
    <s v="Y"/>
    <s v="No"/>
    <n v="16"/>
    <n v="3"/>
    <n v="1"/>
    <n v="80"/>
    <n v="1"/>
    <n v="8"/>
    <n v="2"/>
    <n v="3"/>
    <x v="4"/>
    <n v="2"/>
    <n v="2"/>
    <n v="2"/>
    <x v="1"/>
    <x v="1"/>
    <s v="Active"/>
    <x v="2"/>
  </r>
  <r>
    <n v="50"/>
    <x v="1"/>
    <s v="Travel Rarely"/>
    <n v="1464"/>
    <x v="1"/>
    <n v="2"/>
    <n v="4"/>
    <s v="Medical"/>
    <n v="1"/>
    <x v="766"/>
    <n v="2"/>
    <x v="1"/>
    <n v="62"/>
    <n v="3"/>
    <n v="5"/>
    <x v="7"/>
    <n v="3"/>
    <s v="Married"/>
    <n v="19237"/>
    <n v="12853"/>
    <n v="2"/>
    <s v="Y"/>
    <s v="Yes"/>
    <n v="11"/>
    <n v="3"/>
    <n v="4"/>
    <n v="80"/>
    <n v="1"/>
    <n v="29"/>
    <n v="2"/>
    <n v="2"/>
    <x v="3"/>
    <n v="1"/>
    <n v="7"/>
    <n v="7"/>
    <x v="0"/>
    <x v="2"/>
    <s v="Active"/>
    <x v="0"/>
  </r>
  <r>
    <n v="37"/>
    <x v="1"/>
    <s v="Travel Rarely"/>
    <n v="124"/>
    <x v="1"/>
    <n v="3"/>
    <n v="3"/>
    <s v="Other"/>
    <n v="1"/>
    <x v="767"/>
    <n v="4"/>
    <x v="0"/>
    <n v="35"/>
    <n v="3"/>
    <n v="2"/>
    <x v="4"/>
    <n v="2"/>
    <s v="Single"/>
    <n v="4107"/>
    <n v="13848"/>
    <n v="3"/>
    <s v="Y"/>
    <s v="No"/>
    <n v="15"/>
    <n v="3"/>
    <n v="1"/>
    <n v="80"/>
    <n v="0"/>
    <n v="8"/>
    <n v="3"/>
    <n v="2"/>
    <x v="9"/>
    <n v="3"/>
    <n v="0"/>
    <n v="1"/>
    <x v="1"/>
    <x v="1"/>
    <s v="Active"/>
    <x v="4"/>
  </r>
  <r>
    <n v="40"/>
    <x v="1"/>
    <s v="Travel Rarely"/>
    <n v="300"/>
    <x v="0"/>
    <n v="26"/>
    <n v="3"/>
    <s v="Marketing"/>
    <n v="1"/>
    <x v="768"/>
    <n v="3"/>
    <x v="1"/>
    <n v="74"/>
    <n v="3"/>
    <n v="2"/>
    <x v="0"/>
    <n v="1"/>
    <s v="Married"/>
    <n v="8396"/>
    <n v="22217"/>
    <n v="1"/>
    <s v="Y"/>
    <s v="No"/>
    <n v="14"/>
    <n v="3"/>
    <n v="2"/>
    <n v="80"/>
    <n v="1"/>
    <n v="8"/>
    <n v="3"/>
    <n v="2"/>
    <x v="5"/>
    <n v="7"/>
    <n v="7"/>
    <n v="5"/>
    <x v="1"/>
    <x v="0"/>
    <s v="Active"/>
    <x v="0"/>
  </r>
  <r>
    <n v="26"/>
    <x v="1"/>
    <s v="Travel Frequently"/>
    <n v="921"/>
    <x v="1"/>
    <n v="1"/>
    <n v="1"/>
    <s v="Medical"/>
    <n v="1"/>
    <x v="769"/>
    <n v="1"/>
    <x v="0"/>
    <n v="66"/>
    <n v="2"/>
    <n v="1"/>
    <x v="1"/>
    <n v="3"/>
    <s v="Divorced"/>
    <n v="2007"/>
    <n v="25265"/>
    <n v="1"/>
    <s v="Y"/>
    <s v="No"/>
    <n v="13"/>
    <n v="3"/>
    <n v="3"/>
    <n v="80"/>
    <n v="2"/>
    <n v="5"/>
    <n v="5"/>
    <n v="3"/>
    <x v="8"/>
    <n v="3"/>
    <n v="1"/>
    <n v="3"/>
    <x v="2"/>
    <x v="1"/>
    <s v="Active"/>
    <x v="3"/>
  </r>
  <r>
    <n v="46"/>
    <x v="1"/>
    <s v="Travel Rarely"/>
    <n v="430"/>
    <x v="1"/>
    <n v="1"/>
    <n v="4"/>
    <s v="Medical"/>
    <n v="1"/>
    <x v="770"/>
    <n v="4"/>
    <x v="1"/>
    <n v="40"/>
    <n v="3"/>
    <n v="5"/>
    <x v="7"/>
    <n v="4"/>
    <s v="Divorced"/>
    <n v="19627"/>
    <n v="21445"/>
    <n v="9"/>
    <s v="Y"/>
    <s v="No"/>
    <n v="17"/>
    <n v="3"/>
    <n v="4"/>
    <n v="80"/>
    <n v="2"/>
    <n v="23"/>
    <n v="0"/>
    <n v="3"/>
    <x v="4"/>
    <n v="2"/>
    <n v="2"/>
    <n v="2"/>
    <x v="0"/>
    <x v="2"/>
    <s v="Active"/>
    <x v="2"/>
  </r>
  <r>
    <n v="54"/>
    <x v="1"/>
    <s v="Travel Rarely"/>
    <n v="1082"/>
    <x v="0"/>
    <n v="2"/>
    <n v="4"/>
    <s v="Life Sciences"/>
    <n v="1"/>
    <x v="771"/>
    <n v="3"/>
    <x v="0"/>
    <n v="41"/>
    <n v="2"/>
    <n v="3"/>
    <x v="0"/>
    <n v="3"/>
    <s v="Married"/>
    <n v="10686"/>
    <n v="8392"/>
    <n v="6"/>
    <s v="Y"/>
    <s v="No"/>
    <n v="11"/>
    <n v="3"/>
    <n v="2"/>
    <n v="80"/>
    <n v="1"/>
    <n v="13"/>
    <n v="4"/>
    <n v="3"/>
    <x v="7"/>
    <n v="4"/>
    <n v="7"/>
    <n v="0"/>
    <x v="0"/>
    <x v="2"/>
    <s v="Active"/>
    <x v="0"/>
  </r>
  <r>
    <n v="56"/>
    <x v="1"/>
    <s v="Travel Frequently"/>
    <n v="1240"/>
    <x v="1"/>
    <n v="9"/>
    <n v="3"/>
    <s v="Medical"/>
    <n v="1"/>
    <x v="772"/>
    <n v="1"/>
    <x v="0"/>
    <n v="63"/>
    <n v="3"/>
    <n v="1"/>
    <x v="1"/>
    <n v="3"/>
    <s v="Married"/>
    <n v="2942"/>
    <n v="12154"/>
    <n v="2"/>
    <s v="Y"/>
    <s v="No"/>
    <n v="19"/>
    <n v="3"/>
    <n v="2"/>
    <n v="80"/>
    <n v="1"/>
    <n v="18"/>
    <n v="4"/>
    <n v="3"/>
    <x v="8"/>
    <n v="4"/>
    <n v="0"/>
    <n v="3"/>
    <x v="0"/>
    <x v="1"/>
    <s v="Active"/>
    <x v="3"/>
  </r>
  <r>
    <n v="36"/>
    <x v="1"/>
    <s v="Travel Rarely"/>
    <n v="796"/>
    <x v="1"/>
    <n v="12"/>
    <n v="5"/>
    <s v="Medical"/>
    <n v="1"/>
    <x v="773"/>
    <n v="4"/>
    <x v="0"/>
    <n v="51"/>
    <n v="2"/>
    <n v="3"/>
    <x v="3"/>
    <n v="4"/>
    <s v="Single"/>
    <n v="8858"/>
    <n v="15669"/>
    <n v="0"/>
    <s v="Y"/>
    <s v="No"/>
    <n v="11"/>
    <n v="3"/>
    <n v="2"/>
    <n v="80"/>
    <n v="0"/>
    <n v="15"/>
    <n v="2"/>
    <n v="2"/>
    <x v="13"/>
    <n v="8"/>
    <n v="7"/>
    <n v="8"/>
    <x v="1"/>
    <x v="0"/>
    <s v="Active"/>
    <x v="0"/>
  </r>
  <r>
    <n v="55"/>
    <x v="1"/>
    <s v="Non Travel"/>
    <n v="444"/>
    <x v="1"/>
    <n v="2"/>
    <n v="1"/>
    <s v="Medical"/>
    <n v="1"/>
    <x v="774"/>
    <n v="3"/>
    <x v="1"/>
    <n v="40"/>
    <n v="2"/>
    <n v="4"/>
    <x v="5"/>
    <n v="1"/>
    <s v="Single"/>
    <n v="16756"/>
    <n v="17323"/>
    <n v="7"/>
    <s v="Y"/>
    <s v="No"/>
    <n v="15"/>
    <n v="3"/>
    <n v="2"/>
    <n v="80"/>
    <n v="0"/>
    <n v="31"/>
    <n v="3"/>
    <n v="4"/>
    <x v="7"/>
    <n v="7"/>
    <n v="6"/>
    <n v="2"/>
    <x v="0"/>
    <x v="2"/>
    <s v="Active"/>
    <x v="0"/>
  </r>
  <r>
    <n v="43"/>
    <x v="1"/>
    <s v="Travel Rarely"/>
    <n v="415"/>
    <x v="0"/>
    <n v="25"/>
    <n v="3"/>
    <s v="Medical"/>
    <n v="1"/>
    <x v="775"/>
    <n v="3"/>
    <x v="1"/>
    <n v="79"/>
    <n v="2"/>
    <n v="3"/>
    <x v="0"/>
    <n v="4"/>
    <s v="Divorced"/>
    <n v="10798"/>
    <n v="5268"/>
    <n v="5"/>
    <s v="Y"/>
    <s v="No"/>
    <n v="13"/>
    <n v="3"/>
    <n v="3"/>
    <n v="80"/>
    <n v="1"/>
    <n v="18"/>
    <n v="5"/>
    <n v="3"/>
    <x v="6"/>
    <n v="0"/>
    <n v="0"/>
    <n v="0"/>
    <x v="0"/>
    <x v="2"/>
    <s v="Active"/>
    <x v="1"/>
  </r>
  <r>
    <n v="20"/>
    <x v="0"/>
    <s v="Travel Frequently"/>
    <n v="769"/>
    <x v="0"/>
    <n v="9"/>
    <n v="3"/>
    <s v="Marketing"/>
    <n v="1"/>
    <x v="776"/>
    <n v="4"/>
    <x v="0"/>
    <n v="54"/>
    <n v="3"/>
    <n v="1"/>
    <x v="6"/>
    <n v="4"/>
    <s v="Single"/>
    <n v="2323"/>
    <n v="17205"/>
    <n v="1"/>
    <s v="Y"/>
    <s v="Yes"/>
    <n v="14"/>
    <n v="3"/>
    <n v="2"/>
    <n v="80"/>
    <n v="0"/>
    <n v="2"/>
    <n v="3"/>
    <n v="3"/>
    <x v="4"/>
    <n v="2"/>
    <n v="0"/>
    <n v="2"/>
    <x v="2"/>
    <x v="1"/>
    <s v="Resigned"/>
    <x v="2"/>
  </r>
  <r>
    <n v="21"/>
    <x v="0"/>
    <s v="Travel Rarely"/>
    <n v="1334"/>
    <x v="1"/>
    <n v="10"/>
    <n v="3"/>
    <s v="Life Sciences"/>
    <n v="1"/>
    <x v="777"/>
    <n v="3"/>
    <x v="0"/>
    <n v="36"/>
    <n v="2"/>
    <n v="1"/>
    <x v="2"/>
    <n v="1"/>
    <s v="Single"/>
    <n v="1416"/>
    <n v="17258"/>
    <n v="1"/>
    <s v="Y"/>
    <s v="No"/>
    <n v="13"/>
    <n v="3"/>
    <n v="1"/>
    <n v="80"/>
    <n v="0"/>
    <n v="1"/>
    <n v="6"/>
    <n v="2"/>
    <x v="6"/>
    <n v="0"/>
    <n v="1"/>
    <n v="0"/>
    <x v="2"/>
    <x v="1"/>
    <s v="Resigned"/>
    <x v="1"/>
  </r>
  <r>
    <n v="46"/>
    <x v="1"/>
    <s v="Travel Rarely"/>
    <n v="1003"/>
    <x v="1"/>
    <n v="8"/>
    <n v="4"/>
    <s v="Life Sciences"/>
    <n v="1"/>
    <x v="778"/>
    <n v="4"/>
    <x v="0"/>
    <n v="74"/>
    <n v="2"/>
    <n v="2"/>
    <x v="1"/>
    <n v="1"/>
    <s v="Divorced"/>
    <n v="4615"/>
    <n v="21029"/>
    <n v="8"/>
    <s v="Y"/>
    <s v="Yes"/>
    <n v="23"/>
    <n v="4"/>
    <n v="1"/>
    <n v="80"/>
    <n v="3"/>
    <n v="19"/>
    <n v="2"/>
    <n v="3"/>
    <x v="22"/>
    <n v="13"/>
    <n v="1"/>
    <n v="7"/>
    <x v="0"/>
    <x v="1"/>
    <s v="Active"/>
    <x v="0"/>
  </r>
  <r>
    <n v="51"/>
    <x v="0"/>
    <s v="Travel Rarely"/>
    <n v="1323"/>
    <x v="1"/>
    <n v="4"/>
    <n v="4"/>
    <s v="Life Sciences"/>
    <n v="1"/>
    <x v="779"/>
    <n v="1"/>
    <x v="1"/>
    <n v="34"/>
    <n v="3"/>
    <n v="1"/>
    <x v="1"/>
    <n v="3"/>
    <s v="Married"/>
    <n v="2461"/>
    <n v="10332"/>
    <n v="9"/>
    <s v="Y"/>
    <s v="Yes"/>
    <n v="12"/>
    <n v="3"/>
    <n v="3"/>
    <n v="80"/>
    <n v="3"/>
    <n v="18"/>
    <n v="2"/>
    <n v="4"/>
    <x v="1"/>
    <n v="0"/>
    <n v="2"/>
    <n v="7"/>
    <x v="0"/>
    <x v="1"/>
    <s v="Resigned"/>
    <x v="0"/>
  </r>
  <r>
    <n v="28"/>
    <x v="0"/>
    <s v="Non Travel"/>
    <n v="1366"/>
    <x v="1"/>
    <n v="24"/>
    <n v="2"/>
    <s v="Technical Degree"/>
    <n v="1"/>
    <x v="780"/>
    <n v="2"/>
    <x v="1"/>
    <n v="72"/>
    <n v="2"/>
    <n v="3"/>
    <x v="4"/>
    <n v="1"/>
    <s v="Single"/>
    <n v="8722"/>
    <n v="12355"/>
    <n v="1"/>
    <s v="Y"/>
    <s v="No"/>
    <n v="12"/>
    <n v="3"/>
    <n v="1"/>
    <n v="80"/>
    <n v="0"/>
    <n v="10"/>
    <n v="2"/>
    <n v="2"/>
    <x v="1"/>
    <n v="7"/>
    <n v="1"/>
    <n v="9"/>
    <x v="2"/>
    <x v="0"/>
    <s v="Resigned"/>
    <x v="0"/>
  </r>
  <r>
    <n v="26"/>
    <x v="1"/>
    <s v="Travel Rarely"/>
    <n v="192"/>
    <x v="1"/>
    <n v="1"/>
    <n v="2"/>
    <s v="Medical"/>
    <n v="1"/>
    <x v="781"/>
    <n v="1"/>
    <x v="1"/>
    <n v="59"/>
    <n v="2"/>
    <n v="1"/>
    <x v="2"/>
    <n v="1"/>
    <s v="Married"/>
    <n v="3955"/>
    <n v="11141"/>
    <n v="1"/>
    <s v="Y"/>
    <s v="No"/>
    <n v="16"/>
    <n v="3"/>
    <n v="1"/>
    <n v="80"/>
    <n v="2"/>
    <n v="6"/>
    <n v="2"/>
    <n v="3"/>
    <x v="8"/>
    <n v="3"/>
    <n v="1"/>
    <n v="3"/>
    <x v="2"/>
    <x v="1"/>
    <s v="Active"/>
    <x v="3"/>
  </r>
  <r>
    <n v="30"/>
    <x v="1"/>
    <s v="Travel Rarely"/>
    <n v="1176"/>
    <x v="1"/>
    <n v="20"/>
    <n v="3"/>
    <s v="Other"/>
    <n v="1"/>
    <x v="782"/>
    <n v="3"/>
    <x v="1"/>
    <n v="85"/>
    <n v="3"/>
    <n v="2"/>
    <x v="3"/>
    <n v="1"/>
    <s v="Married"/>
    <n v="9957"/>
    <n v="9096"/>
    <n v="0"/>
    <s v="Y"/>
    <s v="No"/>
    <n v="15"/>
    <n v="3"/>
    <n v="3"/>
    <n v="80"/>
    <n v="1"/>
    <n v="7"/>
    <n v="1"/>
    <n v="2"/>
    <x v="0"/>
    <n v="2"/>
    <n v="0"/>
    <n v="2"/>
    <x v="1"/>
    <x v="0"/>
    <s v="Active"/>
    <x v="0"/>
  </r>
  <r>
    <n v="41"/>
    <x v="1"/>
    <s v="Travel Rarely"/>
    <n v="509"/>
    <x v="1"/>
    <n v="7"/>
    <n v="2"/>
    <s v="Technical Degree"/>
    <n v="1"/>
    <x v="783"/>
    <n v="2"/>
    <x v="0"/>
    <n v="43"/>
    <n v="4"/>
    <n v="1"/>
    <x v="1"/>
    <n v="3"/>
    <s v="Married"/>
    <n v="3376"/>
    <n v="18863"/>
    <n v="1"/>
    <s v="Y"/>
    <s v="No"/>
    <n v="13"/>
    <n v="3"/>
    <n v="3"/>
    <n v="80"/>
    <n v="0"/>
    <n v="10"/>
    <n v="3"/>
    <n v="3"/>
    <x v="1"/>
    <n v="6"/>
    <n v="0"/>
    <n v="8"/>
    <x v="0"/>
    <x v="1"/>
    <s v="Active"/>
    <x v="0"/>
  </r>
  <r>
    <n v="38"/>
    <x v="1"/>
    <s v="Travel Rarely"/>
    <n v="330"/>
    <x v="1"/>
    <n v="17"/>
    <n v="1"/>
    <s v="Life Sciences"/>
    <n v="1"/>
    <x v="784"/>
    <n v="3"/>
    <x v="0"/>
    <n v="65"/>
    <n v="2"/>
    <n v="3"/>
    <x v="4"/>
    <n v="3"/>
    <s v="Married"/>
    <n v="8823"/>
    <n v="24608"/>
    <n v="0"/>
    <s v="Y"/>
    <s v="No"/>
    <n v="18"/>
    <n v="3"/>
    <n v="1"/>
    <n v="80"/>
    <n v="1"/>
    <n v="20"/>
    <n v="4"/>
    <n v="2"/>
    <x v="27"/>
    <n v="9"/>
    <n v="1"/>
    <n v="9"/>
    <x v="1"/>
    <x v="0"/>
    <s v="Active"/>
    <x v="0"/>
  </r>
  <r>
    <n v="40"/>
    <x v="1"/>
    <s v="Travel Rarely"/>
    <n v="1492"/>
    <x v="1"/>
    <n v="20"/>
    <n v="4"/>
    <s v="Technical Degree"/>
    <n v="1"/>
    <x v="785"/>
    <n v="1"/>
    <x v="1"/>
    <n v="61"/>
    <n v="3"/>
    <n v="3"/>
    <x v="4"/>
    <n v="4"/>
    <s v="Married"/>
    <n v="10322"/>
    <n v="26542"/>
    <n v="4"/>
    <s v="Y"/>
    <s v="No"/>
    <n v="20"/>
    <n v="4"/>
    <n v="4"/>
    <n v="80"/>
    <n v="1"/>
    <n v="14"/>
    <n v="6"/>
    <n v="3"/>
    <x v="19"/>
    <n v="10"/>
    <n v="11"/>
    <n v="1"/>
    <x v="1"/>
    <x v="2"/>
    <s v="Active"/>
    <x v="0"/>
  </r>
  <r>
    <n v="27"/>
    <x v="1"/>
    <s v="Non Travel"/>
    <n v="1277"/>
    <x v="1"/>
    <n v="8"/>
    <n v="5"/>
    <s v="Life Sciences"/>
    <n v="1"/>
    <x v="786"/>
    <n v="1"/>
    <x v="1"/>
    <n v="87"/>
    <n v="1"/>
    <n v="1"/>
    <x v="2"/>
    <n v="3"/>
    <s v="Married"/>
    <n v="4621"/>
    <n v="5869"/>
    <n v="1"/>
    <s v="Y"/>
    <s v="No"/>
    <n v="19"/>
    <n v="3"/>
    <n v="4"/>
    <n v="80"/>
    <n v="3"/>
    <n v="3"/>
    <n v="4"/>
    <n v="3"/>
    <x v="11"/>
    <n v="2"/>
    <n v="1"/>
    <n v="2"/>
    <x v="2"/>
    <x v="1"/>
    <s v="Active"/>
    <x v="5"/>
  </r>
  <r>
    <n v="55"/>
    <x v="1"/>
    <s v="Travel Frequently"/>
    <n v="1091"/>
    <x v="1"/>
    <n v="2"/>
    <n v="1"/>
    <s v="Life Sciences"/>
    <n v="1"/>
    <x v="787"/>
    <n v="4"/>
    <x v="1"/>
    <n v="65"/>
    <n v="3"/>
    <n v="3"/>
    <x v="3"/>
    <n v="2"/>
    <s v="Married"/>
    <n v="10976"/>
    <n v="15813"/>
    <n v="3"/>
    <s v="Y"/>
    <s v="No"/>
    <n v="18"/>
    <n v="3"/>
    <n v="2"/>
    <n v="80"/>
    <n v="1"/>
    <n v="23"/>
    <n v="4"/>
    <n v="3"/>
    <x v="11"/>
    <n v="2"/>
    <n v="1"/>
    <n v="2"/>
    <x v="0"/>
    <x v="2"/>
    <s v="Active"/>
    <x v="5"/>
  </r>
  <r>
    <n v="28"/>
    <x v="1"/>
    <s v="Travel Rarely"/>
    <n v="857"/>
    <x v="1"/>
    <n v="10"/>
    <n v="3"/>
    <s v="Other"/>
    <n v="1"/>
    <x v="788"/>
    <n v="3"/>
    <x v="0"/>
    <n v="59"/>
    <n v="3"/>
    <n v="2"/>
    <x v="1"/>
    <n v="3"/>
    <s v="Single"/>
    <n v="3660"/>
    <n v="7909"/>
    <n v="3"/>
    <s v="Y"/>
    <s v="No"/>
    <n v="13"/>
    <n v="3"/>
    <n v="4"/>
    <n v="80"/>
    <n v="0"/>
    <n v="10"/>
    <n v="4"/>
    <n v="4"/>
    <x v="3"/>
    <n v="7"/>
    <n v="1"/>
    <n v="7"/>
    <x v="2"/>
    <x v="1"/>
    <s v="Active"/>
    <x v="0"/>
  </r>
  <r>
    <n v="44"/>
    <x v="0"/>
    <s v="Travel Rarely"/>
    <n v="1376"/>
    <x v="2"/>
    <n v="1"/>
    <n v="2"/>
    <s v="Medical"/>
    <n v="1"/>
    <x v="789"/>
    <n v="2"/>
    <x v="1"/>
    <n v="91"/>
    <n v="2"/>
    <n v="3"/>
    <x v="8"/>
    <n v="1"/>
    <s v="Married"/>
    <n v="10482"/>
    <n v="2326"/>
    <n v="9"/>
    <s v="Y"/>
    <s v="No"/>
    <n v="14"/>
    <n v="3"/>
    <n v="4"/>
    <n v="80"/>
    <n v="1"/>
    <n v="24"/>
    <n v="1"/>
    <n v="3"/>
    <x v="23"/>
    <n v="6"/>
    <n v="3"/>
    <n v="6"/>
    <x v="0"/>
    <x v="2"/>
    <s v="Resigned"/>
    <x v="0"/>
  </r>
  <r>
    <n v="33"/>
    <x v="1"/>
    <s v="Travel Rarely"/>
    <n v="654"/>
    <x v="1"/>
    <n v="5"/>
    <n v="3"/>
    <s v="Life Sciences"/>
    <n v="1"/>
    <x v="790"/>
    <n v="4"/>
    <x v="1"/>
    <n v="34"/>
    <n v="2"/>
    <n v="3"/>
    <x v="4"/>
    <n v="4"/>
    <s v="Divorced"/>
    <n v="7119"/>
    <n v="21214"/>
    <n v="4"/>
    <s v="Y"/>
    <s v="No"/>
    <n v="15"/>
    <n v="3"/>
    <n v="3"/>
    <n v="80"/>
    <n v="1"/>
    <n v="9"/>
    <n v="2"/>
    <n v="3"/>
    <x v="11"/>
    <n v="2"/>
    <n v="1"/>
    <n v="2"/>
    <x v="1"/>
    <x v="0"/>
    <s v="Active"/>
    <x v="5"/>
  </r>
  <r>
    <n v="35"/>
    <x v="0"/>
    <s v="Travel Rarely"/>
    <n v="1204"/>
    <x v="0"/>
    <n v="4"/>
    <n v="3"/>
    <s v="Technical Degree"/>
    <n v="1"/>
    <x v="791"/>
    <n v="4"/>
    <x v="1"/>
    <n v="86"/>
    <n v="3"/>
    <n v="3"/>
    <x v="0"/>
    <n v="1"/>
    <s v="Single"/>
    <n v="9582"/>
    <n v="10333"/>
    <n v="0"/>
    <s v="Y"/>
    <s v="Yes"/>
    <n v="22"/>
    <n v="4"/>
    <n v="1"/>
    <n v="80"/>
    <n v="0"/>
    <n v="9"/>
    <n v="2"/>
    <n v="3"/>
    <x v="3"/>
    <n v="7"/>
    <n v="4"/>
    <n v="7"/>
    <x v="1"/>
    <x v="0"/>
    <s v="Resigned"/>
    <x v="0"/>
  </r>
  <r>
    <n v="33"/>
    <x v="0"/>
    <s v="Travel Frequently"/>
    <n v="827"/>
    <x v="1"/>
    <n v="29"/>
    <n v="4"/>
    <s v="Medical"/>
    <n v="1"/>
    <x v="792"/>
    <n v="1"/>
    <x v="0"/>
    <n v="54"/>
    <n v="2"/>
    <n v="2"/>
    <x v="1"/>
    <n v="3"/>
    <s v="Single"/>
    <n v="4508"/>
    <n v="3129"/>
    <n v="1"/>
    <s v="Y"/>
    <s v="No"/>
    <n v="22"/>
    <n v="4"/>
    <n v="2"/>
    <n v="80"/>
    <n v="0"/>
    <n v="14"/>
    <n v="4"/>
    <n v="3"/>
    <x v="20"/>
    <n v="7"/>
    <n v="3"/>
    <n v="8"/>
    <x v="1"/>
    <x v="1"/>
    <s v="Resigned"/>
    <x v="0"/>
  </r>
  <r>
    <n v="28"/>
    <x v="1"/>
    <s v="Travel Rarely"/>
    <n v="895"/>
    <x v="1"/>
    <n v="15"/>
    <n v="2"/>
    <s v="Life Sciences"/>
    <n v="1"/>
    <x v="793"/>
    <n v="1"/>
    <x v="1"/>
    <n v="50"/>
    <n v="3"/>
    <n v="1"/>
    <x v="2"/>
    <n v="3"/>
    <s v="Divorced"/>
    <n v="2207"/>
    <n v="22482"/>
    <n v="1"/>
    <s v="Y"/>
    <s v="No"/>
    <n v="16"/>
    <n v="3"/>
    <n v="4"/>
    <n v="80"/>
    <n v="1"/>
    <n v="4"/>
    <n v="5"/>
    <n v="2"/>
    <x v="9"/>
    <n v="2"/>
    <n v="2"/>
    <n v="2"/>
    <x v="2"/>
    <x v="1"/>
    <s v="Active"/>
    <x v="4"/>
  </r>
  <r>
    <n v="34"/>
    <x v="1"/>
    <s v="Travel Frequently"/>
    <n v="618"/>
    <x v="1"/>
    <n v="3"/>
    <n v="1"/>
    <s v="Life Sciences"/>
    <n v="1"/>
    <x v="794"/>
    <n v="1"/>
    <x v="1"/>
    <n v="45"/>
    <n v="3"/>
    <n v="2"/>
    <x v="4"/>
    <n v="4"/>
    <s v="Single"/>
    <n v="7756"/>
    <n v="22266"/>
    <n v="0"/>
    <s v="Y"/>
    <s v="No"/>
    <n v="17"/>
    <n v="3"/>
    <n v="3"/>
    <n v="80"/>
    <n v="0"/>
    <n v="7"/>
    <n v="1"/>
    <n v="2"/>
    <x v="0"/>
    <n v="2"/>
    <n v="0"/>
    <n v="4"/>
    <x v="1"/>
    <x v="0"/>
    <s v="Active"/>
    <x v="0"/>
  </r>
  <r>
    <n v="37"/>
    <x v="1"/>
    <s v="Travel Rarely"/>
    <n v="309"/>
    <x v="0"/>
    <n v="10"/>
    <n v="4"/>
    <s v="Life Sciences"/>
    <n v="1"/>
    <x v="795"/>
    <n v="4"/>
    <x v="0"/>
    <n v="88"/>
    <n v="2"/>
    <n v="2"/>
    <x v="0"/>
    <n v="4"/>
    <s v="Divorced"/>
    <n v="6694"/>
    <n v="24223"/>
    <n v="2"/>
    <s v="Y"/>
    <s v="Yes"/>
    <n v="14"/>
    <n v="3"/>
    <n v="3"/>
    <n v="80"/>
    <n v="3"/>
    <n v="8"/>
    <n v="5"/>
    <n v="3"/>
    <x v="6"/>
    <n v="0"/>
    <n v="0"/>
    <n v="0"/>
    <x v="1"/>
    <x v="0"/>
    <s v="Active"/>
    <x v="1"/>
  </r>
  <r>
    <n v="25"/>
    <x v="0"/>
    <s v="Travel Rarely"/>
    <n v="1219"/>
    <x v="1"/>
    <n v="4"/>
    <n v="1"/>
    <s v="Technical Degree"/>
    <n v="1"/>
    <x v="796"/>
    <n v="4"/>
    <x v="1"/>
    <n v="32"/>
    <n v="3"/>
    <n v="1"/>
    <x v="2"/>
    <n v="4"/>
    <s v="Married"/>
    <n v="3691"/>
    <n v="4605"/>
    <n v="1"/>
    <s v="Y"/>
    <s v="Yes"/>
    <n v="15"/>
    <n v="3"/>
    <n v="2"/>
    <n v="80"/>
    <n v="1"/>
    <n v="7"/>
    <n v="3"/>
    <n v="4"/>
    <x v="5"/>
    <n v="7"/>
    <n v="5"/>
    <n v="6"/>
    <x v="2"/>
    <x v="1"/>
    <s v="Resigned"/>
    <x v="0"/>
  </r>
  <r>
    <n v="26"/>
    <x v="0"/>
    <s v="Travel Rarely"/>
    <n v="1330"/>
    <x v="1"/>
    <n v="21"/>
    <n v="3"/>
    <s v="Medical"/>
    <n v="1"/>
    <x v="797"/>
    <n v="1"/>
    <x v="1"/>
    <n v="37"/>
    <n v="3"/>
    <n v="1"/>
    <x v="2"/>
    <n v="3"/>
    <s v="Divorced"/>
    <n v="2377"/>
    <n v="19373"/>
    <n v="1"/>
    <s v="Y"/>
    <s v="No"/>
    <n v="20"/>
    <n v="4"/>
    <n v="3"/>
    <n v="80"/>
    <n v="1"/>
    <n v="1"/>
    <n v="0"/>
    <n v="2"/>
    <x v="6"/>
    <n v="1"/>
    <n v="0"/>
    <n v="0"/>
    <x v="2"/>
    <x v="1"/>
    <s v="Resigned"/>
    <x v="1"/>
  </r>
  <r>
    <n v="33"/>
    <x v="0"/>
    <s v="Travel Rarely"/>
    <n v="1017"/>
    <x v="1"/>
    <n v="25"/>
    <n v="3"/>
    <s v="Medical"/>
    <n v="1"/>
    <x v="798"/>
    <n v="1"/>
    <x v="1"/>
    <n v="55"/>
    <n v="2"/>
    <n v="1"/>
    <x v="1"/>
    <n v="2"/>
    <s v="Single"/>
    <n v="2313"/>
    <n v="2993"/>
    <n v="4"/>
    <s v="Y"/>
    <s v="Yes"/>
    <n v="20"/>
    <n v="4"/>
    <n v="2"/>
    <n v="80"/>
    <n v="0"/>
    <n v="5"/>
    <n v="0"/>
    <n v="3"/>
    <x v="4"/>
    <n v="2"/>
    <n v="2"/>
    <n v="2"/>
    <x v="1"/>
    <x v="1"/>
    <s v="Resigned"/>
    <x v="2"/>
  </r>
  <r>
    <n v="42"/>
    <x v="1"/>
    <s v="Travel Rarely"/>
    <n v="469"/>
    <x v="1"/>
    <n v="2"/>
    <n v="2"/>
    <s v="Medical"/>
    <n v="1"/>
    <x v="799"/>
    <n v="4"/>
    <x v="1"/>
    <n v="35"/>
    <n v="3"/>
    <n v="4"/>
    <x v="5"/>
    <n v="1"/>
    <s v="Married"/>
    <n v="17665"/>
    <n v="14399"/>
    <n v="0"/>
    <s v="Y"/>
    <s v="No"/>
    <n v="17"/>
    <n v="3"/>
    <n v="4"/>
    <n v="80"/>
    <n v="1"/>
    <n v="23"/>
    <n v="3"/>
    <n v="3"/>
    <x v="14"/>
    <n v="6"/>
    <n v="13"/>
    <n v="7"/>
    <x v="0"/>
    <x v="2"/>
    <s v="Active"/>
    <x v="0"/>
  </r>
  <r>
    <n v="28"/>
    <x v="0"/>
    <s v="Travel Frequently"/>
    <n v="1009"/>
    <x v="1"/>
    <n v="1"/>
    <n v="3"/>
    <s v="Medical"/>
    <n v="1"/>
    <x v="800"/>
    <n v="1"/>
    <x v="1"/>
    <n v="45"/>
    <n v="2"/>
    <n v="1"/>
    <x v="2"/>
    <n v="2"/>
    <s v="Divorced"/>
    <n v="2596"/>
    <n v="7160"/>
    <n v="1"/>
    <s v="Y"/>
    <s v="No"/>
    <n v="15"/>
    <n v="3"/>
    <n v="1"/>
    <n v="80"/>
    <n v="2"/>
    <n v="1"/>
    <n v="2"/>
    <n v="3"/>
    <x v="6"/>
    <n v="0"/>
    <n v="0"/>
    <n v="0"/>
    <x v="2"/>
    <x v="1"/>
    <s v="Resigned"/>
    <x v="1"/>
  </r>
  <r>
    <n v="50"/>
    <x v="0"/>
    <s v="Travel Frequently"/>
    <n v="959"/>
    <x v="0"/>
    <n v="1"/>
    <n v="4"/>
    <s v="Other"/>
    <n v="1"/>
    <x v="801"/>
    <n v="4"/>
    <x v="1"/>
    <n v="81"/>
    <n v="3"/>
    <n v="2"/>
    <x v="0"/>
    <n v="3"/>
    <s v="Single"/>
    <n v="4728"/>
    <n v="17251"/>
    <n v="3"/>
    <s v="Y"/>
    <s v="Yes"/>
    <n v="14"/>
    <n v="3"/>
    <n v="4"/>
    <n v="80"/>
    <n v="0"/>
    <n v="5"/>
    <n v="4"/>
    <n v="3"/>
    <x v="2"/>
    <n v="0"/>
    <n v="0"/>
    <n v="0"/>
    <x v="0"/>
    <x v="1"/>
    <s v="Resigned"/>
    <x v="1"/>
  </r>
  <r>
    <n v="33"/>
    <x v="1"/>
    <s v="Travel Frequently"/>
    <n v="970"/>
    <x v="0"/>
    <n v="7"/>
    <n v="3"/>
    <s v="Life Sciences"/>
    <n v="1"/>
    <x v="802"/>
    <n v="4"/>
    <x v="0"/>
    <n v="30"/>
    <n v="3"/>
    <n v="2"/>
    <x v="0"/>
    <n v="2"/>
    <s v="Married"/>
    <n v="4302"/>
    <n v="13401"/>
    <n v="0"/>
    <s v="Y"/>
    <s v="No"/>
    <n v="17"/>
    <n v="3"/>
    <n v="3"/>
    <n v="80"/>
    <n v="1"/>
    <n v="4"/>
    <n v="3"/>
    <n v="3"/>
    <x v="11"/>
    <n v="2"/>
    <n v="0"/>
    <n v="2"/>
    <x v="1"/>
    <x v="1"/>
    <s v="Active"/>
    <x v="5"/>
  </r>
  <r>
    <n v="34"/>
    <x v="1"/>
    <s v="Non Travel"/>
    <n v="697"/>
    <x v="1"/>
    <n v="3"/>
    <n v="4"/>
    <s v="Life Sciences"/>
    <n v="1"/>
    <x v="803"/>
    <n v="3"/>
    <x v="1"/>
    <n v="40"/>
    <n v="2"/>
    <n v="1"/>
    <x v="1"/>
    <n v="4"/>
    <s v="Married"/>
    <n v="2979"/>
    <n v="22478"/>
    <n v="3"/>
    <s v="Y"/>
    <s v="No"/>
    <n v="17"/>
    <n v="3"/>
    <n v="4"/>
    <n v="80"/>
    <n v="3"/>
    <n v="6"/>
    <n v="2"/>
    <n v="3"/>
    <x v="2"/>
    <n v="0"/>
    <n v="0"/>
    <n v="0"/>
    <x v="1"/>
    <x v="1"/>
    <s v="Active"/>
    <x v="1"/>
  </r>
  <r>
    <n v="48"/>
    <x v="1"/>
    <s v="Non Travel"/>
    <n v="1262"/>
    <x v="1"/>
    <n v="1"/>
    <n v="4"/>
    <s v="Medical"/>
    <n v="1"/>
    <x v="804"/>
    <n v="1"/>
    <x v="1"/>
    <n v="35"/>
    <n v="4"/>
    <n v="4"/>
    <x v="5"/>
    <n v="4"/>
    <s v="Single"/>
    <n v="16885"/>
    <n v="16154"/>
    <n v="2"/>
    <s v="Y"/>
    <s v="No"/>
    <n v="22"/>
    <n v="4"/>
    <n v="3"/>
    <n v="80"/>
    <n v="0"/>
    <n v="27"/>
    <n v="3"/>
    <n v="2"/>
    <x v="8"/>
    <n v="4"/>
    <n v="2"/>
    <n v="1"/>
    <x v="0"/>
    <x v="2"/>
    <s v="Active"/>
    <x v="3"/>
  </r>
  <r>
    <n v="45"/>
    <x v="1"/>
    <s v="Non Travel"/>
    <n v="1050"/>
    <x v="0"/>
    <n v="9"/>
    <n v="4"/>
    <s v="Life Sciences"/>
    <n v="1"/>
    <x v="805"/>
    <n v="2"/>
    <x v="0"/>
    <n v="65"/>
    <n v="2"/>
    <n v="2"/>
    <x v="0"/>
    <n v="3"/>
    <s v="Married"/>
    <n v="5593"/>
    <n v="17970"/>
    <n v="1"/>
    <s v="Y"/>
    <s v="No"/>
    <n v="13"/>
    <n v="3"/>
    <n v="4"/>
    <n v="80"/>
    <n v="1"/>
    <n v="15"/>
    <n v="2"/>
    <n v="3"/>
    <x v="15"/>
    <n v="10"/>
    <n v="4"/>
    <n v="12"/>
    <x v="0"/>
    <x v="0"/>
    <s v="Active"/>
    <x v="0"/>
  </r>
  <r>
    <n v="52"/>
    <x v="1"/>
    <s v="Travel Rarely"/>
    <n v="994"/>
    <x v="1"/>
    <n v="7"/>
    <n v="4"/>
    <s v="Life Sciences"/>
    <n v="1"/>
    <x v="806"/>
    <n v="2"/>
    <x v="1"/>
    <n v="87"/>
    <n v="3"/>
    <n v="3"/>
    <x v="4"/>
    <n v="2"/>
    <s v="Single"/>
    <n v="10445"/>
    <n v="15322"/>
    <n v="7"/>
    <s v="Y"/>
    <s v="No"/>
    <n v="19"/>
    <n v="3"/>
    <n v="4"/>
    <n v="80"/>
    <n v="0"/>
    <n v="18"/>
    <n v="4"/>
    <n v="3"/>
    <x v="3"/>
    <n v="6"/>
    <n v="4"/>
    <n v="0"/>
    <x v="0"/>
    <x v="2"/>
    <s v="Active"/>
    <x v="0"/>
  </r>
  <r>
    <n v="38"/>
    <x v="1"/>
    <s v="Travel Rarely"/>
    <n v="770"/>
    <x v="0"/>
    <n v="10"/>
    <n v="4"/>
    <s v="Marketing"/>
    <n v="1"/>
    <x v="807"/>
    <n v="3"/>
    <x v="1"/>
    <n v="73"/>
    <n v="2"/>
    <n v="3"/>
    <x v="0"/>
    <n v="3"/>
    <s v="Divorced"/>
    <n v="8740"/>
    <n v="5569"/>
    <n v="0"/>
    <s v="Y"/>
    <s v="Yes"/>
    <n v="14"/>
    <n v="3"/>
    <n v="2"/>
    <n v="80"/>
    <n v="2"/>
    <n v="9"/>
    <n v="2"/>
    <n v="3"/>
    <x v="3"/>
    <n v="7"/>
    <n v="2"/>
    <n v="7"/>
    <x v="1"/>
    <x v="0"/>
    <s v="Active"/>
    <x v="0"/>
  </r>
  <r>
    <n v="29"/>
    <x v="1"/>
    <s v="Travel Rarely"/>
    <n v="1107"/>
    <x v="1"/>
    <n v="28"/>
    <n v="4"/>
    <s v="Life Sciences"/>
    <n v="1"/>
    <x v="808"/>
    <n v="3"/>
    <x v="0"/>
    <n v="93"/>
    <n v="3"/>
    <n v="1"/>
    <x v="1"/>
    <n v="4"/>
    <s v="Divorced"/>
    <n v="2514"/>
    <n v="26968"/>
    <n v="4"/>
    <s v="Y"/>
    <s v="No"/>
    <n v="22"/>
    <n v="4"/>
    <n v="1"/>
    <n v="80"/>
    <n v="1"/>
    <n v="11"/>
    <n v="1"/>
    <n v="3"/>
    <x v="5"/>
    <n v="5"/>
    <n v="1"/>
    <n v="7"/>
    <x v="2"/>
    <x v="1"/>
    <s v="Active"/>
    <x v="0"/>
  </r>
  <r>
    <n v="28"/>
    <x v="1"/>
    <s v="Travel Rarely"/>
    <n v="950"/>
    <x v="1"/>
    <n v="3"/>
    <n v="3"/>
    <s v="Medical"/>
    <n v="1"/>
    <x v="809"/>
    <n v="4"/>
    <x v="0"/>
    <n v="93"/>
    <n v="3"/>
    <n v="3"/>
    <x v="3"/>
    <n v="2"/>
    <s v="Divorced"/>
    <n v="7655"/>
    <n v="8039"/>
    <n v="0"/>
    <s v="Y"/>
    <s v="No"/>
    <n v="17"/>
    <n v="3"/>
    <n v="2"/>
    <n v="80"/>
    <n v="3"/>
    <n v="10"/>
    <n v="3"/>
    <n v="2"/>
    <x v="7"/>
    <n v="7"/>
    <n v="1"/>
    <n v="7"/>
    <x v="2"/>
    <x v="0"/>
    <s v="Active"/>
    <x v="0"/>
  </r>
  <r>
    <n v="46"/>
    <x v="1"/>
    <s v="Travel Rarely"/>
    <n v="406"/>
    <x v="0"/>
    <n v="3"/>
    <n v="1"/>
    <s v="Marketing"/>
    <n v="1"/>
    <x v="810"/>
    <n v="1"/>
    <x v="1"/>
    <n v="52"/>
    <n v="3"/>
    <n v="4"/>
    <x v="5"/>
    <n v="3"/>
    <s v="Married"/>
    <n v="17465"/>
    <n v="15596"/>
    <n v="3"/>
    <s v="Y"/>
    <s v="No"/>
    <n v="12"/>
    <n v="3"/>
    <n v="4"/>
    <n v="80"/>
    <n v="1"/>
    <n v="23"/>
    <n v="3"/>
    <n v="3"/>
    <x v="12"/>
    <n v="9"/>
    <n v="4"/>
    <n v="9"/>
    <x v="0"/>
    <x v="2"/>
    <s v="Active"/>
    <x v="0"/>
  </r>
  <r>
    <n v="38"/>
    <x v="1"/>
    <s v="Travel Rarely"/>
    <n v="130"/>
    <x v="0"/>
    <n v="2"/>
    <n v="2"/>
    <s v="Marketing"/>
    <n v="1"/>
    <x v="811"/>
    <n v="4"/>
    <x v="1"/>
    <n v="32"/>
    <n v="3"/>
    <n v="3"/>
    <x v="0"/>
    <n v="2"/>
    <s v="Single"/>
    <n v="7351"/>
    <n v="20619"/>
    <n v="7"/>
    <s v="Y"/>
    <s v="No"/>
    <n v="16"/>
    <n v="3"/>
    <n v="3"/>
    <n v="80"/>
    <n v="0"/>
    <n v="10"/>
    <n v="2"/>
    <n v="3"/>
    <x v="6"/>
    <n v="0"/>
    <n v="0"/>
    <n v="0"/>
    <x v="1"/>
    <x v="0"/>
    <s v="Active"/>
    <x v="1"/>
  </r>
  <r>
    <n v="43"/>
    <x v="1"/>
    <s v="Travel Frequently"/>
    <n v="1082"/>
    <x v="1"/>
    <n v="27"/>
    <n v="3"/>
    <s v="Life Sciences"/>
    <n v="1"/>
    <x v="812"/>
    <n v="3"/>
    <x v="0"/>
    <n v="83"/>
    <n v="3"/>
    <n v="3"/>
    <x v="3"/>
    <n v="1"/>
    <s v="Married"/>
    <n v="10820"/>
    <n v="11535"/>
    <n v="8"/>
    <s v="Y"/>
    <s v="No"/>
    <n v="11"/>
    <n v="3"/>
    <n v="3"/>
    <n v="80"/>
    <n v="1"/>
    <n v="18"/>
    <n v="1"/>
    <n v="3"/>
    <x v="3"/>
    <n v="7"/>
    <n v="0"/>
    <n v="1"/>
    <x v="0"/>
    <x v="2"/>
    <s v="Active"/>
    <x v="0"/>
  </r>
  <r>
    <n v="39"/>
    <x v="0"/>
    <s v="Travel Frequently"/>
    <n v="203"/>
    <x v="1"/>
    <n v="2"/>
    <n v="3"/>
    <s v="Life Sciences"/>
    <n v="1"/>
    <x v="813"/>
    <n v="1"/>
    <x v="1"/>
    <n v="84"/>
    <n v="3"/>
    <n v="4"/>
    <x v="4"/>
    <n v="4"/>
    <s v="Divorced"/>
    <n v="12169"/>
    <n v="13547"/>
    <n v="7"/>
    <s v="Y"/>
    <s v="No"/>
    <n v="11"/>
    <n v="3"/>
    <n v="4"/>
    <n v="80"/>
    <n v="3"/>
    <n v="21"/>
    <n v="4"/>
    <n v="3"/>
    <x v="29"/>
    <n v="7"/>
    <n v="11"/>
    <n v="5"/>
    <x v="1"/>
    <x v="2"/>
    <s v="Resigned"/>
    <x v="0"/>
  </r>
  <r>
    <n v="40"/>
    <x v="1"/>
    <s v="Travel Rarely"/>
    <n v="1308"/>
    <x v="1"/>
    <n v="14"/>
    <n v="3"/>
    <s v="Medical"/>
    <n v="1"/>
    <x v="814"/>
    <n v="3"/>
    <x v="1"/>
    <n v="44"/>
    <n v="2"/>
    <n v="5"/>
    <x v="7"/>
    <n v="3"/>
    <s v="Single"/>
    <n v="19626"/>
    <n v="17544"/>
    <n v="1"/>
    <s v="Y"/>
    <s v="No"/>
    <n v="14"/>
    <n v="3"/>
    <n v="1"/>
    <n v="80"/>
    <n v="0"/>
    <n v="21"/>
    <n v="2"/>
    <n v="4"/>
    <x v="23"/>
    <n v="7"/>
    <n v="4"/>
    <n v="9"/>
    <x v="1"/>
    <x v="2"/>
    <s v="Active"/>
    <x v="0"/>
  </r>
  <r>
    <n v="21"/>
    <x v="1"/>
    <s v="Travel Rarely"/>
    <n v="984"/>
    <x v="1"/>
    <n v="1"/>
    <n v="1"/>
    <s v="Technical Degree"/>
    <n v="1"/>
    <x v="815"/>
    <n v="4"/>
    <x v="0"/>
    <n v="70"/>
    <n v="2"/>
    <n v="1"/>
    <x v="1"/>
    <n v="2"/>
    <s v="Single"/>
    <n v="2070"/>
    <n v="25326"/>
    <n v="1"/>
    <s v="Y"/>
    <s v="Yes"/>
    <n v="11"/>
    <n v="3"/>
    <n v="3"/>
    <n v="80"/>
    <n v="0"/>
    <n v="2"/>
    <n v="6"/>
    <n v="4"/>
    <x v="4"/>
    <n v="2"/>
    <n v="2"/>
    <n v="2"/>
    <x v="2"/>
    <x v="1"/>
    <s v="Active"/>
    <x v="2"/>
  </r>
  <r>
    <n v="39"/>
    <x v="1"/>
    <s v="Non Travel"/>
    <n v="439"/>
    <x v="1"/>
    <n v="9"/>
    <n v="3"/>
    <s v="Life Sciences"/>
    <n v="1"/>
    <x v="816"/>
    <n v="3"/>
    <x v="1"/>
    <n v="70"/>
    <n v="3"/>
    <n v="2"/>
    <x v="2"/>
    <n v="2"/>
    <s v="Single"/>
    <n v="6782"/>
    <n v="8770"/>
    <n v="9"/>
    <s v="Y"/>
    <s v="No"/>
    <n v="15"/>
    <n v="3"/>
    <n v="3"/>
    <n v="80"/>
    <n v="0"/>
    <n v="9"/>
    <n v="2"/>
    <n v="2"/>
    <x v="8"/>
    <n v="4"/>
    <n v="0"/>
    <n v="3"/>
    <x v="1"/>
    <x v="0"/>
    <s v="Active"/>
    <x v="3"/>
  </r>
  <r>
    <n v="36"/>
    <x v="1"/>
    <s v="Non Travel"/>
    <n v="217"/>
    <x v="1"/>
    <n v="18"/>
    <n v="4"/>
    <s v="Life Sciences"/>
    <n v="1"/>
    <x v="817"/>
    <n v="1"/>
    <x v="1"/>
    <n v="78"/>
    <n v="3"/>
    <n v="2"/>
    <x v="3"/>
    <n v="4"/>
    <s v="Single"/>
    <n v="7779"/>
    <n v="23238"/>
    <n v="2"/>
    <s v="Y"/>
    <s v="No"/>
    <n v="20"/>
    <n v="4"/>
    <n v="1"/>
    <n v="80"/>
    <n v="0"/>
    <n v="18"/>
    <n v="0"/>
    <n v="3"/>
    <x v="19"/>
    <n v="9"/>
    <n v="0"/>
    <n v="9"/>
    <x v="1"/>
    <x v="0"/>
    <s v="Active"/>
    <x v="0"/>
  </r>
  <r>
    <n v="31"/>
    <x v="1"/>
    <s v="Travel Frequently"/>
    <n v="793"/>
    <x v="0"/>
    <n v="20"/>
    <n v="3"/>
    <s v="Life Sciences"/>
    <n v="1"/>
    <x v="818"/>
    <n v="3"/>
    <x v="1"/>
    <n v="67"/>
    <n v="4"/>
    <n v="1"/>
    <x v="6"/>
    <n v="4"/>
    <s v="Married"/>
    <n v="2791"/>
    <n v="21981"/>
    <n v="0"/>
    <s v="Y"/>
    <s v="No"/>
    <n v="12"/>
    <n v="3"/>
    <n v="1"/>
    <n v="80"/>
    <n v="1"/>
    <n v="3"/>
    <n v="4"/>
    <n v="3"/>
    <x v="4"/>
    <n v="2"/>
    <n v="2"/>
    <n v="2"/>
    <x v="1"/>
    <x v="1"/>
    <s v="Active"/>
    <x v="2"/>
  </r>
  <r>
    <n v="28"/>
    <x v="1"/>
    <s v="Travel Rarely"/>
    <n v="1451"/>
    <x v="1"/>
    <n v="2"/>
    <n v="1"/>
    <s v="Life Sciences"/>
    <n v="1"/>
    <x v="819"/>
    <n v="1"/>
    <x v="1"/>
    <n v="67"/>
    <n v="2"/>
    <n v="1"/>
    <x v="1"/>
    <n v="2"/>
    <s v="Married"/>
    <n v="3201"/>
    <n v="19911"/>
    <n v="0"/>
    <s v="Y"/>
    <s v="No"/>
    <n v="17"/>
    <n v="3"/>
    <n v="1"/>
    <n v="80"/>
    <n v="0"/>
    <n v="6"/>
    <n v="2"/>
    <n v="1"/>
    <x v="8"/>
    <n v="3"/>
    <n v="0"/>
    <n v="4"/>
    <x v="2"/>
    <x v="1"/>
    <s v="Active"/>
    <x v="3"/>
  </r>
  <r>
    <n v="35"/>
    <x v="1"/>
    <s v="Travel Frequently"/>
    <n v="1182"/>
    <x v="0"/>
    <n v="11"/>
    <n v="2"/>
    <s v="Marketing"/>
    <n v="1"/>
    <x v="820"/>
    <n v="4"/>
    <x v="1"/>
    <n v="54"/>
    <n v="3"/>
    <n v="2"/>
    <x v="0"/>
    <n v="4"/>
    <s v="Divorced"/>
    <n v="4968"/>
    <n v="18500"/>
    <n v="1"/>
    <s v="Y"/>
    <s v="No"/>
    <n v="11"/>
    <n v="3"/>
    <n v="4"/>
    <n v="80"/>
    <n v="1"/>
    <n v="5"/>
    <n v="3"/>
    <n v="3"/>
    <x v="8"/>
    <n v="2"/>
    <n v="0"/>
    <n v="2"/>
    <x v="1"/>
    <x v="1"/>
    <s v="Active"/>
    <x v="3"/>
  </r>
  <r>
    <n v="49"/>
    <x v="1"/>
    <s v="Travel Rarely"/>
    <n v="174"/>
    <x v="0"/>
    <n v="8"/>
    <n v="4"/>
    <s v="Technical Degree"/>
    <n v="1"/>
    <x v="821"/>
    <n v="4"/>
    <x v="1"/>
    <n v="56"/>
    <n v="2"/>
    <n v="4"/>
    <x v="0"/>
    <n v="2"/>
    <s v="Married"/>
    <n v="13120"/>
    <n v="11879"/>
    <n v="6"/>
    <s v="Y"/>
    <s v="No"/>
    <n v="17"/>
    <n v="3"/>
    <n v="2"/>
    <n v="80"/>
    <n v="1"/>
    <n v="22"/>
    <n v="3"/>
    <n v="3"/>
    <x v="7"/>
    <n v="8"/>
    <n v="2"/>
    <n v="3"/>
    <x v="0"/>
    <x v="2"/>
    <s v="Active"/>
    <x v="0"/>
  </r>
  <r>
    <n v="34"/>
    <x v="1"/>
    <s v="Travel Frequently"/>
    <n v="1003"/>
    <x v="1"/>
    <n v="2"/>
    <n v="2"/>
    <s v="Life Sciences"/>
    <n v="1"/>
    <x v="822"/>
    <n v="4"/>
    <x v="1"/>
    <n v="95"/>
    <n v="3"/>
    <n v="2"/>
    <x v="3"/>
    <n v="3"/>
    <s v="Single"/>
    <n v="4033"/>
    <n v="15834"/>
    <n v="2"/>
    <s v="Y"/>
    <s v="No"/>
    <n v="11"/>
    <n v="3"/>
    <n v="4"/>
    <n v="80"/>
    <n v="0"/>
    <n v="5"/>
    <n v="3"/>
    <n v="2"/>
    <x v="11"/>
    <n v="2"/>
    <n v="0"/>
    <n v="2"/>
    <x v="1"/>
    <x v="1"/>
    <s v="Active"/>
    <x v="5"/>
  </r>
  <r>
    <n v="29"/>
    <x v="1"/>
    <s v="Travel Frequently"/>
    <n v="490"/>
    <x v="1"/>
    <n v="10"/>
    <n v="3"/>
    <s v="Life Sciences"/>
    <n v="1"/>
    <x v="823"/>
    <n v="4"/>
    <x v="0"/>
    <n v="61"/>
    <n v="3"/>
    <n v="1"/>
    <x v="1"/>
    <n v="2"/>
    <s v="Divorced"/>
    <n v="3291"/>
    <n v="17940"/>
    <n v="0"/>
    <s v="Y"/>
    <s v="No"/>
    <n v="14"/>
    <n v="3"/>
    <n v="4"/>
    <n v="80"/>
    <n v="2"/>
    <n v="8"/>
    <n v="2"/>
    <n v="2"/>
    <x v="5"/>
    <n v="5"/>
    <n v="1"/>
    <n v="1"/>
    <x v="2"/>
    <x v="1"/>
    <s v="Active"/>
    <x v="0"/>
  </r>
  <r>
    <n v="42"/>
    <x v="1"/>
    <s v="Travel Rarely"/>
    <n v="188"/>
    <x v="1"/>
    <n v="29"/>
    <n v="3"/>
    <s v="Medical"/>
    <n v="1"/>
    <x v="824"/>
    <n v="2"/>
    <x v="1"/>
    <n v="56"/>
    <n v="1"/>
    <n v="2"/>
    <x v="2"/>
    <n v="4"/>
    <s v="Single"/>
    <n v="4272"/>
    <n v="9558"/>
    <n v="4"/>
    <s v="Y"/>
    <s v="No"/>
    <n v="19"/>
    <n v="3"/>
    <n v="1"/>
    <n v="80"/>
    <n v="0"/>
    <n v="16"/>
    <n v="3"/>
    <n v="3"/>
    <x v="6"/>
    <n v="0"/>
    <n v="0"/>
    <n v="0"/>
    <x v="0"/>
    <x v="1"/>
    <s v="Active"/>
    <x v="1"/>
  </r>
  <r>
    <n v="29"/>
    <x v="1"/>
    <s v="Travel Rarely"/>
    <n v="718"/>
    <x v="1"/>
    <n v="8"/>
    <n v="1"/>
    <s v="Medical"/>
    <n v="1"/>
    <x v="825"/>
    <n v="2"/>
    <x v="1"/>
    <n v="79"/>
    <n v="2"/>
    <n v="2"/>
    <x v="3"/>
    <n v="4"/>
    <s v="Married"/>
    <n v="5056"/>
    <n v="17689"/>
    <n v="1"/>
    <s v="Y"/>
    <s v="Yes"/>
    <n v="15"/>
    <n v="3"/>
    <n v="3"/>
    <n v="80"/>
    <n v="1"/>
    <n v="10"/>
    <n v="2"/>
    <n v="2"/>
    <x v="1"/>
    <n v="7"/>
    <n v="1"/>
    <n v="2"/>
    <x v="2"/>
    <x v="0"/>
    <s v="Active"/>
    <x v="0"/>
  </r>
  <r>
    <n v="38"/>
    <x v="1"/>
    <s v="Travel Rarely"/>
    <n v="433"/>
    <x v="2"/>
    <n v="1"/>
    <n v="3"/>
    <s v="Human Resources"/>
    <n v="1"/>
    <x v="826"/>
    <n v="3"/>
    <x v="1"/>
    <n v="37"/>
    <n v="4"/>
    <n v="1"/>
    <x v="8"/>
    <n v="3"/>
    <s v="Married"/>
    <n v="2844"/>
    <n v="6004"/>
    <n v="1"/>
    <s v="Y"/>
    <s v="No"/>
    <n v="13"/>
    <n v="3"/>
    <n v="4"/>
    <n v="80"/>
    <n v="1"/>
    <n v="7"/>
    <n v="2"/>
    <n v="4"/>
    <x v="5"/>
    <n v="6"/>
    <n v="5"/>
    <n v="0"/>
    <x v="1"/>
    <x v="1"/>
    <s v="Active"/>
    <x v="0"/>
  </r>
  <r>
    <n v="28"/>
    <x v="1"/>
    <s v="Travel Frequently"/>
    <n v="773"/>
    <x v="1"/>
    <n v="6"/>
    <n v="3"/>
    <s v="Life Sciences"/>
    <n v="1"/>
    <x v="827"/>
    <n v="3"/>
    <x v="1"/>
    <n v="39"/>
    <n v="2"/>
    <n v="1"/>
    <x v="1"/>
    <n v="3"/>
    <s v="Divorced"/>
    <n v="2703"/>
    <n v="22088"/>
    <n v="1"/>
    <s v="Y"/>
    <s v="Yes"/>
    <n v="14"/>
    <n v="3"/>
    <n v="4"/>
    <n v="80"/>
    <n v="1"/>
    <n v="3"/>
    <n v="2"/>
    <n v="3"/>
    <x v="11"/>
    <n v="1"/>
    <n v="0"/>
    <n v="2"/>
    <x v="2"/>
    <x v="1"/>
    <s v="Active"/>
    <x v="5"/>
  </r>
  <r>
    <n v="18"/>
    <x v="0"/>
    <s v="Non Travel"/>
    <n v="247"/>
    <x v="1"/>
    <n v="8"/>
    <n v="1"/>
    <s v="Medical"/>
    <n v="1"/>
    <x v="828"/>
    <n v="3"/>
    <x v="1"/>
    <n v="80"/>
    <n v="3"/>
    <n v="1"/>
    <x v="2"/>
    <n v="3"/>
    <s v="Single"/>
    <n v="1904"/>
    <n v="13556"/>
    <n v="1"/>
    <s v="Y"/>
    <s v="No"/>
    <n v="12"/>
    <n v="3"/>
    <n v="4"/>
    <n v="80"/>
    <n v="0"/>
    <n v="0"/>
    <n v="0"/>
    <n v="3"/>
    <x v="2"/>
    <n v="0"/>
    <n v="0"/>
    <n v="0"/>
    <x v="2"/>
    <x v="1"/>
    <s v="Resigned"/>
    <x v="1"/>
  </r>
  <r>
    <n v="33"/>
    <x v="0"/>
    <s v="Travel Rarely"/>
    <n v="603"/>
    <x v="0"/>
    <n v="9"/>
    <n v="4"/>
    <s v="Marketing"/>
    <n v="1"/>
    <x v="829"/>
    <n v="1"/>
    <x v="0"/>
    <n v="77"/>
    <n v="3"/>
    <n v="2"/>
    <x v="0"/>
    <n v="1"/>
    <s v="Single"/>
    <n v="8224"/>
    <n v="18385"/>
    <n v="0"/>
    <s v="Y"/>
    <s v="Yes"/>
    <n v="17"/>
    <n v="3"/>
    <n v="1"/>
    <n v="80"/>
    <n v="0"/>
    <n v="6"/>
    <n v="3"/>
    <n v="3"/>
    <x v="8"/>
    <n v="2"/>
    <n v="0"/>
    <n v="3"/>
    <x v="1"/>
    <x v="0"/>
    <s v="Resigned"/>
    <x v="3"/>
  </r>
  <r>
    <n v="41"/>
    <x v="1"/>
    <s v="Travel Rarely"/>
    <n v="167"/>
    <x v="1"/>
    <n v="12"/>
    <n v="4"/>
    <s v="Life Sciences"/>
    <n v="1"/>
    <x v="830"/>
    <n v="2"/>
    <x v="1"/>
    <n v="46"/>
    <n v="3"/>
    <n v="1"/>
    <x v="2"/>
    <n v="4"/>
    <s v="Married"/>
    <n v="4766"/>
    <n v="9051"/>
    <n v="3"/>
    <s v="Y"/>
    <s v="Yes"/>
    <n v="11"/>
    <n v="3"/>
    <n v="1"/>
    <n v="80"/>
    <n v="1"/>
    <n v="6"/>
    <n v="4"/>
    <n v="3"/>
    <x v="6"/>
    <n v="0"/>
    <n v="0"/>
    <n v="0"/>
    <x v="0"/>
    <x v="1"/>
    <s v="Active"/>
    <x v="1"/>
  </r>
  <r>
    <n v="31"/>
    <x v="0"/>
    <s v="Travel Frequently"/>
    <n v="874"/>
    <x v="1"/>
    <n v="15"/>
    <n v="3"/>
    <s v="Medical"/>
    <n v="1"/>
    <x v="831"/>
    <n v="3"/>
    <x v="1"/>
    <n v="72"/>
    <n v="3"/>
    <n v="1"/>
    <x v="2"/>
    <n v="3"/>
    <s v="Married"/>
    <n v="2610"/>
    <n v="6233"/>
    <n v="1"/>
    <s v="Y"/>
    <s v="No"/>
    <n v="12"/>
    <n v="3"/>
    <n v="3"/>
    <n v="80"/>
    <n v="1"/>
    <n v="2"/>
    <n v="5"/>
    <n v="2"/>
    <x v="4"/>
    <n v="2"/>
    <n v="2"/>
    <n v="2"/>
    <x v="1"/>
    <x v="1"/>
    <s v="Resigned"/>
    <x v="2"/>
  </r>
  <r>
    <n v="37"/>
    <x v="1"/>
    <s v="Travel Rarely"/>
    <n v="367"/>
    <x v="1"/>
    <n v="25"/>
    <n v="2"/>
    <s v="Medical"/>
    <n v="1"/>
    <x v="832"/>
    <n v="3"/>
    <x v="0"/>
    <n v="52"/>
    <n v="2"/>
    <n v="2"/>
    <x v="4"/>
    <n v="4"/>
    <s v="Divorced"/>
    <n v="5731"/>
    <n v="17171"/>
    <n v="7"/>
    <s v="Y"/>
    <s v="No"/>
    <n v="13"/>
    <n v="3"/>
    <n v="3"/>
    <n v="80"/>
    <n v="2"/>
    <n v="9"/>
    <n v="2"/>
    <n v="3"/>
    <x v="0"/>
    <n v="2"/>
    <n v="1"/>
    <n v="3"/>
    <x v="1"/>
    <x v="0"/>
    <s v="Active"/>
    <x v="0"/>
  </r>
  <r>
    <n v="27"/>
    <x v="1"/>
    <s v="Travel Rarely"/>
    <n v="199"/>
    <x v="1"/>
    <n v="6"/>
    <n v="3"/>
    <s v="Life Sciences"/>
    <n v="1"/>
    <x v="833"/>
    <n v="4"/>
    <x v="1"/>
    <n v="55"/>
    <n v="2"/>
    <n v="1"/>
    <x v="1"/>
    <n v="3"/>
    <s v="Married"/>
    <n v="2539"/>
    <n v="7950"/>
    <n v="1"/>
    <s v="Y"/>
    <s v="No"/>
    <n v="13"/>
    <n v="3"/>
    <n v="3"/>
    <n v="80"/>
    <n v="1"/>
    <n v="4"/>
    <n v="0"/>
    <n v="3"/>
    <x v="9"/>
    <n v="2"/>
    <n v="2"/>
    <n v="2"/>
    <x v="2"/>
    <x v="1"/>
    <s v="Active"/>
    <x v="4"/>
  </r>
  <r>
    <n v="34"/>
    <x v="1"/>
    <s v="Travel Rarely"/>
    <n v="1400"/>
    <x v="0"/>
    <n v="9"/>
    <n v="1"/>
    <s v="Life Sciences"/>
    <n v="1"/>
    <x v="834"/>
    <n v="2"/>
    <x v="0"/>
    <n v="70"/>
    <n v="3"/>
    <n v="2"/>
    <x v="0"/>
    <n v="3"/>
    <s v="Married"/>
    <n v="5714"/>
    <n v="5829"/>
    <n v="1"/>
    <s v="Y"/>
    <s v="No"/>
    <n v="20"/>
    <n v="4"/>
    <n v="1"/>
    <n v="80"/>
    <n v="0"/>
    <n v="6"/>
    <n v="3"/>
    <n v="2"/>
    <x v="0"/>
    <n v="5"/>
    <n v="1"/>
    <n v="3"/>
    <x v="1"/>
    <x v="0"/>
    <s v="Active"/>
    <x v="0"/>
  </r>
  <r>
    <n v="35"/>
    <x v="1"/>
    <s v="Travel Rarely"/>
    <n v="528"/>
    <x v="2"/>
    <n v="8"/>
    <n v="4"/>
    <s v="Technical Degree"/>
    <n v="1"/>
    <x v="835"/>
    <n v="3"/>
    <x v="1"/>
    <n v="100"/>
    <n v="3"/>
    <n v="1"/>
    <x v="8"/>
    <n v="3"/>
    <s v="Single"/>
    <n v="4323"/>
    <n v="7108"/>
    <n v="1"/>
    <s v="Y"/>
    <s v="No"/>
    <n v="17"/>
    <n v="3"/>
    <n v="2"/>
    <n v="80"/>
    <n v="0"/>
    <n v="6"/>
    <n v="2"/>
    <n v="1"/>
    <x v="8"/>
    <n v="4"/>
    <n v="1"/>
    <n v="4"/>
    <x v="1"/>
    <x v="1"/>
    <s v="Active"/>
    <x v="3"/>
  </r>
  <r>
    <n v="29"/>
    <x v="0"/>
    <s v="Travel Rarely"/>
    <n v="408"/>
    <x v="0"/>
    <n v="23"/>
    <n v="1"/>
    <s v="Life Sciences"/>
    <n v="1"/>
    <x v="836"/>
    <n v="4"/>
    <x v="0"/>
    <n v="45"/>
    <n v="2"/>
    <n v="3"/>
    <x v="0"/>
    <n v="1"/>
    <s v="Married"/>
    <n v="7336"/>
    <n v="11162"/>
    <n v="1"/>
    <s v="Y"/>
    <s v="No"/>
    <n v="13"/>
    <n v="3"/>
    <n v="1"/>
    <n v="80"/>
    <n v="1"/>
    <n v="11"/>
    <n v="3"/>
    <n v="1"/>
    <x v="19"/>
    <n v="8"/>
    <n v="3"/>
    <n v="10"/>
    <x v="2"/>
    <x v="0"/>
    <s v="Resigned"/>
    <x v="0"/>
  </r>
  <r>
    <n v="40"/>
    <x v="1"/>
    <s v="Travel Frequently"/>
    <n v="593"/>
    <x v="1"/>
    <n v="9"/>
    <n v="4"/>
    <s v="Medical"/>
    <n v="1"/>
    <x v="837"/>
    <n v="2"/>
    <x v="0"/>
    <n v="88"/>
    <n v="3"/>
    <n v="3"/>
    <x v="7"/>
    <n v="3"/>
    <s v="Single"/>
    <n v="13499"/>
    <n v="13782"/>
    <n v="9"/>
    <s v="Y"/>
    <s v="No"/>
    <n v="17"/>
    <n v="3"/>
    <n v="3"/>
    <n v="80"/>
    <n v="0"/>
    <n v="20"/>
    <n v="3"/>
    <n v="2"/>
    <x v="29"/>
    <n v="7"/>
    <n v="2"/>
    <n v="13"/>
    <x v="1"/>
    <x v="2"/>
    <s v="Active"/>
    <x v="0"/>
  </r>
  <r>
    <n v="42"/>
    <x v="0"/>
    <s v="Travel Frequently"/>
    <n v="481"/>
    <x v="0"/>
    <n v="12"/>
    <n v="3"/>
    <s v="Life Sciences"/>
    <n v="1"/>
    <x v="838"/>
    <n v="3"/>
    <x v="1"/>
    <n v="44"/>
    <n v="3"/>
    <n v="4"/>
    <x v="0"/>
    <n v="1"/>
    <s v="Single"/>
    <n v="13758"/>
    <n v="2447"/>
    <n v="0"/>
    <s v="Y"/>
    <s v="Yes"/>
    <n v="12"/>
    <n v="3"/>
    <n v="2"/>
    <n v="80"/>
    <n v="0"/>
    <n v="22"/>
    <n v="2"/>
    <n v="2"/>
    <x v="17"/>
    <n v="9"/>
    <n v="13"/>
    <n v="14"/>
    <x v="0"/>
    <x v="2"/>
    <s v="Resigned"/>
    <x v="0"/>
  </r>
  <r>
    <n v="42"/>
    <x v="1"/>
    <s v="Travel Rarely"/>
    <n v="647"/>
    <x v="0"/>
    <n v="4"/>
    <n v="4"/>
    <s v="Marketing"/>
    <n v="1"/>
    <x v="839"/>
    <n v="2"/>
    <x v="1"/>
    <n v="45"/>
    <n v="3"/>
    <n v="2"/>
    <x v="0"/>
    <n v="1"/>
    <s v="Single"/>
    <n v="5155"/>
    <n v="2253"/>
    <n v="7"/>
    <s v="Y"/>
    <s v="No"/>
    <n v="13"/>
    <n v="3"/>
    <n v="4"/>
    <n v="80"/>
    <n v="0"/>
    <n v="9"/>
    <n v="3"/>
    <n v="4"/>
    <x v="0"/>
    <n v="4"/>
    <n v="1"/>
    <n v="5"/>
    <x v="0"/>
    <x v="0"/>
    <s v="Active"/>
    <x v="0"/>
  </r>
  <r>
    <n v="35"/>
    <x v="1"/>
    <s v="Travel Rarely"/>
    <n v="982"/>
    <x v="1"/>
    <n v="1"/>
    <n v="4"/>
    <s v="Medical"/>
    <n v="1"/>
    <x v="840"/>
    <n v="4"/>
    <x v="1"/>
    <n v="58"/>
    <n v="2"/>
    <n v="1"/>
    <x v="2"/>
    <n v="3"/>
    <s v="Married"/>
    <n v="2258"/>
    <n v="16340"/>
    <n v="6"/>
    <s v="Y"/>
    <s v="No"/>
    <n v="12"/>
    <n v="3"/>
    <n v="2"/>
    <n v="80"/>
    <n v="1"/>
    <n v="10"/>
    <n v="2"/>
    <n v="3"/>
    <x v="3"/>
    <n v="0"/>
    <n v="1"/>
    <n v="7"/>
    <x v="1"/>
    <x v="1"/>
    <s v="Active"/>
    <x v="0"/>
  </r>
  <r>
    <n v="24"/>
    <x v="1"/>
    <s v="Travel Rarely"/>
    <n v="477"/>
    <x v="1"/>
    <n v="24"/>
    <n v="3"/>
    <s v="Medical"/>
    <n v="1"/>
    <x v="841"/>
    <n v="4"/>
    <x v="1"/>
    <n v="49"/>
    <n v="3"/>
    <n v="1"/>
    <x v="2"/>
    <n v="2"/>
    <s v="Single"/>
    <n v="3597"/>
    <n v="6409"/>
    <n v="8"/>
    <s v="Y"/>
    <s v="No"/>
    <n v="22"/>
    <n v="4"/>
    <n v="4"/>
    <n v="80"/>
    <n v="0"/>
    <n v="6"/>
    <n v="2"/>
    <n v="3"/>
    <x v="9"/>
    <n v="3"/>
    <n v="1"/>
    <n v="2"/>
    <x v="2"/>
    <x v="1"/>
    <s v="Active"/>
    <x v="4"/>
  </r>
  <r>
    <n v="28"/>
    <x v="0"/>
    <s v="Travel Rarely"/>
    <n v="1485"/>
    <x v="1"/>
    <n v="12"/>
    <n v="1"/>
    <s v="Life Sciences"/>
    <n v="1"/>
    <x v="842"/>
    <n v="3"/>
    <x v="0"/>
    <n v="79"/>
    <n v="3"/>
    <n v="1"/>
    <x v="2"/>
    <n v="4"/>
    <s v="Married"/>
    <n v="2515"/>
    <n v="22955"/>
    <n v="1"/>
    <s v="Y"/>
    <s v="Yes"/>
    <n v="11"/>
    <n v="3"/>
    <n v="4"/>
    <n v="80"/>
    <n v="0"/>
    <n v="1"/>
    <n v="4"/>
    <n v="2"/>
    <x v="6"/>
    <n v="1"/>
    <n v="0"/>
    <n v="0"/>
    <x v="2"/>
    <x v="1"/>
    <s v="Resigned"/>
    <x v="1"/>
  </r>
  <r>
    <n v="26"/>
    <x v="1"/>
    <s v="Travel Rarely"/>
    <n v="1384"/>
    <x v="1"/>
    <n v="3"/>
    <n v="4"/>
    <s v="Medical"/>
    <n v="1"/>
    <x v="843"/>
    <n v="1"/>
    <x v="1"/>
    <n v="82"/>
    <n v="4"/>
    <n v="1"/>
    <x v="2"/>
    <n v="4"/>
    <s v="Married"/>
    <n v="4420"/>
    <n v="13421"/>
    <n v="1"/>
    <s v="Y"/>
    <s v="No"/>
    <n v="22"/>
    <n v="4"/>
    <n v="2"/>
    <n v="80"/>
    <n v="1"/>
    <n v="8"/>
    <n v="2"/>
    <n v="3"/>
    <x v="3"/>
    <n v="7"/>
    <n v="0"/>
    <n v="7"/>
    <x v="2"/>
    <x v="1"/>
    <s v="Active"/>
    <x v="0"/>
  </r>
  <r>
    <n v="30"/>
    <x v="1"/>
    <s v="Travel Rarely"/>
    <n v="852"/>
    <x v="0"/>
    <n v="10"/>
    <n v="3"/>
    <s v="Marketing"/>
    <n v="1"/>
    <x v="844"/>
    <n v="3"/>
    <x v="1"/>
    <n v="72"/>
    <n v="2"/>
    <n v="2"/>
    <x v="0"/>
    <n v="3"/>
    <s v="Married"/>
    <n v="6578"/>
    <n v="2706"/>
    <n v="1"/>
    <s v="Y"/>
    <s v="No"/>
    <n v="18"/>
    <n v="3"/>
    <n v="1"/>
    <n v="80"/>
    <n v="1"/>
    <n v="10"/>
    <n v="3"/>
    <n v="3"/>
    <x v="1"/>
    <n v="3"/>
    <n v="1"/>
    <n v="4"/>
    <x v="1"/>
    <x v="0"/>
    <s v="Active"/>
    <x v="0"/>
  </r>
  <r>
    <n v="40"/>
    <x v="1"/>
    <s v="Travel Frequently"/>
    <n v="902"/>
    <x v="1"/>
    <n v="26"/>
    <n v="2"/>
    <s v="Medical"/>
    <n v="1"/>
    <x v="845"/>
    <n v="3"/>
    <x v="0"/>
    <n v="92"/>
    <n v="2"/>
    <n v="2"/>
    <x v="1"/>
    <n v="4"/>
    <s v="Married"/>
    <n v="4422"/>
    <n v="21203"/>
    <n v="3"/>
    <s v="Y"/>
    <s v="Yes"/>
    <n v="13"/>
    <n v="3"/>
    <n v="4"/>
    <n v="80"/>
    <n v="1"/>
    <n v="16"/>
    <n v="3"/>
    <n v="1"/>
    <x v="6"/>
    <n v="1"/>
    <n v="0"/>
    <n v="0"/>
    <x v="1"/>
    <x v="1"/>
    <s v="Active"/>
    <x v="1"/>
  </r>
  <r>
    <n v="35"/>
    <x v="1"/>
    <s v="Travel Rarely"/>
    <n v="819"/>
    <x v="1"/>
    <n v="2"/>
    <n v="3"/>
    <s v="Life Sciences"/>
    <n v="1"/>
    <x v="846"/>
    <n v="3"/>
    <x v="1"/>
    <n v="44"/>
    <n v="2"/>
    <n v="3"/>
    <x v="3"/>
    <n v="2"/>
    <s v="Divorced"/>
    <n v="10274"/>
    <n v="19588"/>
    <n v="2"/>
    <s v="Y"/>
    <s v="No"/>
    <n v="18"/>
    <n v="3"/>
    <n v="2"/>
    <n v="80"/>
    <n v="1"/>
    <n v="15"/>
    <n v="2"/>
    <n v="4"/>
    <x v="5"/>
    <n v="7"/>
    <n v="6"/>
    <n v="4"/>
    <x v="1"/>
    <x v="2"/>
    <s v="Active"/>
    <x v="0"/>
  </r>
  <r>
    <n v="34"/>
    <x v="1"/>
    <s v="Travel Frequently"/>
    <n v="669"/>
    <x v="1"/>
    <n v="1"/>
    <n v="3"/>
    <s v="Medical"/>
    <n v="1"/>
    <x v="847"/>
    <n v="4"/>
    <x v="1"/>
    <n v="97"/>
    <n v="2"/>
    <n v="2"/>
    <x v="4"/>
    <n v="1"/>
    <s v="Single"/>
    <n v="5343"/>
    <n v="25755"/>
    <n v="0"/>
    <s v="Y"/>
    <s v="No"/>
    <n v="20"/>
    <n v="4"/>
    <n v="3"/>
    <n v="80"/>
    <n v="0"/>
    <n v="14"/>
    <n v="3"/>
    <n v="3"/>
    <x v="20"/>
    <n v="9"/>
    <n v="4"/>
    <n v="9"/>
    <x v="1"/>
    <x v="0"/>
    <s v="Active"/>
    <x v="0"/>
  </r>
  <r>
    <n v="35"/>
    <x v="1"/>
    <s v="Travel Frequently"/>
    <n v="636"/>
    <x v="1"/>
    <n v="4"/>
    <n v="4"/>
    <s v="Other"/>
    <n v="1"/>
    <x v="848"/>
    <n v="4"/>
    <x v="1"/>
    <n v="47"/>
    <n v="2"/>
    <n v="1"/>
    <x v="2"/>
    <n v="4"/>
    <s v="Married"/>
    <n v="2376"/>
    <n v="26537"/>
    <n v="1"/>
    <s v="Y"/>
    <s v="No"/>
    <n v="13"/>
    <n v="3"/>
    <n v="2"/>
    <n v="80"/>
    <n v="1"/>
    <n v="2"/>
    <n v="2"/>
    <n v="4"/>
    <x v="4"/>
    <n v="2"/>
    <n v="2"/>
    <n v="2"/>
    <x v="1"/>
    <x v="1"/>
    <s v="Active"/>
    <x v="2"/>
  </r>
  <r>
    <n v="43"/>
    <x v="0"/>
    <s v="Travel Rarely"/>
    <n v="1372"/>
    <x v="0"/>
    <n v="9"/>
    <n v="3"/>
    <s v="Marketing"/>
    <n v="1"/>
    <x v="849"/>
    <n v="1"/>
    <x v="0"/>
    <n v="85"/>
    <n v="1"/>
    <n v="2"/>
    <x v="0"/>
    <n v="3"/>
    <s v="Single"/>
    <n v="5346"/>
    <n v="9489"/>
    <n v="8"/>
    <s v="Y"/>
    <s v="No"/>
    <n v="13"/>
    <n v="3"/>
    <n v="2"/>
    <n v="80"/>
    <n v="0"/>
    <n v="7"/>
    <n v="2"/>
    <n v="2"/>
    <x v="9"/>
    <n v="3"/>
    <n v="1"/>
    <n v="3"/>
    <x v="0"/>
    <x v="0"/>
    <s v="Resigned"/>
    <x v="4"/>
  </r>
  <r>
    <n v="32"/>
    <x v="1"/>
    <s v="Non Travel"/>
    <n v="862"/>
    <x v="0"/>
    <n v="2"/>
    <n v="1"/>
    <s v="Life Sciences"/>
    <n v="1"/>
    <x v="850"/>
    <n v="3"/>
    <x v="0"/>
    <n v="76"/>
    <n v="3"/>
    <n v="1"/>
    <x v="6"/>
    <n v="1"/>
    <s v="Divorced"/>
    <n v="2827"/>
    <n v="14947"/>
    <n v="1"/>
    <s v="Y"/>
    <s v="No"/>
    <n v="12"/>
    <n v="3"/>
    <n v="3"/>
    <n v="80"/>
    <n v="3"/>
    <n v="1"/>
    <n v="3"/>
    <n v="3"/>
    <x v="6"/>
    <n v="0"/>
    <n v="0"/>
    <n v="0"/>
    <x v="1"/>
    <x v="1"/>
    <s v="Active"/>
    <x v="1"/>
  </r>
  <r>
    <n v="56"/>
    <x v="1"/>
    <s v="Travel Rarely"/>
    <n v="718"/>
    <x v="1"/>
    <n v="4"/>
    <n v="4"/>
    <s v="Technical Degree"/>
    <n v="1"/>
    <x v="851"/>
    <n v="4"/>
    <x v="0"/>
    <n v="92"/>
    <n v="3"/>
    <n v="5"/>
    <x v="5"/>
    <n v="1"/>
    <s v="Divorced"/>
    <n v="19943"/>
    <n v="18575"/>
    <n v="4"/>
    <s v="Y"/>
    <s v="No"/>
    <n v="13"/>
    <n v="3"/>
    <n v="4"/>
    <n v="80"/>
    <n v="1"/>
    <n v="28"/>
    <n v="2"/>
    <n v="3"/>
    <x v="8"/>
    <n v="2"/>
    <n v="4"/>
    <n v="2"/>
    <x v="0"/>
    <x v="2"/>
    <s v="Active"/>
    <x v="3"/>
  </r>
  <r>
    <n v="29"/>
    <x v="1"/>
    <s v="Travel Rarely"/>
    <n v="1401"/>
    <x v="1"/>
    <n v="6"/>
    <n v="1"/>
    <s v="Medical"/>
    <n v="1"/>
    <x v="852"/>
    <n v="2"/>
    <x v="0"/>
    <n v="54"/>
    <n v="3"/>
    <n v="1"/>
    <x v="2"/>
    <n v="4"/>
    <s v="Married"/>
    <n v="3131"/>
    <n v="26342"/>
    <n v="1"/>
    <s v="Y"/>
    <s v="No"/>
    <n v="13"/>
    <n v="3"/>
    <n v="1"/>
    <n v="80"/>
    <n v="1"/>
    <n v="10"/>
    <n v="5"/>
    <n v="3"/>
    <x v="1"/>
    <n v="8"/>
    <n v="0"/>
    <n v="8"/>
    <x v="2"/>
    <x v="1"/>
    <s v="Active"/>
    <x v="0"/>
  </r>
  <r>
    <n v="19"/>
    <x v="1"/>
    <s v="Travel Rarely"/>
    <n v="645"/>
    <x v="1"/>
    <n v="9"/>
    <n v="2"/>
    <s v="Life Sciences"/>
    <n v="1"/>
    <x v="853"/>
    <n v="3"/>
    <x v="1"/>
    <n v="54"/>
    <n v="3"/>
    <n v="1"/>
    <x v="1"/>
    <n v="1"/>
    <s v="Single"/>
    <n v="2552"/>
    <n v="7172"/>
    <n v="1"/>
    <s v="Y"/>
    <s v="No"/>
    <n v="25"/>
    <n v="4"/>
    <n v="3"/>
    <n v="80"/>
    <n v="0"/>
    <n v="1"/>
    <n v="4"/>
    <n v="3"/>
    <x v="6"/>
    <n v="1"/>
    <n v="0"/>
    <n v="0"/>
    <x v="2"/>
    <x v="1"/>
    <s v="Active"/>
    <x v="1"/>
  </r>
  <r>
    <n v="45"/>
    <x v="1"/>
    <s v="Travel Rarely"/>
    <n v="1457"/>
    <x v="1"/>
    <n v="7"/>
    <n v="3"/>
    <s v="Medical"/>
    <n v="1"/>
    <x v="854"/>
    <n v="1"/>
    <x v="0"/>
    <n v="83"/>
    <n v="3"/>
    <n v="1"/>
    <x v="1"/>
    <n v="3"/>
    <s v="Married"/>
    <n v="4477"/>
    <n v="20100"/>
    <n v="4"/>
    <s v="Y"/>
    <s v="Yes"/>
    <n v="19"/>
    <n v="3"/>
    <n v="3"/>
    <n v="80"/>
    <n v="1"/>
    <n v="7"/>
    <n v="2"/>
    <n v="2"/>
    <x v="11"/>
    <n v="2"/>
    <n v="0"/>
    <n v="2"/>
    <x v="0"/>
    <x v="1"/>
    <s v="Active"/>
    <x v="5"/>
  </r>
  <r>
    <n v="37"/>
    <x v="1"/>
    <s v="Travel Rarely"/>
    <n v="977"/>
    <x v="1"/>
    <n v="1"/>
    <n v="3"/>
    <s v="Life Sciences"/>
    <n v="1"/>
    <x v="855"/>
    <n v="4"/>
    <x v="0"/>
    <n v="56"/>
    <n v="2"/>
    <n v="2"/>
    <x v="3"/>
    <n v="4"/>
    <s v="Married"/>
    <n v="6474"/>
    <n v="9961"/>
    <n v="1"/>
    <s v="Y"/>
    <s v="No"/>
    <n v="13"/>
    <n v="3"/>
    <n v="2"/>
    <n v="80"/>
    <n v="1"/>
    <n v="14"/>
    <n v="2"/>
    <n v="2"/>
    <x v="13"/>
    <n v="8"/>
    <n v="3"/>
    <n v="11"/>
    <x v="1"/>
    <x v="0"/>
    <s v="Active"/>
    <x v="0"/>
  </r>
  <r>
    <n v="20"/>
    <x v="1"/>
    <s v="Travel Rarely"/>
    <n v="805"/>
    <x v="1"/>
    <n v="3"/>
    <n v="3"/>
    <s v="Life Sciences"/>
    <n v="1"/>
    <x v="856"/>
    <n v="1"/>
    <x v="1"/>
    <n v="87"/>
    <n v="2"/>
    <n v="1"/>
    <x v="2"/>
    <n v="3"/>
    <s v="Single"/>
    <n v="3033"/>
    <n v="12828"/>
    <n v="1"/>
    <s v="Y"/>
    <s v="No"/>
    <n v="12"/>
    <n v="3"/>
    <n v="1"/>
    <n v="80"/>
    <n v="0"/>
    <n v="2"/>
    <n v="2"/>
    <n v="2"/>
    <x v="4"/>
    <n v="2"/>
    <n v="1"/>
    <n v="2"/>
    <x v="2"/>
    <x v="1"/>
    <s v="Active"/>
    <x v="2"/>
  </r>
  <r>
    <n v="44"/>
    <x v="0"/>
    <s v="Travel Rarely"/>
    <n v="1097"/>
    <x v="1"/>
    <n v="10"/>
    <n v="4"/>
    <s v="Life Sciences"/>
    <n v="1"/>
    <x v="857"/>
    <n v="3"/>
    <x v="1"/>
    <n v="96"/>
    <n v="3"/>
    <n v="1"/>
    <x v="1"/>
    <n v="3"/>
    <s v="Single"/>
    <n v="2936"/>
    <n v="10826"/>
    <n v="1"/>
    <s v="Y"/>
    <s v="Yes"/>
    <n v="11"/>
    <n v="3"/>
    <n v="3"/>
    <n v="80"/>
    <n v="0"/>
    <n v="6"/>
    <n v="4"/>
    <n v="3"/>
    <x v="0"/>
    <n v="4"/>
    <n v="0"/>
    <n v="2"/>
    <x v="0"/>
    <x v="1"/>
    <s v="Resigned"/>
    <x v="0"/>
  </r>
  <r>
    <n v="53"/>
    <x v="1"/>
    <s v="Travel Rarely"/>
    <n v="1223"/>
    <x v="1"/>
    <n v="7"/>
    <n v="2"/>
    <s v="Medical"/>
    <n v="1"/>
    <x v="858"/>
    <n v="4"/>
    <x v="0"/>
    <n v="50"/>
    <n v="3"/>
    <n v="5"/>
    <x v="5"/>
    <n v="3"/>
    <s v="Divorced"/>
    <n v="18606"/>
    <n v="18640"/>
    <n v="3"/>
    <s v="Y"/>
    <s v="No"/>
    <n v="18"/>
    <n v="3"/>
    <n v="2"/>
    <n v="80"/>
    <n v="1"/>
    <n v="26"/>
    <n v="6"/>
    <n v="3"/>
    <x v="5"/>
    <n v="7"/>
    <n v="4"/>
    <n v="7"/>
    <x v="0"/>
    <x v="2"/>
    <s v="Active"/>
    <x v="0"/>
  </r>
  <r>
    <n v="29"/>
    <x v="1"/>
    <s v="Travel Rarely"/>
    <n v="942"/>
    <x v="1"/>
    <n v="15"/>
    <n v="1"/>
    <s v="Life Sciences"/>
    <n v="1"/>
    <x v="859"/>
    <n v="2"/>
    <x v="0"/>
    <n v="69"/>
    <n v="1"/>
    <n v="1"/>
    <x v="1"/>
    <n v="4"/>
    <s v="Married"/>
    <n v="2168"/>
    <n v="26933"/>
    <n v="0"/>
    <s v="Y"/>
    <s v="Yes"/>
    <n v="18"/>
    <n v="3"/>
    <n v="1"/>
    <n v="80"/>
    <n v="1"/>
    <n v="6"/>
    <n v="2"/>
    <n v="2"/>
    <x v="8"/>
    <n v="4"/>
    <n v="1"/>
    <n v="3"/>
    <x v="2"/>
    <x v="1"/>
    <s v="Active"/>
    <x v="3"/>
  </r>
  <r>
    <n v="22"/>
    <x v="0"/>
    <s v="Travel Frequently"/>
    <n v="1256"/>
    <x v="1"/>
    <n v="3"/>
    <n v="4"/>
    <s v="Life Sciences"/>
    <n v="1"/>
    <x v="860"/>
    <n v="3"/>
    <x v="1"/>
    <n v="48"/>
    <n v="2"/>
    <n v="1"/>
    <x v="1"/>
    <n v="4"/>
    <s v="Married"/>
    <n v="2853"/>
    <n v="4223"/>
    <n v="0"/>
    <s v="Y"/>
    <s v="Yes"/>
    <n v="11"/>
    <n v="3"/>
    <n v="2"/>
    <n v="80"/>
    <n v="1"/>
    <n v="1"/>
    <n v="5"/>
    <n v="3"/>
    <x v="2"/>
    <n v="0"/>
    <n v="0"/>
    <n v="0"/>
    <x v="2"/>
    <x v="1"/>
    <s v="Resigned"/>
    <x v="1"/>
  </r>
  <r>
    <n v="46"/>
    <x v="1"/>
    <s v="Travel Rarely"/>
    <n v="1402"/>
    <x v="0"/>
    <n v="2"/>
    <n v="3"/>
    <s v="Marketing"/>
    <n v="1"/>
    <x v="861"/>
    <n v="3"/>
    <x v="0"/>
    <n v="69"/>
    <n v="3"/>
    <n v="4"/>
    <x v="5"/>
    <n v="1"/>
    <s v="Married"/>
    <n v="17048"/>
    <n v="24097"/>
    <n v="8"/>
    <s v="Y"/>
    <s v="No"/>
    <n v="23"/>
    <n v="4"/>
    <n v="1"/>
    <n v="80"/>
    <n v="0"/>
    <n v="28"/>
    <n v="2"/>
    <n v="3"/>
    <x v="34"/>
    <n v="15"/>
    <n v="15"/>
    <n v="9"/>
    <x v="0"/>
    <x v="2"/>
    <s v="Active"/>
    <x v="0"/>
  </r>
  <r>
    <n v="44"/>
    <x v="1"/>
    <s v="Non Travel"/>
    <n v="111"/>
    <x v="1"/>
    <n v="17"/>
    <n v="3"/>
    <s v="Life Sciences"/>
    <n v="1"/>
    <x v="862"/>
    <n v="4"/>
    <x v="1"/>
    <n v="74"/>
    <n v="1"/>
    <n v="1"/>
    <x v="1"/>
    <n v="3"/>
    <s v="Single"/>
    <n v="2290"/>
    <n v="4279"/>
    <n v="2"/>
    <s v="Y"/>
    <s v="No"/>
    <n v="13"/>
    <n v="3"/>
    <n v="4"/>
    <n v="80"/>
    <n v="0"/>
    <n v="6"/>
    <n v="3"/>
    <n v="3"/>
    <x v="2"/>
    <n v="0"/>
    <n v="0"/>
    <n v="0"/>
    <x v="0"/>
    <x v="1"/>
    <s v="Active"/>
    <x v="1"/>
  </r>
  <r>
    <n v="33"/>
    <x v="1"/>
    <s v="Travel Rarely"/>
    <n v="147"/>
    <x v="2"/>
    <n v="2"/>
    <n v="3"/>
    <s v="Human Resources"/>
    <n v="1"/>
    <x v="863"/>
    <n v="2"/>
    <x v="1"/>
    <n v="99"/>
    <n v="3"/>
    <n v="1"/>
    <x v="8"/>
    <n v="3"/>
    <s v="Married"/>
    <n v="3600"/>
    <n v="8429"/>
    <n v="1"/>
    <s v="Y"/>
    <s v="No"/>
    <n v="13"/>
    <n v="3"/>
    <n v="4"/>
    <n v="80"/>
    <n v="1"/>
    <n v="5"/>
    <n v="2"/>
    <n v="3"/>
    <x v="8"/>
    <n v="4"/>
    <n v="1"/>
    <n v="4"/>
    <x v="1"/>
    <x v="1"/>
    <s v="Active"/>
    <x v="3"/>
  </r>
  <r>
    <n v="41"/>
    <x v="0"/>
    <s v="Non Travel"/>
    <n v="906"/>
    <x v="1"/>
    <n v="5"/>
    <n v="2"/>
    <s v="Life Sciences"/>
    <n v="1"/>
    <x v="864"/>
    <n v="1"/>
    <x v="1"/>
    <n v="95"/>
    <n v="2"/>
    <n v="1"/>
    <x v="1"/>
    <n v="1"/>
    <s v="Divorced"/>
    <n v="2107"/>
    <n v="20293"/>
    <n v="6"/>
    <s v="Y"/>
    <s v="No"/>
    <n v="17"/>
    <n v="3"/>
    <n v="1"/>
    <n v="80"/>
    <n v="1"/>
    <n v="5"/>
    <n v="2"/>
    <n v="1"/>
    <x v="6"/>
    <n v="0"/>
    <n v="0"/>
    <n v="0"/>
    <x v="0"/>
    <x v="1"/>
    <s v="Resigned"/>
    <x v="1"/>
  </r>
  <r>
    <n v="30"/>
    <x v="1"/>
    <s v="Travel Rarely"/>
    <n v="1329"/>
    <x v="0"/>
    <n v="29"/>
    <n v="4"/>
    <s v="Life Sciences"/>
    <n v="1"/>
    <x v="865"/>
    <n v="3"/>
    <x v="1"/>
    <n v="61"/>
    <n v="3"/>
    <n v="2"/>
    <x v="0"/>
    <n v="1"/>
    <s v="Divorced"/>
    <n v="4115"/>
    <n v="13192"/>
    <n v="8"/>
    <s v="Y"/>
    <s v="No"/>
    <n v="19"/>
    <n v="3"/>
    <n v="3"/>
    <n v="80"/>
    <n v="3"/>
    <n v="8"/>
    <n v="3"/>
    <n v="3"/>
    <x v="9"/>
    <n v="3"/>
    <n v="0"/>
    <n v="3"/>
    <x v="1"/>
    <x v="1"/>
    <s v="Active"/>
    <x v="4"/>
  </r>
  <r>
    <n v="40"/>
    <x v="1"/>
    <s v="Travel Frequently"/>
    <n v="1184"/>
    <x v="0"/>
    <n v="2"/>
    <n v="4"/>
    <s v="Medical"/>
    <n v="1"/>
    <x v="866"/>
    <n v="2"/>
    <x v="1"/>
    <n v="62"/>
    <n v="3"/>
    <n v="2"/>
    <x v="0"/>
    <n v="2"/>
    <s v="Married"/>
    <n v="4327"/>
    <n v="25440"/>
    <n v="5"/>
    <s v="Y"/>
    <s v="No"/>
    <n v="12"/>
    <n v="3"/>
    <n v="4"/>
    <n v="80"/>
    <n v="3"/>
    <n v="5"/>
    <n v="2"/>
    <n v="3"/>
    <x v="2"/>
    <n v="0"/>
    <n v="0"/>
    <n v="0"/>
    <x v="1"/>
    <x v="1"/>
    <s v="Active"/>
    <x v="1"/>
  </r>
  <r>
    <n v="50"/>
    <x v="1"/>
    <s v="Travel Frequently"/>
    <n v="1421"/>
    <x v="1"/>
    <n v="2"/>
    <n v="3"/>
    <s v="Medical"/>
    <n v="1"/>
    <x v="867"/>
    <n v="4"/>
    <x v="0"/>
    <n v="30"/>
    <n v="3"/>
    <n v="4"/>
    <x v="5"/>
    <n v="1"/>
    <s v="Married"/>
    <n v="17856"/>
    <n v="9490"/>
    <n v="2"/>
    <s v="Y"/>
    <s v="No"/>
    <n v="22"/>
    <n v="4"/>
    <n v="3"/>
    <n v="80"/>
    <n v="1"/>
    <n v="32"/>
    <n v="3"/>
    <n v="3"/>
    <x v="4"/>
    <n v="2"/>
    <n v="2"/>
    <n v="2"/>
    <x v="0"/>
    <x v="2"/>
    <s v="Active"/>
    <x v="2"/>
  </r>
  <r>
    <n v="28"/>
    <x v="1"/>
    <s v="Travel Rarely"/>
    <n v="1179"/>
    <x v="1"/>
    <n v="19"/>
    <n v="4"/>
    <s v="Medical"/>
    <n v="1"/>
    <x v="868"/>
    <n v="4"/>
    <x v="1"/>
    <n v="78"/>
    <n v="2"/>
    <n v="1"/>
    <x v="2"/>
    <n v="1"/>
    <s v="Married"/>
    <n v="3196"/>
    <n v="12449"/>
    <n v="1"/>
    <s v="Y"/>
    <s v="No"/>
    <n v="12"/>
    <n v="3"/>
    <n v="3"/>
    <n v="80"/>
    <n v="3"/>
    <n v="6"/>
    <n v="2"/>
    <n v="3"/>
    <x v="0"/>
    <n v="5"/>
    <n v="3"/>
    <n v="3"/>
    <x v="2"/>
    <x v="1"/>
    <s v="Active"/>
    <x v="0"/>
  </r>
  <r>
    <n v="46"/>
    <x v="1"/>
    <s v="Travel Rarely"/>
    <n v="1450"/>
    <x v="1"/>
    <n v="15"/>
    <n v="2"/>
    <s v="Life Sciences"/>
    <n v="1"/>
    <x v="869"/>
    <n v="4"/>
    <x v="1"/>
    <n v="52"/>
    <n v="3"/>
    <n v="5"/>
    <x v="7"/>
    <n v="2"/>
    <s v="Married"/>
    <n v="19081"/>
    <n v="10849"/>
    <n v="5"/>
    <s v="Y"/>
    <s v="No"/>
    <n v="11"/>
    <n v="3"/>
    <n v="1"/>
    <n v="80"/>
    <n v="1"/>
    <n v="25"/>
    <n v="2"/>
    <n v="3"/>
    <x v="9"/>
    <n v="2"/>
    <n v="0"/>
    <n v="3"/>
    <x v="0"/>
    <x v="2"/>
    <s v="Active"/>
    <x v="4"/>
  </r>
  <r>
    <n v="35"/>
    <x v="1"/>
    <s v="Travel Rarely"/>
    <n v="1361"/>
    <x v="0"/>
    <n v="17"/>
    <n v="4"/>
    <s v="Life Sciences"/>
    <n v="1"/>
    <x v="870"/>
    <n v="3"/>
    <x v="1"/>
    <n v="94"/>
    <n v="3"/>
    <n v="2"/>
    <x v="0"/>
    <n v="1"/>
    <s v="Married"/>
    <n v="8966"/>
    <n v="21026"/>
    <n v="3"/>
    <s v="Y"/>
    <s v="Yes"/>
    <n v="15"/>
    <n v="3"/>
    <n v="4"/>
    <n v="80"/>
    <n v="3"/>
    <n v="15"/>
    <n v="2"/>
    <n v="3"/>
    <x v="5"/>
    <n v="7"/>
    <n v="1"/>
    <n v="7"/>
    <x v="1"/>
    <x v="0"/>
    <s v="Active"/>
    <x v="0"/>
  </r>
  <r>
    <n v="24"/>
    <x v="0"/>
    <s v="Travel Rarely"/>
    <n v="984"/>
    <x v="1"/>
    <n v="17"/>
    <n v="2"/>
    <s v="Life Sciences"/>
    <n v="1"/>
    <x v="871"/>
    <n v="4"/>
    <x v="0"/>
    <n v="97"/>
    <n v="3"/>
    <n v="1"/>
    <x v="2"/>
    <n v="2"/>
    <s v="Married"/>
    <n v="2210"/>
    <n v="3372"/>
    <n v="1"/>
    <s v="Y"/>
    <s v="No"/>
    <n v="13"/>
    <n v="3"/>
    <n v="1"/>
    <n v="80"/>
    <n v="1"/>
    <n v="1"/>
    <n v="3"/>
    <n v="1"/>
    <x v="6"/>
    <n v="0"/>
    <n v="0"/>
    <n v="0"/>
    <x v="2"/>
    <x v="1"/>
    <s v="Resigned"/>
    <x v="1"/>
  </r>
  <r>
    <n v="33"/>
    <x v="1"/>
    <s v="Travel Frequently"/>
    <n v="1146"/>
    <x v="0"/>
    <n v="25"/>
    <n v="3"/>
    <s v="Medical"/>
    <n v="1"/>
    <x v="872"/>
    <n v="2"/>
    <x v="0"/>
    <n v="82"/>
    <n v="3"/>
    <n v="2"/>
    <x v="0"/>
    <n v="3"/>
    <s v="Married"/>
    <n v="4539"/>
    <n v="4905"/>
    <n v="1"/>
    <s v="Y"/>
    <s v="No"/>
    <n v="12"/>
    <n v="3"/>
    <n v="1"/>
    <n v="80"/>
    <n v="1"/>
    <n v="10"/>
    <n v="3"/>
    <n v="2"/>
    <x v="1"/>
    <n v="7"/>
    <n v="0"/>
    <n v="1"/>
    <x v="1"/>
    <x v="1"/>
    <s v="Active"/>
    <x v="0"/>
  </r>
  <r>
    <n v="36"/>
    <x v="1"/>
    <s v="Travel Rarely"/>
    <n v="917"/>
    <x v="1"/>
    <n v="6"/>
    <n v="4"/>
    <s v="Life Sciences"/>
    <n v="1"/>
    <x v="873"/>
    <n v="3"/>
    <x v="1"/>
    <n v="60"/>
    <n v="1"/>
    <n v="1"/>
    <x v="2"/>
    <n v="3"/>
    <s v="Divorced"/>
    <n v="2741"/>
    <n v="6865"/>
    <n v="1"/>
    <s v="Y"/>
    <s v="No"/>
    <n v="14"/>
    <n v="3"/>
    <n v="3"/>
    <n v="80"/>
    <n v="1"/>
    <n v="7"/>
    <n v="4"/>
    <n v="3"/>
    <x v="5"/>
    <n v="7"/>
    <n v="1"/>
    <n v="7"/>
    <x v="1"/>
    <x v="1"/>
    <s v="Active"/>
    <x v="0"/>
  </r>
  <r>
    <n v="30"/>
    <x v="1"/>
    <s v="Travel Rarely"/>
    <n v="853"/>
    <x v="1"/>
    <n v="7"/>
    <n v="4"/>
    <s v="Life Sciences"/>
    <n v="1"/>
    <x v="874"/>
    <n v="3"/>
    <x v="1"/>
    <n v="49"/>
    <n v="3"/>
    <n v="2"/>
    <x v="2"/>
    <n v="3"/>
    <s v="Divorced"/>
    <n v="3491"/>
    <n v="11309"/>
    <n v="1"/>
    <s v="Y"/>
    <s v="No"/>
    <n v="13"/>
    <n v="3"/>
    <n v="1"/>
    <n v="80"/>
    <n v="3"/>
    <n v="10"/>
    <n v="4"/>
    <n v="2"/>
    <x v="1"/>
    <n v="7"/>
    <n v="8"/>
    <n v="9"/>
    <x v="1"/>
    <x v="1"/>
    <s v="Active"/>
    <x v="0"/>
  </r>
  <r>
    <n v="44"/>
    <x v="1"/>
    <s v="Travel Rarely"/>
    <n v="200"/>
    <x v="1"/>
    <n v="29"/>
    <n v="4"/>
    <s v="Other"/>
    <n v="1"/>
    <x v="875"/>
    <n v="4"/>
    <x v="1"/>
    <n v="32"/>
    <n v="3"/>
    <n v="2"/>
    <x v="1"/>
    <n v="4"/>
    <s v="Single"/>
    <n v="4541"/>
    <n v="7744"/>
    <n v="1"/>
    <s v="Y"/>
    <s v="No"/>
    <n v="25"/>
    <n v="4"/>
    <n v="2"/>
    <n v="80"/>
    <n v="0"/>
    <n v="20"/>
    <n v="3"/>
    <n v="3"/>
    <x v="23"/>
    <n v="11"/>
    <n v="13"/>
    <n v="17"/>
    <x v="0"/>
    <x v="1"/>
    <s v="Active"/>
    <x v="0"/>
  </r>
  <r>
    <n v="20"/>
    <x v="1"/>
    <s v="Travel Rarely"/>
    <n v="654"/>
    <x v="0"/>
    <n v="21"/>
    <n v="3"/>
    <s v="Marketing"/>
    <n v="1"/>
    <x v="876"/>
    <n v="3"/>
    <x v="1"/>
    <n v="43"/>
    <n v="4"/>
    <n v="1"/>
    <x v="6"/>
    <n v="4"/>
    <s v="Single"/>
    <n v="2678"/>
    <n v="5050"/>
    <n v="1"/>
    <s v="Y"/>
    <s v="No"/>
    <n v="17"/>
    <n v="3"/>
    <n v="4"/>
    <n v="80"/>
    <n v="0"/>
    <n v="2"/>
    <n v="2"/>
    <n v="3"/>
    <x v="4"/>
    <n v="1"/>
    <n v="2"/>
    <n v="2"/>
    <x v="2"/>
    <x v="1"/>
    <s v="Active"/>
    <x v="2"/>
  </r>
  <r>
    <n v="46"/>
    <x v="1"/>
    <s v="Travel Rarely"/>
    <n v="150"/>
    <x v="1"/>
    <n v="2"/>
    <n v="4"/>
    <s v="Technical Degree"/>
    <n v="1"/>
    <x v="877"/>
    <n v="4"/>
    <x v="1"/>
    <n v="60"/>
    <n v="3"/>
    <n v="2"/>
    <x v="3"/>
    <n v="4"/>
    <s v="Divorced"/>
    <n v="7379"/>
    <n v="17433"/>
    <n v="2"/>
    <s v="Y"/>
    <s v="No"/>
    <n v="11"/>
    <n v="3"/>
    <n v="3"/>
    <n v="80"/>
    <n v="1"/>
    <n v="12"/>
    <n v="3"/>
    <n v="2"/>
    <x v="0"/>
    <n v="3"/>
    <n v="1"/>
    <n v="4"/>
    <x v="0"/>
    <x v="0"/>
    <s v="Active"/>
    <x v="0"/>
  </r>
  <r>
    <n v="42"/>
    <x v="1"/>
    <s v="Non Travel"/>
    <n v="179"/>
    <x v="2"/>
    <n v="2"/>
    <n v="5"/>
    <s v="Medical"/>
    <n v="1"/>
    <x v="878"/>
    <n v="4"/>
    <x v="1"/>
    <n v="79"/>
    <n v="4"/>
    <n v="2"/>
    <x v="8"/>
    <n v="1"/>
    <s v="Married"/>
    <n v="6272"/>
    <n v="12858"/>
    <n v="7"/>
    <s v="Y"/>
    <s v="No"/>
    <n v="16"/>
    <n v="3"/>
    <n v="1"/>
    <n v="80"/>
    <n v="1"/>
    <n v="10"/>
    <n v="3"/>
    <n v="4"/>
    <x v="9"/>
    <n v="3"/>
    <n v="0"/>
    <n v="3"/>
    <x v="0"/>
    <x v="0"/>
    <s v="Active"/>
    <x v="4"/>
  </r>
  <r>
    <n v="60"/>
    <x v="1"/>
    <s v="Travel Rarely"/>
    <n v="696"/>
    <x v="0"/>
    <n v="7"/>
    <n v="4"/>
    <s v="Marketing"/>
    <n v="1"/>
    <x v="879"/>
    <n v="2"/>
    <x v="1"/>
    <n v="52"/>
    <n v="4"/>
    <n v="2"/>
    <x v="0"/>
    <n v="4"/>
    <s v="Divorced"/>
    <n v="5220"/>
    <n v="10893"/>
    <n v="0"/>
    <s v="Y"/>
    <s v="Yes"/>
    <n v="18"/>
    <n v="3"/>
    <n v="2"/>
    <n v="80"/>
    <n v="1"/>
    <n v="12"/>
    <n v="3"/>
    <n v="3"/>
    <x v="19"/>
    <n v="7"/>
    <n v="1"/>
    <n v="9"/>
    <x v="0"/>
    <x v="0"/>
    <s v="Active"/>
    <x v="0"/>
  </r>
  <r>
    <n v="32"/>
    <x v="1"/>
    <s v="Travel Frequently"/>
    <n v="116"/>
    <x v="1"/>
    <n v="13"/>
    <n v="3"/>
    <s v="Other"/>
    <n v="1"/>
    <x v="880"/>
    <n v="3"/>
    <x v="0"/>
    <n v="77"/>
    <n v="2"/>
    <n v="1"/>
    <x v="2"/>
    <n v="2"/>
    <s v="Married"/>
    <n v="2743"/>
    <n v="7331"/>
    <n v="1"/>
    <s v="Y"/>
    <s v="No"/>
    <n v="20"/>
    <n v="4"/>
    <n v="3"/>
    <n v="80"/>
    <n v="1"/>
    <n v="2"/>
    <n v="2"/>
    <n v="3"/>
    <x v="4"/>
    <n v="2"/>
    <n v="2"/>
    <n v="2"/>
    <x v="1"/>
    <x v="1"/>
    <s v="Active"/>
    <x v="2"/>
  </r>
  <r>
    <n v="32"/>
    <x v="1"/>
    <s v="Travel Frequently"/>
    <n v="1316"/>
    <x v="1"/>
    <n v="2"/>
    <n v="2"/>
    <s v="Life Sciences"/>
    <n v="1"/>
    <x v="881"/>
    <n v="4"/>
    <x v="0"/>
    <n v="38"/>
    <n v="3"/>
    <n v="2"/>
    <x v="1"/>
    <n v="3"/>
    <s v="Single"/>
    <n v="4998"/>
    <n v="2338"/>
    <n v="4"/>
    <s v="Y"/>
    <s v="Yes"/>
    <n v="14"/>
    <n v="3"/>
    <n v="4"/>
    <n v="80"/>
    <n v="0"/>
    <n v="10"/>
    <n v="2"/>
    <n v="3"/>
    <x v="3"/>
    <n v="7"/>
    <n v="0"/>
    <n v="7"/>
    <x v="1"/>
    <x v="1"/>
    <s v="Active"/>
    <x v="0"/>
  </r>
  <r>
    <n v="36"/>
    <x v="1"/>
    <s v="Travel Rarely"/>
    <n v="363"/>
    <x v="1"/>
    <n v="1"/>
    <n v="3"/>
    <s v="Technical Degree"/>
    <n v="1"/>
    <x v="882"/>
    <n v="3"/>
    <x v="0"/>
    <n v="77"/>
    <n v="1"/>
    <n v="3"/>
    <x v="3"/>
    <n v="1"/>
    <s v="Divorced"/>
    <n v="10252"/>
    <n v="4235"/>
    <n v="2"/>
    <s v="Y"/>
    <s v="Yes"/>
    <n v="21"/>
    <n v="4"/>
    <n v="3"/>
    <n v="80"/>
    <n v="1"/>
    <n v="17"/>
    <n v="2"/>
    <n v="3"/>
    <x v="5"/>
    <n v="7"/>
    <n v="7"/>
    <n v="7"/>
    <x v="1"/>
    <x v="2"/>
    <s v="Active"/>
    <x v="0"/>
  </r>
  <r>
    <n v="33"/>
    <x v="1"/>
    <s v="Travel Rarely"/>
    <n v="117"/>
    <x v="1"/>
    <n v="9"/>
    <n v="3"/>
    <s v="Medical"/>
    <n v="1"/>
    <x v="883"/>
    <n v="1"/>
    <x v="1"/>
    <n v="60"/>
    <n v="3"/>
    <n v="1"/>
    <x v="1"/>
    <n v="4"/>
    <s v="Married"/>
    <n v="2781"/>
    <n v="6311"/>
    <n v="0"/>
    <s v="Y"/>
    <s v="No"/>
    <n v="13"/>
    <n v="3"/>
    <n v="2"/>
    <n v="80"/>
    <n v="1"/>
    <n v="15"/>
    <n v="5"/>
    <n v="3"/>
    <x v="13"/>
    <n v="10"/>
    <n v="4"/>
    <n v="10"/>
    <x v="1"/>
    <x v="1"/>
    <s v="Active"/>
    <x v="0"/>
  </r>
  <r>
    <n v="40"/>
    <x v="1"/>
    <s v="Travel Rarely"/>
    <n v="107"/>
    <x v="0"/>
    <n v="10"/>
    <n v="3"/>
    <s v="Technical Degree"/>
    <n v="1"/>
    <x v="884"/>
    <n v="2"/>
    <x v="0"/>
    <n v="84"/>
    <n v="2"/>
    <n v="2"/>
    <x v="0"/>
    <n v="2"/>
    <s v="Divorced"/>
    <n v="6852"/>
    <n v="11591"/>
    <n v="7"/>
    <s v="Y"/>
    <s v="No"/>
    <n v="12"/>
    <n v="3"/>
    <n v="2"/>
    <n v="80"/>
    <n v="1"/>
    <n v="7"/>
    <n v="2"/>
    <n v="4"/>
    <x v="8"/>
    <n v="1"/>
    <n v="1"/>
    <n v="3"/>
    <x v="1"/>
    <x v="0"/>
    <s v="Active"/>
    <x v="3"/>
  </r>
  <r>
    <n v="25"/>
    <x v="1"/>
    <s v="Travel Rarely"/>
    <n v="1356"/>
    <x v="0"/>
    <n v="10"/>
    <n v="4"/>
    <s v="Life Sciences"/>
    <n v="1"/>
    <x v="885"/>
    <n v="3"/>
    <x v="1"/>
    <n v="57"/>
    <n v="3"/>
    <n v="2"/>
    <x v="0"/>
    <n v="4"/>
    <s v="Single"/>
    <n v="4950"/>
    <n v="20623"/>
    <n v="0"/>
    <s v="Y"/>
    <s v="No"/>
    <n v="14"/>
    <n v="3"/>
    <n v="2"/>
    <n v="80"/>
    <n v="0"/>
    <n v="5"/>
    <n v="4"/>
    <n v="3"/>
    <x v="9"/>
    <n v="3"/>
    <n v="1"/>
    <n v="1"/>
    <x v="2"/>
    <x v="1"/>
    <s v="Active"/>
    <x v="4"/>
  </r>
  <r>
    <n v="30"/>
    <x v="1"/>
    <s v="Travel Rarely"/>
    <n v="1465"/>
    <x v="1"/>
    <n v="1"/>
    <n v="3"/>
    <s v="Medical"/>
    <n v="1"/>
    <x v="886"/>
    <n v="4"/>
    <x v="1"/>
    <n v="63"/>
    <n v="3"/>
    <n v="1"/>
    <x v="1"/>
    <n v="2"/>
    <s v="Married"/>
    <n v="3579"/>
    <n v="9369"/>
    <n v="0"/>
    <s v="Y"/>
    <s v="Yes"/>
    <n v="21"/>
    <n v="4"/>
    <n v="1"/>
    <n v="80"/>
    <n v="1"/>
    <n v="12"/>
    <n v="2"/>
    <n v="3"/>
    <x v="19"/>
    <n v="9"/>
    <n v="5"/>
    <n v="7"/>
    <x v="1"/>
    <x v="1"/>
    <s v="Active"/>
    <x v="0"/>
  </r>
  <r>
    <n v="42"/>
    <x v="1"/>
    <s v="Travel Frequently"/>
    <n v="458"/>
    <x v="1"/>
    <n v="26"/>
    <n v="5"/>
    <s v="Medical"/>
    <n v="1"/>
    <x v="887"/>
    <n v="1"/>
    <x v="0"/>
    <n v="60"/>
    <n v="3"/>
    <n v="3"/>
    <x v="7"/>
    <n v="1"/>
    <s v="Married"/>
    <n v="13191"/>
    <n v="23281"/>
    <n v="3"/>
    <s v="Y"/>
    <s v="Yes"/>
    <n v="17"/>
    <n v="3"/>
    <n v="3"/>
    <n v="80"/>
    <n v="0"/>
    <n v="20"/>
    <n v="6"/>
    <n v="3"/>
    <x v="6"/>
    <n v="0"/>
    <n v="0"/>
    <n v="0"/>
    <x v="0"/>
    <x v="2"/>
    <s v="Active"/>
    <x v="1"/>
  </r>
  <r>
    <n v="35"/>
    <x v="1"/>
    <s v="Non Travel"/>
    <n v="1212"/>
    <x v="0"/>
    <n v="8"/>
    <n v="2"/>
    <s v="Marketing"/>
    <n v="1"/>
    <x v="888"/>
    <n v="3"/>
    <x v="0"/>
    <n v="78"/>
    <n v="2"/>
    <n v="3"/>
    <x v="0"/>
    <n v="4"/>
    <s v="Married"/>
    <n v="10377"/>
    <n v="13755"/>
    <n v="4"/>
    <s v="Y"/>
    <s v="Yes"/>
    <n v="11"/>
    <n v="3"/>
    <n v="2"/>
    <n v="80"/>
    <n v="1"/>
    <n v="16"/>
    <n v="6"/>
    <n v="2"/>
    <x v="20"/>
    <n v="2"/>
    <n v="4"/>
    <n v="12"/>
    <x v="1"/>
    <x v="2"/>
    <s v="Active"/>
    <x v="0"/>
  </r>
  <r>
    <n v="27"/>
    <x v="1"/>
    <s v="Travel Rarely"/>
    <n v="1103"/>
    <x v="1"/>
    <n v="14"/>
    <n v="3"/>
    <s v="Life Sciences"/>
    <n v="1"/>
    <x v="889"/>
    <n v="1"/>
    <x v="1"/>
    <n v="42"/>
    <n v="3"/>
    <n v="1"/>
    <x v="1"/>
    <n v="1"/>
    <s v="Married"/>
    <n v="2235"/>
    <n v="14377"/>
    <n v="1"/>
    <s v="Y"/>
    <s v="Yes"/>
    <n v="14"/>
    <n v="3"/>
    <n v="4"/>
    <n v="80"/>
    <n v="2"/>
    <n v="9"/>
    <n v="3"/>
    <n v="2"/>
    <x v="7"/>
    <n v="7"/>
    <n v="6"/>
    <n v="8"/>
    <x v="2"/>
    <x v="1"/>
    <s v="Active"/>
    <x v="0"/>
  </r>
  <r>
    <n v="54"/>
    <x v="1"/>
    <s v="Travel Frequently"/>
    <n v="966"/>
    <x v="1"/>
    <n v="1"/>
    <n v="4"/>
    <s v="Life Sciences"/>
    <n v="1"/>
    <x v="890"/>
    <n v="4"/>
    <x v="0"/>
    <n v="53"/>
    <n v="3"/>
    <n v="3"/>
    <x v="3"/>
    <n v="3"/>
    <s v="Divorced"/>
    <n v="10502"/>
    <n v="9659"/>
    <n v="7"/>
    <s v="Y"/>
    <s v="No"/>
    <n v="17"/>
    <n v="3"/>
    <n v="1"/>
    <n v="80"/>
    <n v="1"/>
    <n v="33"/>
    <n v="2"/>
    <n v="1"/>
    <x v="8"/>
    <n v="4"/>
    <n v="1"/>
    <n v="4"/>
    <x v="0"/>
    <x v="2"/>
    <s v="Active"/>
    <x v="3"/>
  </r>
  <r>
    <n v="44"/>
    <x v="1"/>
    <s v="Travel Rarely"/>
    <n v="1117"/>
    <x v="1"/>
    <n v="2"/>
    <n v="1"/>
    <s v="Life Sciences"/>
    <n v="1"/>
    <x v="891"/>
    <n v="1"/>
    <x v="0"/>
    <n v="72"/>
    <n v="4"/>
    <n v="1"/>
    <x v="1"/>
    <n v="4"/>
    <s v="Married"/>
    <n v="2011"/>
    <n v="19982"/>
    <n v="1"/>
    <s v="Y"/>
    <s v="No"/>
    <n v="13"/>
    <n v="3"/>
    <n v="4"/>
    <n v="80"/>
    <n v="1"/>
    <n v="10"/>
    <n v="5"/>
    <n v="3"/>
    <x v="1"/>
    <n v="5"/>
    <n v="7"/>
    <n v="7"/>
    <x v="0"/>
    <x v="1"/>
    <s v="Active"/>
    <x v="0"/>
  </r>
  <r>
    <n v="19"/>
    <x v="0"/>
    <s v="Non Travel"/>
    <n v="504"/>
    <x v="1"/>
    <n v="10"/>
    <n v="3"/>
    <s v="Medical"/>
    <n v="1"/>
    <x v="892"/>
    <n v="1"/>
    <x v="0"/>
    <n v="96"/>
    <n v="2"/>
    <n v="1"/>
    <x v="1"/>
    <n v="2"/>
    <s v="Single"/>
    <n v="1859"/>
    <n v="6148"/>
    <n v="1"/>
    <s v="Y"/>
    <s v="Yes"/>
    <n v="25"/>
    <n v="4"/>
    <n v="2"/>
    <n v="80"/>
    <n v="0"/>
    <n v="1"/>
    <n v="2"/>
    <n v="4"/>
    <x v="6"/>
    <n v="1"/>
    <n v="0"/>
    <n v="0"/>
    <x v="2"/>
    <x v="1"/>
    <s v="Resigned"/>
    <x v="1"/>
  </r>
  <r>
    <n v="29"/>
    <x v="1"/>
    <s v="Travel Rarely"/>
    <n v="1010"/>
    <x v="1"/>
    <n v="1"/>
    <n v="3"/>
    <s v="Life Sciences"/>
    <n v="1"/>
    <x v="893"/>
    <n v="1"/>
    <x v="0"/>
    <n v="97"/>
    <n v="3"/>
    <n v="1"/>
    <x v="1"/>
    <n v="4"/>
    <s v="Divorced"/>
    <n v="3760"/>
    <n v="5598"/>
    <n v="1"/>
    <s v="Y"/>
    <s v="No"/>
    <n v="15"/>
    <n v="3"/>
    <n v="1"/>
    <n v="80"/>
    <n v="3"/>
    <n v="3"/>
    <n v="5"/>
    <n v="3"/>
    <x v="11"/>
    <n v="2"/>
    <n v="1"/>
    <n v="2"/>
    <x v="2"/>
    <x v="1"/>
    <s v="Active"/>
    <x v="5"/>
  </r>
  <r>
    <n v="54"/>
    <x v="1"/>
    <s v="Travel Rarely"/>
    <n v="685"/>
    <x v="1"/>
    <n v="3"/>
    <n v="3"/>
    <s v="Life Sciences"/>
    <n v="1"/>
    <x v="894"/>
    <n v="4"/>
    <x v="1"/>
    <n v="85"/>
    <n v="3"/>
    <n v="4"/>
    <x v="7"/>
    <n v="4"/>
    <s v="Married"/>
    <n v="17779"/>
    <n v="23474"/>
    <n v="3"/>
    <s v="Y"/>
    <s v="No"/>
    <n v="14"/>
    <n v="3"/>
    <n v="1"/>
    <n v="80"/>
    <n v="0"/>
    <n v="36"/>
    <n v="2"/>
    <n v="3"/>
    <x v="1"/>
    <n v="9"/>
    <n v="0"/>
    <n v="9"/>
    <x v="0"/>
    <x v="2"/>
    <s v="Active"/>
    <x v="0"/>
  </r>
  <r>
    <n v="31"/>
    <x v="1"/>
    <s v="Travel Rarely"/>
    <n v="1332"/>
    <x v="1"/>
    <n v="11"/>
    <n v="2"/>
    <s v="Medical"/>
    <n v="1"/>
    <x v="895"/>
    <n v="3"/>
    <x v="1"/>
    <n v="80"/>
    <n v="3"/>
    <n v="2"/>
    <x v="4"/>
    <n v="1"/>
    <s v="Married"/>
    <n v="6833"/>
    <n v="17089"/>
    <n v="1"/>
    <s v="Y"/>
    <s v="Yes"/>
    <n v="12"/>
    <n v="3"/>
    <n v="4"/>
    <n v="80"/>
    <n v="0"/>
    <n v="6"/>
    <n v="2"/>
    <n v="2"/>
    <x v="0"/>
    <n v="5"/>
    <n v="0"/>
    <n v="1"/>
    <x v="1"/>
    <x v="0"/>
    <s v="Active"/>
    <x v="0"/>
  </r>
  <r>
    <n v="31"/>
    <x v="1"/>
    <s v="Travel Rarely"/>
    <n v="1062"/>
    <x v="1"/>
    <n v="24"/>
    <n v="3"/>
    <s v="Medical"/>
    <n v="1"/>
    <x v="896"/>
    <n v="3"/>
    <x v="0"/>
    <n v="96"/>
    <n v="2"/>
    <n v="2"/>
    <x v="4"/>
    <n v="1"/>
    <s v="Single"/>
    <n v="6812"/>
    <n v="17198"/>
    <n v="1"/>
    <s v="Y"/>
    <s v="No"/>
    <n v="19"/>
    <n v="3"/>
    <n v="2"/>
    <n v="80"/>
    <n v="0"/>
    <n v="10"/>
    <n v="2"/>
    <n v="3"/>
    <x v="1"/>
    <n v="9"/>
    <n v="1"/>
    <n v="8"/>
    <x v="1"/>
    <x v="0"/>
    <s v="Active"/>
    <x v="0"/>
  </r>
  <r>
    <n v="59"/>
    <x v="1"/>
    <s v="Travel Rarely"/>
    <n v="326"/>
    <x v="0"/>
    <n v="3"/>
    <n v="3"/>
    <s v="Life Sciences"/>
    <n v="1"/>
    <x v="897"/>
    <n v="3"/>
    <x v="0"/>
    <n v="48"/>
    <n v="2"/>
    <n v="2"/>
    <x v="0"/>
    <n v="4"/>
    <s v="Single"/>
    <n v="5171"/>
    <n v="16490"/>
    <n v="5"/>
    <s v="Y"/>
    <s v="No"/>
    <n v="17"/>
    <n v="3"/>
    <n v="4"/>
    <n v="80"/>
    <n v="0"/>
    <n v="13"/>
    <n v="2"/>
    <n v="3"/>
    <x v="0"/>
    <n v="1"/>
    <n v="0"/>
    <n v="5"/>
    <x v="0"/>
    <x v="0"/>
    <s v="Active"/>
    <x v="0"/>
  </r>
  <r>
    <n v="43"/>
    <x v="1"/>
    <s v="Travel Rarely"/>
    <n v="920"/>
    <x v="1"/>
    <n v="3"/>
    <n v="3"/>
    <s v="Life Sciences"/>
    <n v="1"/>
    <x v="898"/>
    <n v="3"/>
    <x v="1"/>
    <n v="96"/>
    <n v="1"/>
    <n v="5"/>
    <x v="7"/>
    <n v="4"/>
    <s v="Married"/>
    <n v="19740"/>
    <n v="18625"/>
    <n v="3"/>
    <s v="Y"/>
    <s v="No"/>
    <n v="14"/>
    <n v="3"/>
    <n v="2"/>
    <n v="80"/>
    <n v="1"/>
    <n v="25"/>
    <n v="2"/>
    <n v="3"/>
    <x v="3"/>
    <n v="7"/>
    <n v="0"/>
    <n v="7"/>
    <x v="0"/>
    <x v="2"/>
    <s v="Active"/>
    <x v="0"/>
  </r>
  <r>
    <n v="49"/>
    <x v="1"/>
    <s v="Travel Rarely"/>
    <n v="1098"/>
    <x v="1"/>
    <n v="4"/>
    <n v="2"/>
    <s v="Medical"/>
    <n v="1"/>
    <x v="899"/>
    <n v="1"/>
    <x v="1"/>
    <n v="85"/>
    <n v="2"/>
    <n v="5"/>
    <x v="5"/>
    <n v="3"/>
    <s v="Married"/>
    <n v="18711"/>
    <n v="12124"/>
    <n v="2"/>
    <s v="Y"/>
    <s v="No"/>
    <n v="13"/>
    <n v="3"/>
    <n v="3"/>
    <n v="80"/>
    <n v="1"/>
    <n v="23"/>
    <n v="2"/>
    <n v="4"/>
    <x v="6"/>
    <n v="0"/>
    <n v="0"/>
    <n v="0"/>
    <x v="0"/>
    <x v="2"/>
    <s v="Active"/>
    <x v="1"/>
  </r>
  <r>
    <n v="36"/>
    <x v="1"/>
    <s v="Travel Frequently"/>
    <n v="469"/>
    <x v="1"/>
    <n v="3"/>
    <n v="3"/>
    <s v="Technical Degree"/>
    <n v="1"/>
    <x v="900"/>
    <n v="3"/>
    <x v="1"/>
    <n v="46"/>
    <n v="3"/>
    <n v="1"/>
    <x v="1"/>
    <n v="2"/>
    <s v="Married"/>
    <n v="3692"/>
    <n v="9256"/>
    <n v="1"/>
    <s v="Y"/>
    <s v="No"/>
    <n v="12"/>
    <n v="3"/>
    <n v="3"/>
    <n v="80"/>
    <n v="0"/>
    <n v="12"/>
    <n v="2"/>
    <n v="2"/>
    <x v="19"/>
    <n v="10"/>
    <n v="0"/>
    <n v="7"/>
    <x v="1"/>
    <x v="1"/>
    <s v="Active"/>
    <x v="0"/>
  </r>
  <r>
    <n v="48"/>
    <x v="1"/>
    <s v="Travel Rarely"/>
    <n v="969"/>
    <x v="1"/>
    <n v="2"/>
    <n v="2"/>
    <s v="Technical Degree"/>
    <n v="1"/>
    <x v="901"/>
    <n v="4"/>
    <x v="1"/>
    <n v="76"/>
    <n v="4"/>
    <n v="1"/>
    <x v="2"/>
    <n v="2"/>
    <s v="Single"/>
    <n v="2559"/>
    <n v="16620"/>
    <n v="5"/>
    <s v="Y"/>
    <s v="No"/>
    <n v="11"/>
    <n v="3"/>
    <n v="3"/>
    <n v="80"/>
    <n v="0"/>
    <n v="7"/>
    <n v="4"/>
    <n v="2"/>
    <x v="6"/>
    <n v="0"/>
    <n v="0"/>
    <n v="0"/>
    <x v="0"/>
    <x v="1"/>
    <s v="Active"/>
    <x v="1"/>
  </r>
  <r>
    <n v="27"/>
    <x v="1"/>
    <s v="Travel Rarely"/>
    <n v="1167"/>
    <x v="1"/>
    <n v="4"/>
    <n v="2"/>
    <s v="Life Sciences"/>
    <n v="1"/>
    <x v="902"/>
    <n v="1"/>
    <x v="1"/>
    <n v="76"/>
    <n v="3"/>
    <n v="1"/>
    <x v="1"/>
    <n v="3"/>
    <s v="Divorced"/>
    <n v="2517"/>
    <n v="3208"/>
    <n v="1"/>
    <s v="Y"/>
    <s v="No"/>
    <n v="11"/>
    <n v="3"/>
    <n v="2"/>
    <n v="80"/>
    <n v="3"/>
    <n v="5"/>
    <n v="2"/>
    <n v="3"/>
    <x v="8"/>
    <n v="3"/>
    <n v="0"/>
    <n v="3"/>
    <x v="2"/>
    <x v="1"/>
    <s v="Active"/>
    <x v="3"/>
  </r>
  <r>
    <n v="29"/>
    <x v="1"/>
    <s v="Travel Rarely"/>
    <n v="1329"/>
    <x v="1"/>
    <n v="7"/>
    <n v="3"/>
    <s v="Life Sciences"/>
    <n v="1"/>
    <x v="903"/>
    <n v="3"/>
    <x v="1"/>
    <n v="82"/>
    <n v="3"/>
    <n v="2"/>
    <x v="4"/>
    <n v="4"/>
    <s v="Divorced"/>
    <n v="6623"/>
    <n v="4204"/>
    <n v="1"/>
    <s v="Y"/>
    <s v="Yes"/>
    <n v="11"/>
    <n v="3"/>
    <n v="2"/>
    <n v="80"/>
    <n v="2"/>
    <n v="6"/>
    <n v="2"/>
    <n v="3"/>
    <x v="0"/>
    <n v="0"/>
    <n v="1"/>
    <n v="0"/>
    <x v="2"/>
    <x v="0"/>
    <s v="Active"/>
    <x v="0"/>
  </r>
  <r>
    <n v="48"/>
    <x v="1"/>
    <s v="Travel Rarely"/>
    <n v="715"/>
    <x v="1"/>
    <n v="1"/>
    <n v="3"/>
    <s v="Life Sciences"/>
    <n v="1"/>
    <x v="904"/>
    <n v="4"/>
    <x v="1"/>
    <n v="76"/>
    <n v="2"/>
    <n v="5"/>
    <x v="7"/>
    <n v="4"/>
    <s v="Single"/>
    <n v="18265"/>
    <n v="8733"/>
    <n v="6"/>
    <s v="Y"/>
    <s v="No"/>
    <n v="12"/>
    <n v="3"/>
    <n v="3"/>
    <n v="80"/>
    <n v="0"/>
    <n v="25"/>
    <n v="3"/>
    <n v="4"/>
    <x v="6"/>
    <n v="0"/>
    <n v="0"/>
    <n v="0"/>
    <x v="0"/>
    <x v="2"/>
    <s v="Active"/>
    <x v="1"/>
  </r>
  <r>
    <n v="29"/>
    <x v="1"/>
    <s v="Travel Rarely"/>
    <n v="694"/>
    <x v="1"/>
    <n v="1"/>
    <n v="3"/>
    <s v="Life Sciences"/>
    <n v="1"/>
    <x v="905"/>
    <n v="4"/>
    <x v="0"/>
    <n v="87"/>
    <n v="2"/>
    <n v="4"/>
    <x v="7"/>
    <n v="4"/>
    <s v="Divorced"/>
    <n v="16124"/>
    <n v="3423"/>
    <n v="3"/>
    <s v="Y"/>
    <s v="No"/>
    <n v="14"/>
    <n v="3"/>
    <n v="2"/>
    <n v="80"/>
    <n v="2"/>
    <n v="9"/>
    <n v="2"/>
    <n v="2"/>
    <x v="5"/>
    <n v="7"/>
    <n v="1"/>
    <n v="7"/>
    <x v="2"/>
    <x v="2"/>
    <s v="Active"/>
    <x v="0"/>
  </r>
  <r>
    <n v="34"/>
    <x v="1"/>
    <s v="Travel Rarely"/>
    <n v="1320"/>
    <x v="1"/>
    <n v="20"/>
    <n v="3"/>
    <s v="Technical Degree"/>
    <n v="1"/>
    <x v="906"/>
    <n v="3"/>
    <x v="0"/>
    <n v="89"/>
    <n v="4"/>
    <n v="1"/>
    <x v="1"/>
    <n v="3"/>
    <s v="Married"/>
    <n v="2585"/>
    <n v="21643"/>
    <n v="0"/>
    <s v="Y"/>
    <s v="No"/>
    <n v="17"/>
    <n v="3"/>
    <n v="4"/>
    <n v="80"/>
    <n v="0"/>
    <n v="2"/>
    <n v="5"/>
    <n v="2"/>
    <x v="6"/>
    <n v="0"/>
    <n v="0"/>
    <n v="0"/>
    <x v="1"/>
    <x v="1"/>
    <s v="Active"/>
    <x v="1"/>
  </r>
  <r>
    <n v="44"/>
    <x v="1"/>
    <s v="Travel Rarely"/>
    <n v="1099"/>
    <x v="0"/>
    <n v="5"/>
    <n v="3"/>
    <s v="Marketing"/>
    <n v="1"/>
    <x v="907"/>
    <n v="2"/>
    <x v="1"/>
    <n v="88"/>
    <n v="3"/>
    <n v="5"/>
    <x v="5"/>
    <n v="2"/>
    <s v="Married"/>
    <n v="18213"/>
    <n v="8751"/>
    <n v="7"/>
    <s v="Y"/>
    <s v="No"/>
    <n v="11"/>
    <n v="3"/>
    <n v="3"/>
    <n v="80"/>
    <n v="1"/>
    <n v="26"/>
    <n v="5"/>
    <n v="3"/>
    <x v="14"/>
    <n v="9"/>
    <n v="3"/>
    <n v="10"/>
    <x v="0"/>
    <x v="2"/>
    <s v="Active"/>
    <x v="0"/>
  </r>
  <r>
    <n v="33"/>
    <x v="1"/>
    <s v="Travel Rarely"/>
    <n v="536"/>
    <x v="0"/>
    <n v="10"/>
    <n v="5"/>
    <s v="Marketing"/>
    <n v="1"/>
    <x v="908"/>
    <n v="4"/>
    <x v="1"/>
    <n v="82"/>
    <n v="4"/>
    <n v="3"/>
    <x v="0"/>
    <n v="3"/>
    <s v="Divorced"/>
    <n v="8380"/>
    <n v="21708"/>
    <n v="0"/>
    <s v="Y"/>
    <s v="Yes"/>
    <n v="14"/>
    <n v="3"/>
    <n v="4"/>
    <n v="80"/>
    <n v="2"/>
    <n v="10"/>
    <n v="3"/>
    <n v="3"/>
    <x v="7"/>
    <n v="8"/>
    <n v="0"/>
    <n v="8"/>
    <x v="1"/>
    <x v="0"/>
    <s v="Active"/>
    <x v="0"/>
  </r>
  <r>
    <n v="19"/>
    <x v="1"/>
    <s v="Travel Rarely"/>
    <n v="265"/>
    <x v="1"/>
    <n v="25"/>
    <n v="3"/>
    <s v="Life Sciences"/>
    <n v="1"/>
    <x v="909"/>
    <n v="2"/>
    <x v="0"/>
    <n v="57"/>
    <n v="4"/>
    <n v="1"/>
    <x v="1"/>
    <n v="4"/>
    <s v="Single"/>
    <n v="2994"/>
    <n v="21221"/>
    <n v="1"/>
    <s v="Y"/>
    <s v="Yes"/>
    <n v="12"/>
    <n v="3"/>
    <n v="4"/>
    <n v="80"/>
    <n v="0"/>
    <n v="1"/>
    <n v="2"/>
    <n v="3"/>
    <x v="6"/>
    <n v="0"/>
    <n v="0"/>
    <n v="1"/>
    <x v="2"/>
    <x v="1"/>
    <s v="Active"/>
    <x v="1"/>
  </r>
  <r>
    <n v="23"/>
    <x v="1"/>
    <s v="Travel Rarely"/>
    <n v="373"/>
    <x v="1"/>
    <n v="1"/>
    <n v="2"/>
    <s v="Life Sciences"/>
    <n v="1"/>
    <x v="910"/>
    <n v="4"/>
    <x v="1"/>
    <n v="47"/>
    <n v="3"/>
    <n v="1"/>
    <x v="1"/>
    <n v="3"/>
    <s v="Married"/>
    <n v="1223"/>
    <n v="16901"/>
    <n v="1"/>
    <s v="Y"/>
    <s v="No"/>
    <n v="22"/>
    <n v="4"/>
    <n v="4"/>
    <n v="80"/>
    <n v="1"/>
    <n v="1"/>
    <n v="2"/>
    <n v="3"/>
    <x v="6"/>
    <n v="0"/>
    <n v="0"/>
    <n v="1"/>
    <x v="2"/>
    <x v="1"/>
    <s v="Active"/>
    <x v="1"/>
  </r>
  <r>
    <n v="25"/>
    <x v="0"/>
    <s v="Travel Frequently"/>
    <n v="599"/>
    <x v="0"/>
    <n v="24"/>
    <n v="1"/>
    <s v="Life Sciences"/>
    <n v="1"/>
    <x v="911"/>
    <n v="3"/>
    <x v="1"/>
    <n v="73"/>
    <n v="1"/>
    <n v="1"/>
    <x v="6"/>
    <n v="4"/>
    <s v="Single"/>
    <n v="1118"/>
    <n v="8040"/>
    <n v="1"/>
    <s v="Y"/>
    <s v="Yes"/>
    <n v="14"/>
    <n v="3"/>
    <n v="4"/>
    <n v="80"/>
    <n v="0"/>
    <n v="1"/>
    <n v="4"/>
    <n v="3"/>
    <x v="6"/>
    <n v="0"/>
    <n v="1"/>
    <n v="0"/>
    <x v="2"/>
    <x v="1"/>
    <s v="Resigned"/>
    <x v="1"/>
  </r>
  <r>
    <n v="26"/>
    <x v="1"/>
    <s v="Travel Rarely"/>
    <n v="583"/>
    <x v="1"/>
    <n v="4"/>
    <n v="2"/>
    <s v="Life Sciences"/>
    <n v="1"/>
    <x v="912"/>
    <n v="3"/>
    <x v="1"/>
    <n v="53"/>
    <n v="3"/>
    <n v="1"/>
    <x v="1"/>
    <n v="4"/>
    <s v="Single"/>
    <n v="2875"/>
    <n v="9973"/>
    <n v="1"/>
    <s v="Y"/>
    <s v="Yes"/>
    <n v="20"/>
    <n v="4"/>
    <n v="2"/>
    <n v="80"/>
    <n v="0"/>
    <n v="8"/>
    <n v="2"/>
    <n v="2"/>
    <x v="3"/>
    <n v="5"/>
    <n v="2"/>
    <n v="2"/>
    <x v="2"/>
    <x v="1"/>
    <s v="Active"/>
    <x v="0"/>
  </r>
  <r>
    <n v="45"/>
    <x v="0"/>
    <s v="Travel Rarely"/>
    <n v="1449"/>
    <x v="0"/>
    <n v="2"/>
    <n v="3"/>
    <s v="Marketing"/>
    <n v="1"/>
    <x v="913"/>
    <n v="1"/>
    <x v="0"/>
    <n v="94"/>
    <n v="1"/>
    <n v="5"/>
    <x v="5"/>
    <n v="2"/>
    <s v="Single"/>
    <n v="18824"/>
    <n v="2493"/>
    <n v="2"/>
    <s v="Y"/>
    <s v="Yes"/>
    <n v="16"/>
    <n v="3"/>
    <n v="1"/>
    <n v="80"/>
    <n v="0"/>
    <n v="26"/>
    <n v="2"/>
    <n v="3"/>
    <x v="25"/>
    <n v="10"/>
    <n v="1"/>
    <n v="11"/>
    <x v="0"/>
    <x v="2"/>
    <s v="Resigned"/>
    <x v="0"/>
  </r>
  <r>
    <n v="55"/>
    <x v="1"/>
    <s v="Non Travel"/>
    <n v="177"/>
    <x v="1"/>
    <n v="8"/>
    <n v="1"/>
    <s v="Medical"/>
    <n v="1"/>
    <x v="914"/>
    <n v="4"/>
    <x v="1"/>
    <n v="37"/>
    <n v="2"/>
    <n v="4"/>
    <x v="4"/>
    <n v="2"/>
    <s v="Divorced"/>
    <n v="13577"/>
    <n v="25592"/>
    <n v="1"/>
    <s v="Y"/>
    <s v="Yes"/>
    <n v="15"/>
    <n v="3"/>
    <n v="4"/>
    <n v="80"/>
    <n v="1"/>
    <n v="34"/>
    <n v="3"/>
    <n v="3"/>
    <x v="26"/>
    <n v="9"/>
    <n v="15"/>
    <n v="0"/>
    <x v="0"/>
    <x v="2"/>
    <s v="Active"/>
    <x v="0"/>
  </r>
  <r>
    <n v="21"/>
    <x v="0"/>
    <s v="Travel Frequently"/>
    <n v="251"/>
    <x v="1"/>
    <n v="10"/>
    <n v="2"/>
    <s v="Life Sciences"/>
    <n v="1"/>
    <x v="915"/>
    <n v="1"/>
    <x v="0"/>
    <n v="45"/>
    <n v="2"/>
    <n v="1"/>
    <x v="2"/>
    <n v="3"/>
    <s v="Single"/>
    <n v="2625"/>
    <n v="25308"/>
    <n v="1"/>
    <s v="Y"/>
    <s v="No"/>
    <n v="20"/>
    <n v="4"/>
    <n v="3"/>
    <n v="80"/>
    <n v="0"/>
    <n v="2"/>
    <n v="2"/>
    <n v="1"/>
    <x v="4"/>
    <n v="2"/>
    <n v="2"/>
    <n v="2"/>
    <x v="2"/>
    <x v="1"/>
    <s v="Resigned"/>
    <x v="2"/>
  </r>
  <r>
    <n v="46"/>
    <x v="1"/>
    <s v="Travel Rarely"/>
    <n v="168"/>
    <x v="0"/>
    <n v="4"/>
    <n v="2"/>
    <s v="Marketing"/>
    <n v="1"/>
    <x v="916"/>
    <n v="4"/>
    <x v="0"/>
    <n v="33"/>
    <n v="2"/>
    <n v="5"/>
    <x v="5"/>
    <n v="2"/>
    <s v="Married"/>
    <n v="18789"/>
    <n v="9946"/>
    <n v="2"/>
    <s v="Y"/>
    <s v="No"/>
    <n v="14"/>
    <n v="3"/>
    <n v="3"/>
    <n v="80"/>
    <n v="1"/>
    <n v="26"/>
    <n v="2"/>
    <n v="3"/>
    <x v="19"/>
    <n v="4"/>
    <n v="0"/>
    <n v="8"/>
    <x v="0"/>
    <x v="2"/>
    <s v="Active"/>
    <x v="0"/>
  </r>
  <r>
    <n v="34"/>
    <x v="1"/>
    <s v="Travel Rarely"/>
    <n v="131"/>
    <x v="0"/>
    <n v="2"/>
    <n v="3"/>
    <s v="Marketing"/>
    <n v="1"/>
    <x v="917"/>
    <n v="3"/>
    <x v="0"/>
    <n v="86"/>
    <n v="3"/>
    <n v="2"/>
    <x v="0"/>
    <n v="1"/>
    <s v="Single"/>
    <n v="4538"/>
    <n v="6039"/>
    <n v="0"/>
    <s v="Y"/>
    <s v="Yes"/>
    <n v="12"/>
    <n v="3"/>
    <n v="4"/>
    <n v="80"/>
    <n v="0"/>
    <n v="4"/>
    <n v="3"/>
    <n v="3"/>
    <x v="11"/>
    <n v="2"/>
    <n v="0"/>
    <n v="2"/>
    <x v="1"/>
    <x v="1"/>
    <s v="Active"/>
    <x v="5"/>
  </r>
  <r>
    <n v="51"/>
    <x v="1"/>
    <s v="Travel Frequently"/>
    <n v="237"/>
    <x v="0"/>
    <n v="9"/>
    <n v="3"/>
    <s v="Life Sciences"/>
    <n v="1"/>
    <x v="918"/>
    <n v="4"/>
    <x v="1"/>
    <n v="83"/>
    <n v="3"/>
    <n v="5"/>
    <x v="5"/>
    <n v="2"/>
    <s v="Divorced"/>
    <n v="19847"/>
    <n v="19196"/>
    <n v="4"/>
    <s v="Y"/>
    <s v="Yes"/>
    <n v="24"/>
    <n v="4"/>
    <n v="1"/>
    <n v="80"/>
    <n v="1"/>
    <n v="31"/>
    <n v="5"/>
    <n v="2"/>
    <x v="30"/>
    <n v="10"/>
    <n v="11"/>
    <n v="10"/>
    <x v="0"/>
    <x v="2"/>
    <s v="Active"/>
    <x v="0"/>
  </r>
  <r>
    <n v="59"/>
    <x v="1"/>
    <s v="Travel Rarely"/>
    <n v="1429"/>
    <x v="1"/>
    <n v="18"/>
    <n v="4"/>
    <s v="Medical"/>
    <n v="1"/>
    <x v="919"/>
    <n v="4"/>
    <x v="1"/>
    <n v="67"/>
    <n v="3"/>
    <n v="3"/>
    <x v="3"/>
    <n v="4"/>
    <s v="Single"/>
    <n v="10512"/>
    <n v="20002"/>
    <n v="6"/>
    <s v="Y"/>
    <s v="No"/>
    <n v="12"/>
    <n v="3"/>
    <n v="4"/>
    <n v="80"/>
    <n v="0"/>
    <n v="25"/>
    <n v="6"/>
    <n v="2"/>
    <x v="7"/>
    <n v="7"/>
    <n v="5"/>
    <n v="4"/>
    <x v="0"/>
    <x v="2"/>
    <s v="Active"/>
    <x v="0"/>
  </r>
  <r>
    <n v="34"/>
    <x v="1"/>
    <s v="Travel Frequently"/>
    <n v="135"/>
    <x v="1"/>
    <n v="19"/>
    <n v="3"/>
    <s v="Medical"/>
    <n v="1"/>
    <x v="920"/>
    <n v="3"/>
    <x v="0"/>
    <n v="46"/>
    <n v="3"/>
    <n v="2"/>
    <x v="2"/>
    <n v="2"/>
    <s v="Divorced"/>
    <n v="4444"/>
    <n v="22534"/>
    <n v="4"/>
    <s v="Y"/>
    <s v="No"/>
    <n v="13"/>
    <n v="3"/>
    <n v="3"/>
    <n v="80"/>
    <n v="2"/>
    <n v="15"/>
    <n v="2"/>
    <n v="4"/>
    <x v="19"/>
    <n v="8"/>
    <n v="5"/>
    <n v="10"/>
    <x v="1"/>
    <x v="1"/>
    <s v="Active"/>
    <x v="0"/>
  </r>
  <r>
    <n v="28"/>
    <x v="1"/>
    <s v="Travel Frequently"/>
    <n v="791"/>
    <x v="1"/>
    <n v="1"/>
    <n v="4"/>
    <s v="Medical"/>
    <n v="1"/>
    <x v="921"/>
    <n v="4"/>
    <x v="1"/>
    <n v="44"/>
    <n v="3"/>
    <n v="1"/>
    <x v="2"/>
    <n v="3"/>
    <s v="Single"/>
    <n v="2154"/>
    <n v="6842"/>
    <n v="0"/>
    <s v="Y"/>
    <s v="Yes"/>
    <n v="11"/>
    <n v="3"/>
    <n v="3"/>
    <n v="80"/>
    <n v="0"/>
    <n v="5"/>
    <n v="2"/>
    <n v="2"/>
    <x v="9"/>
    <n v="2"/>
    <n v="0"/>
    <n v="2"/>
    <x v="2"/>
    <x v="1"/>
    <s v="Active"/>
    <x v="4"/>
  </r>
  <r>
    <n v="44"/>
    <x v="1"/>
    <s v="Travel Rarely"/>
    <n v="1199"/>
    <x v="1"/>
    <n v="4"/>
    <n v="2"/>
    <s v="Life Sciences"/>
    <n v="1"/>
    <x v="922"/>
    <n v="3"/>
    <x v="1"/>
    <n v="92"/>
    <n v="4"/>
    <n v="5"/>
    <x v="5"/>
    <n v="1"/>
    <s v="Divorced"/>
    <n v="19190"/>
    <n v="17477"/>
    <n v="1"/>
    <s v="Y"/>
    <s v="No"/>
    <n v="14"/>
    <n v="3"/>
    <n v="4"/>
    <n v="80"/>
    <n v="2"/>
    <n v="26"/>
    <n v="4"/>
    <n v="2"/>
    <x v="10"/>
    <n v="9"/>
    <n v="14"/>
    <n v="13"/>
    <x v="0"/>
    <x v="2"/>
    <s v="Active"/>
    <x v="0"/>
  </r>
  <r>
    <n v="34"/>
    <x v="1"/>
    <s v="Travel Frequently"/>
    <n v="648"/>
    <x v="2"/>
    <n v="11"/>
    <n v="3"/>
    <s v="Life Sciences"/>
    <n v="1"/>
    <x v="923"/>
    <n v="3"/>
    <x v="1"/>
    <n v="56"/>
    <n v="2"/>
    <n v="2"/>
    <x v="8"/>
    <n v="2"/>
    <s v="Married"/>
    <n v="4490"/>
    <n v="21833"/>
    <n v="4"/>
    <s v="Y"/>
    <s v="No"/>
    <n v="11"/>
    <n v="3"/>
    <n v="4"/>
    <n v="80"/>
    <n v="2"/>
    <n v="14"/>
    <n v="5"/>
    <n v="4"/>
    <x v="1"/>
    <n v="9"/>
    <n v="1"/>
    <n v="8"/>
    <x v="1"/>
    <x v="1"/>
    <s v="Active"/>
    <x v="0"/>
  </r>
  <r>
    <n v="35"/>
    <x v="1"/>
    <s v="Travel Rarely"/>
    <n v="735"/>
    <x v="1"/>
    <n v="6"/>
    <n v="1"/>
    <s v="Life Sciences"/>
    <n v="1"/>
    <x v="924"/>
    <n v="3"/>
    <x v="1"/>
    <n v="66"/>
    <n v="3"/>
    <n v="1"/>
    <x v="1"/>
    <n v="3"/>
    <s v="Married"/>
    <n v="3506"/>
    <n v="6020"/>
    <n v="0"/>
    <s v="Y"/>
    <s v="Yes"/>
    <n v="14"/>
    <n v="3"/>
    <n v="4"/>
    <n v="80"/>
    <n v="0"/>
    <n v="4"/>
    <n v="3"/>
    <n v="3"/>
    <x v="11"/>
    <n v="2"/>
    <n v="2"/>
    <n v="2"/>
    <x v="1"/>
    <x v="1"/>
    <s v="Active"/>
    <x v="5"/>
  </r>
  <r>
    <n v="42"/>
    <x v="1"/>
    <s v="Travel Rarely"/>
    <n v="603"/>
    <x v="1"/>
    <n v="7"/>
    <n v="4"/>
    <s v="Medical"/>
    <n v="1"/>
    <x v="925"/>
    <n v="2"/>
    <x v="0"/>
    <n v="78"/>
    <n v="4"/>
    <n v="2"/>
    <x v="1"/>
    <n v="2"/>
    <s v="Married"/>
    <n v="2372"/>
    <n v="5628"/>
    <n v="6"/>
    <s v="Y"/>
    <s v="Yes"/>
    <n v="16"/>
    <n v="3"/>
    <n v="4"/>
    <n v="80"/>
    <n v="0"/>
    <n v="18"/>
    <n v="2"/>
    <n v="3"/>
    <x v="6"/>
    <n v="0"/>
    <n v="0"/>
    <n v="0"/>
    <x v="0"/>
    <x v="1"/>
    <s v="Active"/>
    <x v="1"/>
  </r>
  <r>
    <n v="43"/>
    <x v="1"/>
    <s v="Travel Rarely"/>
    <n v="531"/>
    <x v="0"/>
    <n v="4"/>
    <n v="4"/>
    <s v="Marketing"/>
    <n v="1"/>
    <x v="926"/>
    <n v="4"/>
    <x v="0"/>
    <n v="56"/>
    <n v="2"/>
    <n v="3"/>
    <x v="0"/>
    <n v="4"/>
    <s v="Single"/>
    <n v="10231"/>
    <n v="20364"/>
    <n v="3"/>
    <s v="Y"/>
    <s v="No"/>
    <n v="14"/>
    <n v="3"/>
    <n v="4"/>
    <n v="80"/>
    <n v="0"/>
    <n v="23"/>
    <n v="3"/>
    <n v="4"/>
    <x v="17"/>
    <n v="7"/>
    <n v="15"/>
    <n v="17"/>
    <x v="0"/>
    <x v="2"/>
    <s v="Active"/>
    <x v="0"/>
  </r>
  <r>
    <n v="36"/>
    <x v="1"/>
    <s v="Travel Rarely"/>
    <n v="429"/>
    <x v="1"/>
    <n v="2"/>
    <n v="4"/>
    <s v="Life Sciences"/>
    <n v="1"/>
    <x v="927"/>
    <n v="3"/>
    <x v="0"/>
    <n v="53"/>
    <n v="3"/>
    <n v="2"/>
    <x v="3"/>
    <n v="2"/>
    <s v="Single"/>
    <n v="5410"/>
    <n v="2323"/>
    <n v="9"/>
    <s v="Y"/>
    <s v="Yes"/>
    <n v="11"/>
    <n v="3"/>
    <n v="4"/>
    <n v="80"/>
    <n v="0"/>
    <n v="18"/>
    <n v="2"/>
    <n v="3"/>
    <x v="22"/>
    <n v="14"/>
    <n v="5"/>
    <n v="12"/>
    <x v="1"/>
    <x v="0"/>
    <s v="Active"/>
    <x v="0"/>
  </r>
  <r>
    <n v="44"/>
    <x v="0"/>
    <s v="Travel Rarely"/>
    <n v="621"/>
    <x v="1"/>
    <n v="15"/>
    <n v="3"/>
    <s v="Medical"/>
    <n v="1"/>
    <x v="928"/>
    <n v="1"/>
    <x v="0"/>
    <n v="73"/>
    <n v="3"/>
    <n v="3"/>
    <x v="4"/>
    <n v="4"/>
    <s v="Married"/>
    <n v="7978"/>
    <n v="14075"/>
    <n v="1"/>
    <s v="Y"/>
    <s v="No"/>
    <n v="11"/>
    <n v="3"/>
    <n v="4"/>
    <n v="80"/>
    <n v="1"/>
    <n v="10"/>
    <n v="2"/>
    <n v="3"/>
    <x v="1"/>
    <n v="7"/>
    <n v="0"/>
    <n v="5"/>
    <x v="0"/>
    <x v="0"/>
    <s v="Resigned"/>
    <x v="0"/>
  </r>
  <r>
    <n v="28"/>
    <x v="1"/>
    <s v="Travel Frequently"/>
    <n v="193"/>
    <x v="1"/>
    <n v="2"/>
    <n v="3"/>
    <s v="Life Sciences"/>
    <n v="1"/>
    <x v="929"/>
    <n v="4"/>
    <x v="1"/>
    <n v="52"/>
    <n v="2"/>
    <n v="1"/>
    <x v="2"/>
    <n v="4"/>
    <s v="Married"/>
    <n v="3867"/>
    <n v="14222"/>
    <n v="1"/>
    <s v="Y"/>
    <s v="Yes"/>
    <n v="12"/>
    <n v="3"/>
    <n v="2"/>
    <n v="80"/>
    <n v="1"/>
    <n v="2"/>
    <n v="2"/>
    <n v="3"/>
    <x v="4"/>
    <n v="2"/>
    <n v="2"/>
    <n v="2"/>
    <x v="2"/>
    <x v="1"/>
    <s v="Active"/>
    <x v="2"/>
  </r>
  <r>
    <n v="51"/>
    <x v="1"/>
    <s v="Travel Frequently"/>
    <n v="968"/>
    <x v="1"/>
    <n v="6"/>
    <n v="2"/>
    <s v="Medical"/>
    <n v="1"/>
    <x v="930"/>
    <n v="2"/>
    <x v="0"/>
    <n v="40"/>
    <n v="2"/>
    <n v="1"/>
    <x v="2"/>
    <n v="3"/>
    <s v="Single"/>
    <n v="2838"/>
    <n v="4257"/>
    <n v="0"/>
    <s v="Y"/>
    <s v="No"/>
    <n v="14"/>
    <n v="3"/>
    <n v="2"/>
    <n v="80"/>
    <n v="0"/>
    <n v="8"/>
    <n v="6"/>
    <n v="2"/>
    <x v="5"/>
    <n v="0"/>
    <n v="7"/>
    <n v="7"/>
    <x v="0"/>
    <x v="1"/>
    <s v="Active"/>
    <x v="0"/>
  </r>
  <r>
    <n v="30"/>
    <x v="1"/>
    <s v="Non Travel"/>
    <n v="879"/>
    <x v="1"/>
    <n v="9"/>
    <n v="2"/>
    <s v="Medical"/>
    <n v="1"/>
    <x v="931"/>
    <n v="3"/>
    <x v="0"/>
    <n v="72"/>
    <n v="3"/>
    <n v="2"/>
    <x v="3"/>
    <n v="3"/>
    <s v="Single"/>
    <n v="4695"/>
    <n v="12858"/>
    <n v="7"/>
    <s v="Y"/>
    <s v="Yes"/>
    <n v="18"/>
    <n v="3"/>
    <n v="3"/>
    <n v="80"/>
    <n v="0"/>
    <n v="10"/>
    <n v="3"/>
    <n v="3"/>
    <x v="3"/>
    <n v="4"/>
    <n v="1"/>
    <n v="7"/>
    <x v="1"/>
    <x v="1"/>
    <s v="Active"/>
    <x v="0"/>
  </r>
  <r>
    <n v="29"/>
    <x v="0"/>
    <s v="Travel Rarely"/>
    <n v="806"/>
    <x v="1"/>
    <n v="7"/>
    <n v="3"/>
    <s v="Technical Degree"/>
    <n v="1"/>
    <x v="932"/>
    <n v="2"/>
    <x v="0"/>
    <n v="39"/>
    <n v="3"/>
    <n v="1"/>
    <x v="2"/>
    <n v="3"/>
    <s v="Divorced"/>
    <n v="3339"/>
    <n v="17285"/>
    <n v="3"/>
    <s v="Y"/>
    <s v="Yes"/>
    <n v="13"/>
    <n v="3"/>
    <n v="1"/>
    <n v="80"/>
    <n v="2"/>
    <n v="10"/>
    <n v="2"/>
    <n v="3"/>
    <x v="5"/>
    <n v="7"/>
    <n v="7"/>
    <n v="7"/>
    <x v="2"/>
    <x v="1"/>
    <s v="Resigned"/>
    <x v="0"/>
  </r>
  <r>
    <n v="28"/>
    <x v="1"/>
    <s v="Travel Rarely"/>
    <n v="640"/>
    <x v="1"/>
    <n v="1"/>
    <n v="3"/>
    <s v="Technical Degree"/>
    <n v="1"/>
    <x v="933"/>
    <n v="4"/>
    <x v="1"/>
    <n v="84"/>
    <n v="3"/>
    <n v="1"/>
    <x v="1"/>
    <n v="1"/>
    <s v="Single"/>
    <n v="2080"/>
    <n v="4732"/>
    <n v="2"/>
    <s v="Y"/>
    <s v="No"/>
    <n v="11"/>
    <n v="3"/>
    <n v="2"/>
    <n v="80"/>
    <n v="0"/>
    <n v="5"/>
    <n v="2"/>
    <n v="2"/>
    <x v="11"/>
    <n v="2"/>
    <n v="1"/>
    <n v="2"/>
    <x v="2"/>
    <x v="1"/>
    <s v="Active"/>
    <x v="5"/>
  </r>
  <r>
    <n v="25"/>
    <x v="1"/>
    <s v="Travel Rarely"/>
    <n v="266"/>
    <x v="1"/>
    <n v="1"/>
    <n v="3"/>
    <s v="Medical"/>
    <n v="1"/>
    <x v="934"/>
    <n v="4"/>
    <x v="0"/>
    <n v="40"/>
    <n v="3"/>
    <n v="1"/>
    <x v="1"/>
    <n v="2"/>
    <s v="Single"/>
    <n v="2096"/>
    <n v="18830"/>
    <n v="1"/>
    <s v="Y"/>
    <s v="No"/>
    <n v="18"/>
    <n v="3"/>
    <n v="4"/>
    <n v="80"/>
    <n v="0"/>
    <n v="2"/>
    <n v="3"/>
    <n v="2"/>
    <x v="4"/>
    <n v="2"/>
    <n v="2"/>
    <n v="1"/>
    <x v="2"/>
    <x v="1"/>
    <s v="Active"/>
    <x v="2"/>
  </r>
  <r>
    <n v="32"/>
    <x v="1"/>
    <s v="Travel Rarely"/>
    <n v="604"/>
    <x v="0"/>
    <n v="8"/>
    <n v="3"/>
    <s v="Medical"/>
    <n v="1"/>
    <x v="935"/>
    <n v="3"/>
    <x v="1"/>
    <n v="56"/>
    <n v="4"/>
    <n v="2"/>
    <x v="0"/>
    <n v="4"/>
    <s v="Married"/>
    <n v="6209"/>
    <n v="11693"/>
    <n v="1"/>
    <s v="Y"/>
    <s v="No"/>
    <n v="15"/>
    <n v="3"/>
    <n v="3"/>
    <n v="80"/>
    <n v="2"/>
    <n v="10"/>
    <n v="4"/>
    <n v="4"/>
    <x v="1"/>
    <n v="7"/>
    <n v="0"/>
    <n v="8"/>
    <x v="1"/>
    <x v="0"/>
    <s v="Active"/>
    <x v="0"/>
  </r>
  <r>
    <n v="45"/>
    <x v="1"/>
    <s v="Travel Frequently"/>
    <n v="364"/>
    <x v="1"/>
    <n v="25"/>
    <n v="3"/>
    <s v="Medical"/>
    <n v="1"/>
    <x v="936"/>
    <n v="2"/>
    <x v="0"/>
    <n v="83"/>
    <n v="3"/>
    <n v="5"/>
    <x v="5"/>
    <n v="2"/>
    <s v="Single"/>
    <n v="18061"/>
    <n v="13035"/>
    <n v="3"/>
    <s v="Y"/>
    <s v="No"/>
    <n v="22"/>
    <n v="4"/>
    <n v="3"/>
    <n v="80"/>
    <n v="0"/>
    <n v="22"/>
    <n v="4"/>
    <n v="3"/>
    <x v="2"/>
    <n v="0"/>
    <n v="0"/>
    <n v="0"/>
    <x v="0"/>
    <x v="2"/>
    <s v="Active"/>
    <x v="1"/>
  </r>
  <r>
    <n v="39"/>
    <x v="1"/>
    <s v="Travel Rarely"/>
    <n v="412"/>
    <x v="1"/>
    <n v="13"/>
    <n v="4"/>
    <s v="Medical"/>
    <n v="1"/>
    <x v="937"/>
    <n v="3"/>
    <x v="0"/>
    <n v="94"/>
    <n v="2"/>
    <n v="4"/>
    <x v="5"/>
    <n v="2"/>
    <s v="Divorced"/>
    <n v="17123"/>
    <n v="17334"/>
    <n v="6"/>
    <s v="Y"/>
    <s v="Yes"/>
    <n v="13"/>
    <n v="3"/>
    <n v="4"/>
    <n v="80"/>
    <n v="2"/>
    <n v="21"/>
    <n v="4"/>
    <n v="3"/>
    <x v="27"/>
    <n v="9"/>
    <n v="15"/>
    <n v="2"/>
    <x v="1"/>
    <x v="2"/>
    <s v="Active"/>
    <x v="0"/>
  </r>
  <r>
    <n v="58"/>
    <x v="1"/>
    <s v="Travel Rarely"/>
    <n v="848"/>
    <x v="1"/>
    <n v="23"/>
    <n v="4"/>
    <s v="Life Sciences"/>
    <n v="1"/>
    <x v="938"/>
    <n v="1"/>
    <x v="1"/>
    <n v="88"/>
    <n v="3"/>
    <n v="1"/>
    <x v="1"/>
    <n v="3"/>
    <s v="Divorced"/>
    <n v="2372"/>
    <n v="26076"/>
    <n v="1"/>
    <s v="Y"/>
    <s v="No"/>
    <n v="12"/>
    <n v="3"/>
    <n v="4"/>
    <n v="80"/>
    <n v="2"/>
    <n v="2"/>
    <n v="3"/>
    <n v="3"/>
    <x v="4"/>
    <n v="2"/>
    <n v="2"/>
    <n v="2"/>
    <x v="0"/>
    <x v="1"/>
    <s v="Active"/>
    <x v="2"/>
  </r>
  <r>
    <n v="32"/>
    <x v="0"/>
    <s v="Travel Rarely"/>
    <n v="1089"/>
    <x v="1"/>
    <n v="7"/>
    <n v="2"/>
    <s v="Life Sciences"/>
    <n v="1"/>
    <x v="939"/>
    <n v="4"/>
    <x v="1"/>
    <n v="79"/>
    <n v="3"/>
    <n v="2"/>
    <x v="2"/>
    <n v="3"/>
    <s v="Married"/>
    <n v="4883"/>
    <n v="22845"/>
    <n v="1"/>
    <s v="Y"/>
    <s v="No"/>
    <n v="18"/>
    <n v="3"/>
    <n v="1"/>
    <n v="80"/>
    <n v="1"/>
    <n v="10"/>
    <n v="3"/>
    <n v="3"/>
    <x v="1"/>
    <n v="4"/>
    <n v="1"/>
    <n v="1"/>
    <x v="1"/>
    <x v="1"/>
    <s v="Resigned"/>
    <x v="0"/>
  </r>
  <r>
    <n v="39"/>
    <x v="0"/>
    <s v="Travel Rarely"/>
    <n v="360"/>
    <x v="1"/>
    <n v="23"/>
    <n v="3"/>
    <s v="Medical"/>
    <n v="1"/>
    <x v="940"/>
    <n v="3"/>
    <x v="1"/>
    <n v="93"/>
    <n v="3"/>
    <n v="1"/>
    <x v="1"/>
    <n v="1"/>
    <s v="Single"/>
    <n v="3904"/>
    <n v="22154"/>
    <n v="0"/>
    <s v="Y"/>
    <s v="No"/>
    <n v="13"/>
    <n v="3"/>
    <n v="1"/>
    <n v="80"/>
    <n v="0"/>
    <n v="6"/>
    <n v="2"/>
    <n v="3"/>
    <x v="8"/>
    <n v="2"/>
    <n v="0"/>
    <n v="3"/>
    <x v="1"/>
    <x v="1"/>
    <s v="Resigned"/>
    <x v="3"/>
  </r>
  <r>
    <n v="30"/>
    <x v="1"/>
    <s v="Travel Rarely"/>
    <n v="1138"/>
    <x v="1"/>
    <n v="6"/>
    <n v="3"/>
    <s v="Technical Degree"/>
    <n v="1"/>
    <x v="941"/>
    <n v="1"/>
    <x v="0"/>
    <n v="48"/>
    <n v="2"/>
    <n v="2"/>
    <x v="2"/>
    <n v="4"/>
    <s v="Married"/>
    <n v="4627"/>
    <n v="23631"/>
    <n v="0"/>
    <s v="Y"/>
    <s v="No"/>
    <n v="12"/>
    <n v="3"/>
    <n v="1"/>
    <n v="80"/>
    <n v="1"/>
    <n v="10"/>
    <n v="6"/>
    <n v="3"/>
    <x v="7"/>
    <n v="2"/>
    <n v="6"/>
    <n v="7"/>
    <x v="1"/>
    <x v="1"/>
    <s v="Active"/>
    <x v="0"/>
  </r>
  <r>
    <n v="36"/>
    <x v="1"/>
    <s v="Travel Rarely"/>
    <n v="325"/>
    <x v="1"/>
    <n v="10"/>
    <n v="4"/>
    <s v="Technical Degree"/>
    <n v="1"/>
    <x v="942"/>
    <n v="4"/>
    <x v="0"/>
    <n v="63"/>
    <n v="3"/>
    <n v="3"/>
    <x v="4"/>
    <n v="3"/>
    <s v="Married"/>
    <n v="7094"/>
    <n v="5747"/>
    <n v="3"/>
    <s v="Y"/>
    <s v="No"/>
    <n v="12"/>
    <n v="3"/>
    <n v="1"/>
    <n v="80"/>
    <n v="0"/>
    <n v="10"/>
    <n v="0"/>
    <n v="3"/>
    <x v="5"/>
    <n v="7"/>
    <n v="1"/>
    <n v="7"/>
    <x v="1"/>
    <x v="0"/>
    <s v="Active"/>
    <x v="0"/>
  </r>
  <r>
    <n v="46"/>
    <x v="1"/>
    <s v="Travel Rarely"/>
    <n v="991"/>
    <x v="2"/>
    <n v="1"/>
    <n v="2"/>
    <s v="Life Sciences"/>
    <n v="1"/>
    <x v="943"/>
    <n v="4"/>
    <x v="0"/>
    <n v="44"/>
    <n v="3"/>
    <n v="1"/>
    <x v="8"/>
    <n v="1"/>
    <s v="Single"/>
    <n v="3423"/>
    <n v="22957"/>
    <n v="6"/>
    <s v="Y"/>
    <s v="No"/>
    <n v="12"/>
    <n v="3"/>
    <n v="3"/>
    <n v="80"/>
    <n v="0"/>
    <n v="10"/>
    <n v="3"/>
    <n v="4"/>
    <x v="5"/>
    <n v="6"/>
    <n v="5"/>
    <n v="7"/>
    <x v="0"/>
    <x v="1"/>
    <s v="Active"/>
    <x v="0"/>
  </r>
  <r>
    <n v="28"/>
    <x v="1"/>
    <s v="Non Travel"/>
    <n v="1476"/>
    <x v="1"/>
    <n v="1"/>
    <n v="3"/>
    <s v="Life Sciences"/>
    <n v="1"/>
    <x v="944"/>
    <n v="3"/>
    <x v="0"/>
    <n v="55"/>
    <n v="1"/>
    <n v="2"/>
    <x v="2"/>
    <n v="4"/>
    <s v="Married"/>
    <n v="6674"/>
    <n v="16392"/>
    <n v="0"/>
    <s v="Y"/>
    <s v="No"/>
    <n v="11"/>
    <n v="3"/>
    <n v="1"/>
    <n v="80"/>
    <n v="3"/>
    <n v="10"/>
    <n v="6"/>
    <n v="3"/>
    <x v="7"/>
    <n v="8"/>
    <n v="7"/>
    <n v="5"/>
    <x v="2"/>
    <x v="0"/>
    <s v="Active"/>
    <x v="0"/>
  </r>
  <r>
    <n v="50"/>
    <x v="1"/>
    <s v="Travel Rarely"/>
    <n v="1322"/>
    <x v="1"/>
    <n v="28"/>
    <n v="3"/>
    <s v="Life Sciences"/>
    <n v="1"/>
    <x v="945"/>
    <n v="4"/>
    <x v="0"/>
    <n v="43"/>
    <n v="3"/>
    <n v="4"/>
    <x v="7"/>
    <n v="1"/>
    <s v="Married"/>
    <n v="16880"/>
    <n v="22422"/>
    <n v="4"/>
    <s v="Y"/>
    <s v="Yes"/>
    <n v="11"/>
    <n v="3"/>
    <n v="2"/>
    <n v="80"/>
    <n v="0"/>
    <n v="25"/>
    <n v="2"/>
    <n v="3"/>
    <x v="11"/>
    <n v="2"/>
    <n v="1"/>
    <n v="2"/>
    <x v="0"/>
    <x v="2"/>
    <s v="Active"/>
    <x v="5"/>
  </r>
  <r>
    <n v="40"/>
    <x v="0"/>
    <s v="Travel Rarely"/>
    <n v="299"/>
    <x v="0"/>
    <n v="25"/>
    <n v="4"/>
    <s v="Marketing"/>
    <n v="1"/>
    <x v="946"/>
    <n v="4"/>
    <x v="1"/>
    <n v="57"/>
    <n v="2"/>
    <n v="3"/>
    <x v="0"/>
    <n v="2"/>
    <s v="Single"/>
    <n v="9094"/>
    <n v="17235"/>
    <n v="2"/>
    <s v="Y"/>
    <s v="Yes"/>
    <n v="12"/>
    <n v="3"/>
    <n v="3"/>
    <n v="80"/>
    <n v="0"/>
    <n v="9"/>
    <n v="2"/>
    <n v="3"/>
    <x v="8"/>
    <n v="4"/>
    <n v="1"/>
    <n v="0"/>
    <x v="1"/>
    <x v="0"/>
    <s v="Resigned"/>
    <x v="3"/>
  </r>
  <r>
    <n v="52"/>
    <x v="0"/>
    <s v="Travel Rarely"/>
    <n v="1030"/>
    <x v="0"/>
    <n v="5"/>
    <n v="3"/>
    <s v="Life Sciences"/>
    <n v="1"/>
    <x v="947"/>
    <n v="2"/>
    <x v="1"/>
    <n v="64"/>
    <n v="3"/>
    <n v="3"/>
    <x v="0"/>
    <n v="2"/>
    <s v="Single"/>
    <n v="8446"/>
    <n v="21534"/>
    <n v="9"/>
    <s v="Y"/>
    <s v="Yes"/>
    <n v="19"/>
    <n v="3"/>
    <n v="3"/>
    <n v="80"/>
    <n v="0"/>
    <n v="10"/>
    <n v="2"/>
    <n v="2"/>
    <x v="3"/>
    <n v="7"/>
    <n v="7"/>
    <n v="7"/>
    <x v="0"/>
    <x v="0"/>
    <s v="Resigned"/>
    <x v="0"/>
  </r>
  <r>
    <n v="30"/>
    <x v="1"/>
    <s v="Travel Rarely"/>
    <n v="634"/>
    <x v="1"/>
    <n v="17"/>
    <n v="4"/>
    <s v="Medical"/>
    <n v="1"/>
    <x v="948"/>
    <n v="2"/>
    <x v="0"/>
    <n v="95"/>
    <n v="3"/>
    <n v="3"/>
    <x v="5"/>
    <n v="1"/>
    <s v="Married"/>
    <n v="11916"/>
    <n v="25927"/>
    <n v="1"/>
    <s v="Y"/>
    <s v="Yes"/>
    <n v="23"/>
    <n v="4"/>
    <n v="4"/>
    <n v="80"/>
    <n v="2"/>
    <n v="9"/>
    <n v="2"/>
    <n v="3"/>
    <x v="7"/>
    <n v="1"/>
    <n v="0"/>
    <n v="8"/>
    <x v="1"/>
    <x v="2"/>
    <s v="Active"/>
    <x v="0"/>
  </r>
  <r>
    <n v="39"/>
    <x v="1"/>
    <s v="Travel Rarely"/>
    <n v="524"/>
    <x v="1"/>
    <n v="18"/>
    <n v="2"/>
    <s v="Life Sciences"/>
    <n v="1"/>
    <x v="949"/>
    <n v="1"/>
    <x v="1"/>
    <n v="32"/>
    <n v="3"/>
    <n v="2"/>
    <x v="3"/>
    <n v="3"/>
    <s v="Single"/>
    <n v="4534"/>
    <n v="13352"/>
    <n v="0"/>
    <s v="Y"/>
    <s v="No"/>
    <n v="11"/>
    <n v="3"/>
    <n v="1"/>
    <n v="80"/>
    <n v="0"/>
    <n v="9"/>
    <n v="6"/>
    <n v="3"/>
    <x v="3"/>
    <n v="7"/>
    <n v="1"/>
    <n v="7"/>
    <x v="1"/>
    <x v="1"/>
    <s v="Active"/>
    <x v="0"/>
  </r>
  <r>
    <n v="31"/>
    <x v="1"/>
    <s v="Non Travel"/>
    <n v="587"/>
    <x v="0"/>
    <n v="2"/>
    <n v="4"/>
    <s v="Life Sciences"/>
    <n v="1"/>
    <x v="950"/>
    <n v="4"/>
    <x v="0"/>
    <n v="57"/>
    <n v="3"/>
    <n v="3"/>
    <x v="0"/>
    <n v="3"/>
    <s v="Divorced"/>
    <n v="9852"/>
    <n v="8935"/>
    <n v="1"/>
    <s v="Y"/>
    <s v="Yes"/>
    <n v="19"/>
    <n v="3"/>
    <n v="1"/>
    <n v="80"/>
    <n v="1"/>
    <n v="10"/>
    <n v="5"/>
    <n v="2"/>
    <x v="1"/>
    <n v="8"/>
    <n v="9"/>
    <n v="6"/>
    <x v="1"/>
    <x v="0"/>
    <s v="Active"/>
    <x v="0"/>
  </r>
  <r>
    <n v="41"/>
    <x v="1"/>
    <s v="Non Travel"/>
    <n v="256"/>
    <x v="0"/>
    <n v="10"/>
    <n v="2"/>
    <s v="Medical"/>
    <n v="1"/>
    <x v="951"/>
    <n v="3"/>
    <x v="1"/>
    <n v="40"/>
    <n v="1"/>
    <n v="2"/>
    <x v="0"/>
    <n v="2"/>
    <s v="Single"/>
    <n v="6151"/>
    <n v="22074"/>
    <n v="1"/>
    <s v="Y"/>
    <s v="No"/>
    <n v="13"/>
    <n v="3"/>
    <n v="1"/>
    <n v="80"/>
    <n v="0"/>
    <n v="19"/>
    <n v="4"/>
    <n v="3"/>
    <x v="27"/>
    <n v="2"/>
    <n v="11"/>
    <n v="9"/>
    <x v="0"/>
    <x v="0"/>
    <s v="Active"/>
    <x v="0"/>
  </r>
  <r>
    <n v="31"/>
    <x v="0"/>
    <s v="Travel Frequently"/>
    <n v="1060"/>
    <x v="0"/>
    <n v="1"/>
    <n v="3"/>
    <s v="Life Sciences"/>
    <n v="1"/>
    <x v="952"/>
    <n v="4"/>
    <x v="0"/>
    <n v="54"/>
    <n v="3"/>
    <n v="1"/>
    <x v="6"/>
    <n v="2"/>
    <s v="Single"/>
    <n v="2302"/>
    <n v="8319"/>
    <n v="1"/>
    <s v="Y"/>
    <s v="Yes"/>
    <n v="11"/>
    <n v="3"/>
    <n v="1"/>
    <n v="80"/>
    <n v="0"/>
    <n v="3"/>
    <n v="2"/>
    <n v="4"/>
    <x v="11"/>
    <n v="2"/>
    <n v="2"/>
    <n v="2"/>
    <x v="1"/>
    <x v="1"/>
    <s v="Resigned"/>
    <x v="5"/>
  </r>
  <r>
    <n v="44"/>
    <x v="0"/>
    <s v="Travel Rarely"/>
    <n v="935"/>
    <x v="1"/>
    <n v="3"/>
    <n v="3"/>
    <s v="Life Sciences"/>
    <n v="1"/>
    <x v="953"/>
    <n v="1"/>
    <x v="1"/>
    <n v="89"/>
    <n v="3"/>
    <n v="1"/>
    <x v="2"/>
    <n v="1"/>
    <s v="Married"/>
    <n v="2362"/>
    <n v="14669"/>
    <n v="4"/>
    <s v="Y"/>
    <s v="No"/>
    <n v="12"/>
    <n v="3"/>
    <n v="3"/>
    <n v="80"/>
    <n v="0"/>
    <n v="10"/>
    <n v="4"/>
    <n v="4"/>
    <x v="11"/>
    <n v="2"/>
    <n v="1"/>
    <n v="2"/>
    <x v="0"/>
    <x v="1"/>
    <s v="Resigned"/>
    <x v="5"/>
  </r>
  <r>
    <n v="42"/>
    <x v="1"/>
    <s v="Non Travel"/>
    <n v="495"/>
    <x v="1"/>
    <n v="2"/>
    <n v="1"/>
    <s v="Life Sciences"/>
    <n v="1"/>
    <x v="954"/>
    <n v="3"/>
    <x v="1"/>
    <n v="37"/>
    <n v="3"/>
    <n v="4"/>
    <x v="5"/>
    <n v="3"/>
    <s v="Married"/>
    <n v="17861"/>
    <n v="26582"/>
    <n v="0"/>
    <s v="Y"/>
    <s v="Yes"/>
    <n v="13"/>
    <n v="3"/>
    <n v="4"/>
    <n v="80"/>
    <n v="0"/>
    <n v="21"/>
    <n v="3"/>
    <n v="2"/>
    <x v="23"/>
    <n v="8"/>
    <n v="2"/>
    <n v="10"/>
    <x v="0"/>
    <x v="2"/>
    <s v="Active"/>
    <x v="0"/>
  </r>
  <r>
    <n v="55"/>
    <x v="1"/>
    <s v="Travel Rarely"/>
    <n v="282"/>
    <x v="1"/>
    <n v="2"/>
    <n v="2"/>
    <s v="Medical"/>
    <n v="1"/>
    <x v="955"/>
    <n v="4"/>
    <x v="0"/>
    <n v="58"/>
    <n v="1"/>
    <n v="5"/>
    <x v="5"/>
    <n v="3"/>
    <s v="Married"/>
    <n v="19187"/>
    <n v="6992"/>
    <n v="4"/>
    <s v="Y"/>
    <s v="No"/>
    <n v="14"/>
    <n v="3"/>
    <n v="4"/>
    <n v="80"/>
    <n v="1"/>
    <n v="23"/>
    <n v="5"/>
    <n v="3"/>
    <x v="27"/>
    <n v="9"/>
    <n v="9"/>
    <n v="11"/>
    <x v="0"/>
    <x v="2"/>
    <s v="Active"/>
    <x v="0"/>
  </r>
  <r>
    <n v="56"/>
    <x v="1"/>
    <s v="Travel Rarely"/>
    <n v="206"/>
    <x v="2"/>
    <n v="8"/>
    <n v="4"/>
    <s v="Life Sciences"/>
    <n v="1"/>
    <x v="956"/>
    <n v="4"/>
    <x v="1"/>
    <n v="99"/>
    <n v="3"/>
    <n v="5"/>
    <x v="5"/>
    <n v="2"/>
    <s v="Single"/>
    <n v="19717"/>
    <n v="4022"/>
    <n v="6"/>
    <s v="Y"/>
    <s v="No"/>
    <n v="14"/>
    <n v="3"/>
    <n v="1"/>
    <n v="80"/>
    <n v="0"/>
    <n v="36"/>
    <n v="4"/>
    <n v="3"/>
    <x v="5"/>
    <n v="3"/>
    <n v="7"/>
    <n v="7"/>
    <x v="0"/>
    <x v="2"/>
    <s v="Active"/>
    <x v="0"/>
  </r>
  <r>
    <n v="40"/>
    <x v="1"/>
    <s v="Non Travel"/>
    <n v="458"/>
    <x v="1"/>
    <n v="16"/>
    <n v="2"/>
    <s v="Life Sciences"/>
    <n v="1"/>
    <x v="957"/>
    <n v="3"/>
    <x v="1"/>
    <n v="74"/>
    <n v="3"/>
    <n v="1"/>
    <x v="1"/>
    <n v="3"/>
    <s v="Divorced"/>
    <n v="3544"/>
    <n v="8532"/>
    <n v="9"/>
    <s v="Y"/>
    <s v="No"/>
    <n v="16"/>
    <n v="3"/>
    <n v="2"/>
    <n v="80"/>
    <n v="1"/>
    <n v="6"/>
    <n v="0"/>
    <n v="3"/>
    <x v="9"/>
    <n v="2"/>
    <n v="0"/>
    <n v="0"/>
    <x v="1"/>
    <x v="1"/>
    <s v="Active"/>
    <x v="4"/>
  </r>
  <r>
    <n v="34"/>
    <x v="1"/>
    <s v="Travel Rarely"/>
    <n v="943"/>
    <x v="1"/>
    <n v="9"/>
    <n v="3"/>
    <s v="Life Sciences"/>
    <n v="1"/>
    <x v="958"/>
    <n v="4"/>
    <x v="1"/>
    <n v="86"/>
    <n v="3"/>
    <n v="3"/>
    <x v="4"/>
    <n v="4"/>
    <s v="Divorced"/>
    <n v="8500"/>
    <n v="5494"/>
    <n v="0"/>
    <s v="Y"/>
    <s v="No"/>
    <n v="11"/>
    <n v="3"/>
    <n v="4"/>
    <n v="80"/>
    <n v="1"/>
    <n v="10"/>
    <n v="0"/>
    <n v="2"/>
    <x v="7"/>
    <n v="7"/>
    <n v="1"/>
    <n v="6"/>
    <x v="1"/>
    <x v="0"/>
    <s v="Active"/>
    <x v="0"/>
  </r>
  <r>
    <n v="40"/>
    <x v="1"/>
    <s v="Travel Rarely"/>
    <n v="523"/>
    <x v="1"/>
    <n v="2"/>
    <n v="3"/>
    <s v="Life Sciences"/>
    <n v="1"/>
    <x v="959"/>
    <n v="3"/>
    <x v="1"/>
    <n v="98"/>
    <n v="3"/>
    <n v="2"/>
    <x v="1"/>
    <n v="4"/>
    <s v="Single"/>
    <n v="4661"/>
    <n v="22455"/>
    <n v="1"/>
    <s v="Y"/>
    <s v="No"/>
    <n v="13"/>
    <n v="3"/>
    <n v="3"/>
    <n v="80"/>
    <n v="0"/>
    <n v="9"/>
    <n v="4"/>
    <n v="3"/>
    <x v="7"/>
    <n v="8"/>
    <n v="8"/>
    <n v="8"/>
    <x v="1"/>
    <x v="1"/>
    <s v="Active"/>
    <x v="0"/>
  </r>
  <r>
    <n v="41"/>
    <x v="1"/>
    <s v="Travel Frequently"/>
    <n v="1018"/>
    <x v="0"/>
    <n v="1"/>
    <n v="3"/>
    <s v="Marketing"/>
    <n v="1"/>
    <x v="960"/>
    <n v="3"/>
    <x v="0"/>
    <n v="66"/>
    <n v="3"/>
    <n v="2"/>
    <x v="0"/>
    <n v="1"/>
    <s v="Divorced"/>
    <n v="4103"/>
    <n v="4297"/>
    <n v="0"/>
    <s v="Y"/>
    <s v="No"/>
    <n v="17"/>
    <n v="3"/>
    <n v="4"/>
    <n v="80"/>
    <n v="1"/>
    <n v="10"/>
    <n v="2"/>
    <n v="3"/>
    <x v="7"/>
    <n v="3"/>
    <n v="1"/>
    <n v="7"/>
    <x v="0"/>
    <x v="1"/>
    <s v="Active"/>
    <x v="0"/>
  </r>
  <r>
    <n v="35"/>
    <x v="1"/>
    <s v="Travel Frequently"/>
    <n v="482"/>
    <x v="1"/>
    <n v="4"/>
    <n v="4"/>
    <s v="Life Sciences"/>
    <n v="1"/>
    <x v="961"/>
    <n v="3"/>
    <x v="1"/>
    <n v="87"/>
    <n v="3"/>
    <n v="2"/>
    <x v="1"/>
    <n v="3"/>
    <s v="Single"/>
    <n v="4249"/>
    <n v="2690"/>
    <n v="1"/>
    <s v="Y"/>
    <s v="Yes"/>
    <n v="11"/>
    <n v="3"/>
    <n v="2"/>
    <n v="80"/>
    <n v="0"/>
    <n v="9"/>
    <n v="3"/>
    <n v="3"/>
    <x v="7"/>
    <n v="6"/>
    <n v="1"/>
    <n v="1"/>
    <x v="1"/>
    <x v="1"/>
    <s v="Active"/>
    <x v="0"/>
  </r>
  <r>
    <n v="51"/>
    <x v="1"/>
    <s v="Travel Rarely"/>
    <n v="770"/>
    <x v="2"/>
    <n v="5"/>
    <n v="3"/>
    <s v="Life Sciences"/>
    <n v="1"/>
    <x v="962"/>
    <n v="3"/>
    <x v="1"/>
    <n v="84"/>
    <n v="3"/>
    <n v="4"/>
    <x v="5"/>
    <n v="2"/>
    <s v="Divorced"/>
    <n v="14026"/>
    <n v="17588"/>
    <n v="1"/>
    <s v="Y"/>
    <s v="Yes"/>
    <n v="11"/>
    <n v="3"/>
    <n v="2"/>
    <n v="80"/>
    <n v="1"/>
    <n v="33"/>
    <n v="2"/>
    <n v="3"/>
    <x v="26"/>
    <n v="9"/>
    <n v="0"/>
    <n v="10"/>
    <x v="0"/>
    <x v="2"/>
    <s v="Active"/>
    <x v="0"/>
  </r>
  <r>
    <n v="38"/>
    <x v="1"/>
    <s v="Travel Rarely"/>
    <n v="1009"/>
    <x v="0"/>
    <n v="2"/>
    <n v="2"/>
    <s v="Life Sciences"/>
    <n v="1"/>
    <x v="963"/>
    <n v="2"/>
    <x v="0"/>
    <n v="31"/>
    <n v="3"/>
    <n v="2"/>
    <x v="0"/>
    <n v="1"/>
    <s v="Divorced"/>
    <n v="6893"/>
    <n v="19461"/>
    <n v="3"/>
    <s v="Y"/>
    <s v="No"/>
    <n v="15"/>
    <n v="3"/>
    <n v="4"/>
    <n v="80"/>
    <n v="1"/>
    <n v="11"/>
    <n v="3"/>
    <n v="3"/>
    <x v="5"/>
    <n v="7"/>
    <n v="1"/>
    <n v="7"/>
    <x v="1"/>
    <x v="0"/>
    <s v="Active"/>
    <x v="0"/>
  </r>
  <r>
    <n v="34"/>
    <x v="1"/>
    <s v="Travel Rarely"/>
    <n v="507"/>
    <x v="0"/>
    <n v="15"/>
    <n v="2"/>
    <s v="Medical"/>
    <n v="1"/>
    <x v="964"/>
    <n v="3"/>
    <x v="0"/>
    <n v="66"/>
    <n v="3"/>
    <n v="2"/>
    <x v="0"/>
    <n v="1"/>
    <s v="Single"/>
    <n v="6125"/>
    <n v="23553"/>
    <n v="1"/>
    <s v="Y"/>
    <s v="No"/>
    <n v="12"/>
    <n v="3"/>
    <n v="4"/>
    <n v="80"/>
    <n v="0"/>
    <n v="10"/>
    <n v="6"/>
    <n v="4"/>
    <x v="1"/>
    <n v="8"/>
    <n v="9"/>
    <n v="6"/>
    <x v="1"/>
    <x v="0"/>
    <s v="Active"/>
    <x v="0"/>
  </r>
  <r>
    <n v="25"/>
    <x v="1"/>
    <s v="Travel Rarely"/>
    <n v="882"/>
    <x v="1"/>
    <n v="19"/>
    <n v="1"/>
    <s v="Medical"/>
    <n v="1"/>
    <x v="965"/>
    <n v="4"/>
    <x v="1"/>
    <n v="67"/>
    <n v="3"/>
    <n v="1"/>
    <x v="2"/>
    <n v="4"/>
    <s v="Married"/>
    <n v="3669"/>
    <n v="9075"/>
    <n v="3"/>
    <s v="Y"/>
    <s v="No"/>
    <n v="11"/>
    <n v="3"/>
    <n v="3"/>
    <n v="80"/>
    <n v="3"/>
    <n v="7"/>
    <n v="6"/>
    <n v="2"/>
    <x v="11"/>
    <n v="2"/>
    <n v="1"/>
    <n v="2"/>
    <x v="2"/>
    <x v="1"/>
    <s v="Active"/>
    <x v="5"/>
  </r>
  <r>
    <n v="58"/>
    <x v="0"/>
    <s v="Travel Rarely"/>
    <n v="601"/>
    <x v="1"/>
    <n v="7"/>
    <n v="4"/>
    <s v="Medical"/>
    <n v="1"/>
    <x v="966"/>
    <n v="3"/>
    <x v="0"/>
    <n v="53"/>
    <n v="2"/>
    <n v="3"/>
    <x v="3"/>
    <n v="1"/>
    <s v="Married"/>
    <n v="10008"/>
    <n v="12023"/>
    <n v="7"/>
    <s v="Y"/>
    <s v="Yes"/>
    <n v="14"/>
    <n v="3"/>
    <n v="4"/>
    <n v="80"/>
    <n v="0"/>
    <n v="31"/>
    <n v="0"/>
    <n v="2"/>
    <x v="1"/>
    <n v="9"/>
    <n v="5"/>
    <n v="9"/>
    <x v="0"/>
    <x v="2"/>
    <s v="Resigned"/>
    <x v="0"/>
  </r>
  <r>
    <n v="40"/>
    <x v="1"/>
    <s v="Travel Rarely"/>
    <n v="329"/>
    <x v="1"/>
    <n v="1"/>
    <n v="4"/>
    <s v="Life Sciences"/>
    <n v="1"/>
    <x v="967"/>
    <n v="2"/>
    <x v="1"/>
    <n v="88"/>
    <n v="3"/>
    <n v="1"/>
    <x v="2"/>
    <n v="2"/>
    <s v="Married"/>
    <n v="2387"/>
    <n v="6762"/>
    <n v="3"/>
    <s v="Y"/>
    <s v="No"/>
    <n v="22"/>
    <n v="4"/>
    <n v="3"/>
    <n v="80"/>
    <n v="1"/>
    <n v="7"/>
    <n v="3"/>
    <n v="3"/>
    <x v="9"/>
    <n v="2"/>
    <n v="0"/>
    <n v="3"/>
    <x v="1"/>
    <x v="1"/>
    <s v="Active"/>
    <x v="4"/>
  </r>
  <r>
    <n v="36"/>
    <x v="1"/>
    <s v="Travel Frequently"/>
    <n v="607"/>
    <x v="0"/>
    <n v="7"/>
    <n v="3"/>
    <s v="Marketing"/>
    <n v="1"/>
    <x v="968"/>
    <n v="1"/>
    <x v="0"/>
    <n v="83"/>
    <n v="4"/>
    <n v="2"/>
    <x v="0"/>
    <n v="1"/>
    <s v="Married"/>
    <n v="4639"/>
    <n v="2261"/>
    <n v="2"/>
    <s v="Y"/>
    <s v="No"/>
    <n v="16"/>
    <n v="3"/>
    <n v="4"/>
    <n v="80"/>
    <n v="1"/>
    <n v="17"/>
    <n v="2"/>
    <n v="2"/>
    <x v="15"/>
    <n v="7"/>
    <n v="6"/>
    <n v="13"/>
    <x v="1"/>
    <x v="1"/>
    <s v="Active"/>
    <x v="0"/>
  </r>
  <r>
    <n v="48"/>
    <x v="1"/>
    <s v="Travel Rarely"/>
    <n v="855"/>
    <x v="1"/>
    <n v="4"/>
    <n v="3"/>
    <s v="Life Sciences"/>
    <n v="1"/>
    <x v="969"/>
    <n v="4"/>
    <x v="1"/>
    <n v="54"/>
    <n v="3"/>
    <n v="3"/>
    <x v="3"/>
    <n v="4"/>
    <s v="Single"/>
    <n v="7898"/>
    <n v="18706"/>
    <n v="1"/>
    <s v="Y"/>
    <s v="No"/>
    <n v="11"/>
    <n v="3"/>
    <n v="3"/>
    <n v="80"/>
    <n v="0"/>
    <n v="11"/>
    <n v="2"/>
    <n v="3"/>
    <x v="1"/>
    <n v="9"/>
    <n v="0"/>
    <n v="8"/>
    <x v="0"/>
    <x v="0"/>
    <s v="Active"/>
    <x v="0"/>
  </r>
  <r>
    <n v="27"/>
    <x v="1"/>
    <s v="Travel Rarely"/>
    <n v="1291"/>
    <x v="0"/>
    <n v="11"/>
    <n v="3"/>
    <s v="Medical"/>
    <n v="1"/>
    <x v="970"/>
    <n v="3"/>
    <x v="0"/>
    <n v="98"/>
    <n v="4"/>
    <n v="1"/>
    <x v="6"/>
    <n v="4"/>
    <s v="Married"/>
    <n v="2534"/>
    <n v="6527"/>
    <n v="8"/>
    <s v="Y"/>
    <s v="No"/>
    <n v="14"/>
    <n v="3"/>
    <n v="2"/>
    <n v="80"/>
    <n v="1"/>
    <n v="5"/>
    <n v="4"/>
    <n v="3"/>
    <x v="6"/>
    <n v="0"/>
    <n v="0"/>
    <n v="0"/>
    <x v="2"/>
    <x v="1"/>
    <s v="Active"/>
    <x v="1"/>
  </r>
  <r>
    <n v="51"/>
    <x v="1"/>
    <s v="Travel Rarely"/>
    <n v="1405"/>
    <x v="1"/>
    <n v="11"/>
    <n v="2"/>
    <s v="Technical Degree"/>
    <n v="1"/>
    <x v="971"/>
    <n v="4"/>
    <x v="0"/>
    <n v="82"/>
    <n v="2"/>
    <n v="4"/>
    <x v="3"/>
    <n v="2"/>
    <s v="Single"/>
    <n v="13142"/>
    <n v="24439"/>
    <n v="3"/>
    <s v="Y"/>
    <s v="No"/>
    <n v="16"/>
    <n v="3"/>
    <n v="2"/>
    <n v="80"/>
    <n v="0"/>
    <n v="29"/>
    <n v="1"/>
    <n v="2"/>
    <x v="8"/>
    <n v="2"/>
    <n v="0"/>
    <n v="3"/>
    <x v="0"/>
    <x v="2"/>
    <s v="Active"/>
    <x v="3"/>
  </r>
  <r>
    <n v="18"/>
    <x v="1"/>
    <s v="Non Travel"/>
    <n v="1124"/>
    <x v="1"/>
    <n v="1"/>
    <n v="3"/>
    <s v="Life Sciences"/>
    <n v="1"/>
    <x v="972"/>
    <n v="4"/>
    <x v="0"/>
    <n v="97"/>
    <n v="3"/>
    <n v="1"/>
    <x v="2"/>
    <n v="4"/>
    <s v="Single"/>
    <n v="1611"/>
    <n v="19305"/>
    <n v="1"/>
    <s v="Y"/>
    <s v="No"/>
    <n v="15"/>
    <n v="3"/>
    <n v="3"/>
    <n v="80"/>
    <n v="0"/>
    <n v="0"/>
    <n v="5"/>
    <n v="4"/>
    <x v="2"/>
    <n v="0"/>
    <n v="0"/>
    <n v="0"/>
    <x v="2"/>
    <x v="1"/>
    <s v="Active"/>
    <x v="1"/>
  </r>
  <r>
    <n v="35"/>
    <x v="1"/>
    <s v="Travel Rarely"/>
    <n v="817"/>
    <x v="1"/>
    <n v="1"/>
    <n v="3"/>
    <s v="Medical"/>
    <n v="1"/>
    <x v="973"/>
    <n v="4"/>
    <x v="0"/>
    <n v="60"/>
    <n v="2"/>
    <n v="2"/>
    <x v="2"/>
    <n v="4"/>
    <s v="Married"/>
    <n v="5363"/>
    <n v="10846"/>
    <n v="0"/>
    <s v="Y"/>
    <s v="No"/>
    <n v="12"/>
    <n v="3"/>
    <n v="2"/>
    <n v="80"/>
    <n v="1"/>
    <n v="10"/>
    <n v="0"/>
    <n v="3"/>
    <x v="7"/>
    <n v="7"/>
    <n v="0"/>
    <n v="0"/>
    <x v="1"/>
    <x v="0"/>
    <s v="Active"/>
    <x v="0"/>
  </r>
  <r>
    <n v="27"/>
    <x v="1"/>
    <s v="Travel Frequently"/>
    <n v="793"/>
    <x v="0"/>
    <n v="2"/>
    <n v="1"/>
    <s v="Life Sciences"/>
    <n v="1"/>
    <x v="974"/>
    <n v="4"/>
    <x v="1"/>
    <n v="43"/>
    <n v="1"/>
    <n v="2"/>
    <x v="0"/>
    <n v="4"/>
    <s v="Single"/>
    <n v="5071"/>
    <n v="20392"/>
    <n v="3"/>
    <s v="Y"/>
    <s v="No"/>
    <n v="20"/>
    <n v="4"/>
    <n v="2"/>
    <n v="80"/>
    <n v="0"/>
    <n v="8"/>
    <n v="3"/>
    <n v="3"/>
    <x v="0"/>
    <n v="2"/>
    <n v="0"/>
    <n v="0"/>
    <x v="2"/>
    <x v="0"/>
    <s v="Active"/>
    <x v="0"/>
  </r>
  <r>
    <n v="55"/>
    <x v="0"/>
    <s v="Travel Rarely"/>
    <n v="267"/>
    <x v="0"/>
    <n v="13"/>
    <n v="4"/>
    <s v="Marketing"/>
    <n v="1"/>
    <x v="975"/>
    <n v="1"/>
    <x v="1"/>
    <n v="85"/>
    <n v="4"/>
    <n v="4"/>
    <x v="0"/>
    <n v="3"/>
    <s v="Single"/>
    <n v="13695"/>
    <n v="9277"/>
    <n v="6"/>
    <s v="Y"/>
    <s v="Yes"/>
    <n v="17"/>
    <n v="3"/>
    <n v="3"/>
    <n v="80"/>
    <n v="0"/>
    <n v="24"/>
    <n v="2"/>
    <n v="2"/>
    <x v="27"/>
    <n v="7"/>
    <n v="3"/>
    <n v="8"/>
    <x v="0"/>
    <x v="2"/>
    <s v="Resigned"/>
    <x v="0"/>
  </r>
  <r>
    <n v="56"/>
    <x v="1"/>
    <s v="Travel Rarely"/>
    <n v="1369"/>
    <x v="1"/>
    <n v="23"/>
    <n v="3"/>
    <s v="Life Sciences"/>
    <n v="1"/>
    <x v="976"/>
    <n v="4"/>
    <x v="1"/>
    <n v="68"/>
    <n v="3"/>
    <n v="4"/>
    <x v="3"/>
    <n v="2"/>
    <s v="Married"/>
    <n v="13402"/>
    <n v="18235"/>
    <n v="4"/>
    <s v="Y"/>
    <s v="Yes"/>
    <n v="12"/>
    <n v="3"/>
    <n v="1"/>
    <n v="80"/>
    <n v="1"/>
    <n v="33"/>
    <n v="0"/>
    <n v="3"/>
    <x v="27"/>
    <n v="16"/>
    <n v="15"/>
    <n v="9"/>
    <x v="0"/>
    <x v="2"/>
    <s v="Active"/>
    <x v="0"/>
  </r>
  <r>
    <n v="34"/>
    <x v="1"/>
    <s v="Non Travel"/>
    <n v="999"/>
    <x v="1"/>
    <n v="26"/>
    <n v="1"/>
    <s v="Technical Degree"/>
    <n v="1"/>
    <x v="977"/>
    <n v="1"/>
    <x v="0"/>
    <n v="92"/>
    <n v="2"/>
    <n v="1"/>
    <x v="1"/>
    <n v="3"/>
    <s v="Divorced"/>
    <n v="2029"/>
    <n v="15891"/>
    <n v="1"/>
    <s v="Y"/>
    <s v="No"/>
    <n v="20"/>
    <n v="4"/>
    <n v="3"/>
    <n v="80"/>
    <n v="3"/>
    <n v="5"/>
    <n v="2"/>
    <n v="3"/>
    <x v="8"/>
    <n v="4"/>
    <n v="0"/>
    <n v="0"/>
    <x v="1"/>
    <x v="1"/>
    <s v="Active"/>
    <x v="3"/>
  </r>
  <r>
    <n v="40"/>
    <x v="1"/>
    <s v="Travel Rarely"/>
    <n v="1202"/>
    <x v="1"/>
    <n v="2"/>
    <n v="1"/>
    <s v="Medical"/>
    <n v="1"/>
    <x v="978"/>
    <n v="2"/>
    <x v="0"/>
    <n v="89"/>
    <n v="4"/>
    <n v="2"/>
    <x v="4"/>
    <n v="3"/>
    <s v="Divorced"/>
    <n v="6377"/>
    <n v="13888"/>
    <n v="5"/>
    <s v="Y"/>
    <s v="No"/>
    <n v="20"/>
    <n v="4"/>
    <n v="2"/>
    <n v="80"/>
    <n v="3"/>
    <n v="15"/>
    <n v="0"/>
    <n v="3"/>
    <x v="12"/>
    <n v="11"/>
    <n v="11"/>
    <n v="8"/>
    <x v="1"/>
    <x v="0"/>
    <s v="Active"/>
    <x v="0"/>
  </r>
  <r>
    <n v="34"/>
    <x v="1"/>
    <s v="Travel Rarely"/>
    <n v="285"/>
    <x v="1"/>
    <n v="29"/>
    <n v="3"/>
    <s v="Medical"/>
    <n v="1"/>
    <x v="979"/>
    <n v="2"/>
    <x v="1"/>
    <n v="86"/>
    <n v="3"/>
    <n v="2"/>
    <x v="2"/>
    <n v="3"/>
    <s v="Married"/>
    <n v="5429"/>
    <n v="17491"/>
    <n v="4"/>
    <s v="Y"/>
    <s v="No"/>
    <n v="13"/>
    <n v="3"/>
    <n v="1"/>
    <n v="80"/>
    <n v="2"/>
    <n v="10"/>
    <n v="1"/>
    <n v="3"/>
    <x v="3"/>
    <n v="7"/>
    <n v="7"/>
    <n v="7"/>
    <x v="1"/>
    <x v="0"/>
    <s v="Active"/>
    <x v="0"/>
  </r>
  <r>
    <n v="31"/>
    <x v="0"/>
    <s v="Travel Frequently"/>
    <n v="703"/>
    <x v="0"/>
    <n v="2"/>
    <n v="3"/>
    <s v="Life Sciences"/>
    <n v="1"/>
    <x v="980"/>
    <n v="3"/>
    <x v="0"/>
    <n v="90"/>
    <n v="2"/>
    <n v="1"/>
    <x v="6"/>
    <n v="4"/>
    <s v="Single"/>
    <n v="2785"/>
    <n v="11882"/>
    <n v="7"/>
    <s v="Y"/>
    <s v="No"/>
    <n v="14"/>
    <n v="3"/>
    <n v="3"/>
    <n v="80"/>
    <n v="0"/>
    <n v="3"/>
    <n v="3"/>
    <n v="4"/>
    <x v="6"/>
    <n v="0"/>
    <n v="0"/>
    <n v="0"/>
    <x v="1"/>
    <x v="1"/>
    <s v="Resigned"/>
    <x v="1"/>
  </r>
  <r>
    <n v="35"/>
    <x v="0"/>
    <s v="Travel Frequently"/>
    <n v="662"/>
    <x v="0"/>
    <n v="18"/>
    <n v="4"/>
    <s v="Marketing"/>
    <n v="1"/>
    <x v="981"/>
    <n v="4"/>
    <x v="0"/>
    <n v="67"/>
    <n v="3"/>
    <n v="2"/>
    <x v="0"/>
    <n v="3"/>
    <s v="Married"/>
    <n v="4614"/>
    <n v="23288"/>
    <n v="0"/>
    <s v="Y"/>
    <s v="Yes"/>
    <n v="18"/>
    <n v="3"/>
    <n v="3"/>
    <n v="80"/>
    <n v="1"/>
    <n v="5"/>
    <n v="0"/>
    <n v="2"/>
    <x v="9"/>
    <n v="2"/>
    <n v="3"/>
    <n v="2"/>
    <x v="1"/>
    <x v="1"/>
    <s v="Resigned"/>
    <x v="4"/>
  </r>
  <r>
    <n v="38"/>
    <x v="1"/>
    <s v="Travel Frequently"/>
    <n v="693"/>
    <x v="1"/>
    <n v="7"/>
    <n v="3"/>
    <s v="Life Sciences"/>
    <n v="1"/>
    <x v="982"/>
    <n v="4"/>
    <x v="1"/>
    <n v="57"/>
    <n v="4"/>
    <n v="1"/>
    <x v="1"/>
    <n v="3"/>
    <s v="Divorced"/>
    <n v="2610"/>
    <n v="15748"/>
    <n v="1"/>
    <s v="Y"/>
    <s v="No"/>
    <n v="11"/>
    <n v="3"/>
    <n v="4"/>
    <n v="80"/>
    <n v="3"/>
    <n v="4"/>
    <n v="2"/>
    <n v="3"/>
    <x v="9"/>
    <n v="2"/>
    <n v="0"/>
    <n v="3"/>
    <x v="1"/>
    <x v="1"/>
    <s v="Active"/>
    <x v="4"/>
  </r>
  <r>
    <n v="34"/>
    <x v="1"/>
    <s v="Travel Rarely"/>
    <n v="404"/>
    <x v="1"/>
    <n v="2"/>
    <n v="4"/>
    <s v="Technical Degree"/>
    <n v="1"/>
    <x v="983"/>
    <n v="3"/>
    <x v="0"/>
    <n v="98"/>
    <n v="3"/>
    <n v="2"/>
    <x v="4"/>
    <n v="4"/>
    <s v="Single"/>
    <n v="6687"/>
    <n v="6163"/>
    <n v="1"/>
    <s v="Y"/>
    <s v="No"/>
    <n v="11"/>
    <n v="3"/>
    <n v="4"/>
    <n v="80"/>
    <n v="0"/>
    <n v="14"/>
    <n v="2"/>
    <n v="4"/>
    <x v="13"/>
    <n v="11"/>
    <n v="4"/>
    <n v="11"/>
    <x v="1"/>
    <x v="0"/>
    <s v="Active"/>
    <x v="0"/>
  </r>
  <r>
    <n v="28"/>
    <x v="1"/>
    <s v="Travel Rarely"/>
    <n v="736"/>
    <x v="0"/>
    <n v="26"/>
    <n v="3"/>
    <s v="Life Sciences"/>
    <n v="1"/>
    <x v="984"/>
    <n v="3"/>
    <x v="1"/>
    <n v="48"/>
    <n v="2"/>
    <n v="2"/>
    <x v="0"/>
    <n v="1"/>
    <s v="Married"/>
    <n v="4724"/>
    <n v="24232"/>
    <n v="1"/>
    <s v="Y"/>
    <s v="No"/>
    <n v="11"/>
    <n v="3"/>
    <n v="3"/>
    <n v="80"/>
    <n v="1"/>
    <n v="5"/>
    <n v="0"/>
    <n v="3"/>
    <x v="8"/>
    <n v="3"/>
    <n v="0"/>
    <n v="4"/>
    <x v="2"/>
    <x v="1"/>
    <s v="Active"/>
    <x v="3"/>
  </r>
  <r>
    <n v="31"/>
    <x v="0"/>
    <s v="Travel Rarely"/>
    <n v="330"/>
    <x v="1"/>
    <n v="22"/>
    <n v="4"/>
    <s v="Medical"/>
    <n v="1"/>
    <x v="985"/>
    <n v="4"/>
    <x v="1"/>
    <n v="98"/>
    <n v="3"/>
    <n v="2"/>
    <x v="3"/>
    <n v="3"/>
    <s v="Married"/>
    <n v="6179"/>
    <n v="21057"/>
    <n v="1"/>
    <s v="Y"/>
    <s v="Yes"/>
    <n v="15"/>
    <n v="3"/>
    <n v="4"/>
    <n v="80"/>
    <n v="2"/>
    <n v="10"/>
    <n v="3"/>
    <n v="2"/>
    <x v="1"/>
    <n v="2"/>
    <n v="6"/>
    <n v="7"/>
    <x v="1"/>
    <x v="0"/>
    <s v="Resigned"/>
    <x v="0"/>
  </r>
  <r>
    <n v="39"/>
    <x v="1"/>
    <s v="Travel Rarely"/>
    <n v="1498"/>
    <x v="0"/>
    <n v="21"/>
    <n v="4"/>
    <s v="Life Sciences"/>
    <n v="1"/>
    <x v="986"/>
    <n v="1"/>
    <x v="1"/>
    <n v="44"/>
    <n v="2"/>
    <n v="2"/>
    <x v="0"/>
    <n v="4"/>
    <s v="Married"/>
    <n v="6120"/>
    <n v="3567"/>
    <n v="3"/>
    <s v="Y"/>
    <s v="Yes"/>
    <n v="12"/>
    <n v="3"/>
    <n v="4"/>
    <n v="80"/>
    <n v="2"/>
    <n v="8"/>
    <n v="2"/>
    <n v="4"/>
    <x v="8"/>
    <n v="4"/>
    <n v="1"/>
    <n v="4"/>
    <x v="1"/>
    <x v="0"/>
    <s v="Active"/>
    <x v="3"/>
  </r>
  <r>
    <n v="51"/>
    <x v="1"/>
    <s v="Travel Frequently"/>
    <n v="541"/>
    <x v="0"/>
    <n v="2"/>
    <n v="3"/>
    <s v="Marketing"/>
    <n v="1"/>
    <x v="987"/>
    <n v="2"/>
    <x v="1"/>
    <n v="52"/>
    <n v="3"/>
    <n v="3"/>
    <x v="0"/>
    <n v="2"/>
    <s v="Married"/>
    <n v="10596"/>
    <n v="15395"/>
    <n v="2"/>
    <s v="Y"/>
    <s v="No"/>
    <n v="11"/>
    <n v="3"/>
    <n v="2"/>
    <n v="80"/>
    <n v="0"/>
    <n v="14"/>
    <n v="5"/>
    <n v="3"/>
    <x v="9"/>
    <n v="2"/>
    <n v="3"/>
    <n v="2"/>
    <x v="0"/>
    <x v="2"/>
    <s v="Active"/>
    <x v="4"/>
  </r>
  <r>
    <n v="41"/>
    <x v="1"/>
    <s v="Travel Frequently"/>
    <n v="1200"/>
    <x v="1"/>
    <n v="22"/>
    <n v="3"/>
    <s v="Life Sciences"/>
    <n v="1"/>
    <x v="988"/>
    <n v="4"/>
    <x v="0"/>
    <n v="75"/>
    <n v="3"/>
    <n v="2"/>
    <x v="1"/>
    <n v="4"/>
    <s v="Divorced"/>
    <n v="5467"/>
    <n v="13953"/>
    <n v="3"/>
    <s v="Y"/>
    <s v="Yes"/>
    <n v="14"/>
    <n v="3"/>
    <n v="1"/>
    <n v="80"/>
    <n v="2"/>
    <n v="12"/>
    <n v="4"/>
    <n v="2"/>
    <x v="0"/>
    <n v="2"/>
    <n v="3"/>
    <n v="3"/>
    <x v="0"/>
    <x v="0"/>
    <s v="Active"/>
    <x v="0"/>
  </r>
  <r>
    <n v="37"/>
    <x v="1"/>
    <s v="Travel Rarely"/>
    <n v="1439"/>
    <x v="1"/>
    <n v="4"/>
    <n v="1"/>
    <s v="Life Sciences"/>
    <n v="1"/>
    <x v="989"/>
    <n v="3"/>
    <x v="1"/>
    <n v="54"/>
    <n v="3"/>
    <n v="1"/>
    <x v="1"/>
    <n v="3"/>
    <s v="Married"/>
    <n v="2996"/>
    <n v="5182"/>
    <n v="7"/>
    <s v="Y"/>
    <s v="Yes"/>
    <n v="15"/>
    <n v="3"/>
    <n v="4"/>
    <n v="80"/>
    <n v="0"/>
    <n v="8"/>
    <n v="2"/>
    <n v="3"/>
    <x v="0"/>
    <n v="4"/>
    <n v="1"/>
    <n v="3"/>
    <x v="1"/>
    <x v="1"/>
    <s v="Active"/>
    <x v="0"/>
  </r>
  <r>
    <n v="33"/>
    <x v="1"/>
    <s v="Travel Frequently"/>
    <n v="1111"/>
    <x v="0"/>
    <n v="5"/>
    <n v="1"/>
    <s v="Life Sciences"/>
    <n v="1"/>
    <x v="990"/>
    <n v="2"/>
    <x v="1"/>
    <n v="61"/>
    <n v="3"/>
    <n v="2"/>
    <x v="0"/>
    <n v="4"/>
    <s v="Married"/>
    <n v="9998"/>
    <n v="19293"/>
    <n v="6"/>
    <s v="Y"/>
    <s v="No"/>
    <n v="13"/>
    <n v="3"/>
    <n v="1"/>
    <n v="80"/>
    <n v="0"/>
    <n v="8"/>
    <n v="2"/>
    <n v="4"/>
    <x v="8"/>
    <n v="4"/>
    <n v="1"/>
    <n v="2"/>
    <x v="1"/>
    <x v="0"/>
    <s v="Active"/>
    <x v="3"/>
  </r>
  <r>
    <n v="32"/>
    <x v="1"/>
    <s v="Travel Rarely"/>
    <n v="499"/>
    <x v="0"/>
    <n v="2"/>
    <n v="1"/>
    <s v="Marketing"/>
    <n v="1"/>
    <x v="991"/>
    <n v="3"/>
    <x v="1"/>
    <n v="36"/>
    <n v="3"/>
    <n v="2"/>
    <x v="0"/>
    <n v="2"/>
    <s v="Married"/>
    <n v="4078"/>
    <n v="20497"/>
    <n v="0"/>
    <s v="Y"/>
    <s v="Yes"/>
    <n v="13"/>
    <n v="3"/>
    <n v="1"/>
    <n v="80"/>
    <n v="3"/>
    <n v="4"/>
    <n v="3"/>
    <n v="2"/>
    <x v="11"/>
    <n v="2"/>
    <n v="1"/>
    <n v="2"/>
    <x v="1"/>
    <x v="1"/>
    <s v="Active"/>
    <x v="5"/>
  </r>
  <r>
    <n v="39"/>
    <x v="1"/>
    <s v="Non Travel"/>
    <n v="1485"/>
    <x v="1"/>
    <n v="25"/>
    <n v="2"/>
    <s v="Life Sciences"/>
    <n v="1"/>
    <x v="992"/>
    <n v="3"/>
    <x v="1"/>
    <n v="71"/>
    <n v="3"/>
    <n v="3"/>
    <x v="4"/>
    <n v="3"/>
    <s v="Married"/>
    <n v="10920"/>
    <n v="3449"/>
    <n v="3"/>
    <s v="Y"/>
    <s v="No"/>
    <n v="21"/>
    <n v="4"/>
    <n v="2"/>
    <n v="80"/>
    <n v="1"/>
    <n v="13"/>
    <n v="2"/>
    <n v="3"/>
    <x v="0"/>
    <n v="4"/>
    <n v="0"/>
    <n v="5"/>
    <x v="1"/>
    <x v="2"/>
    <s v="Active"/>
    <x v="0"/>
  </r>
  <r>
    <n v="25"/>
    <x v="1"/>
    <s v="Travel Rarely"/>
    <n v="1372"/>
    <x v="0"/>
    <n v="18"/>
    <n v="1"/>
    <s v="Life Sciences"/>
    <n v="1"/>
    <x v="993"/>
    <n v="1"/>
    <x v="1"/>
    <n v="93"/>
    <n v="4"/>
    <n v="2"/>
    <x v="0"/>
    <n v="3"/>
    <s v="Married"/>
    <n v="6232"/>
    <n v="12477"/>
    <n v="2"/>
    <s v="Y"/>
    <s v="No"/>
    <n v="11"/>
    <n v="3"/>
    <n v="2"/>
    <n v="80"/>
    <n v="0"/>
    <n v="6"/>
    <n v="3"/>
    <n v="2"/>
    <x v="11"/>
    <n v="2"/>
    <n v="1"/>
    <n v="2"/>
    <x v="2"/>
    <x v="0"/>
    <s v="Active"/>
    <x v="5"/>
  </r>
  <r>
    <n v="52"/>
    <x v="1"/>
    <s v="Travel Frequently"/>
    <n v="322"/>
    <x v="1"/>
    <n v="28"/>
    <n v="2"/>
    <s v="Medical"/>
    <n v="1"/>
    <x v="994"/>
    <n v="4"/>
    <x v="0"/>
    <n v="59"/>
    <n v="4"/>
    <n v="4"/>
    <x v="3"/>
    <n v="3"/>
    <s v="Married"/>
    <n v="13247"/>
    <n v="9731"/>
    <n v="2"/>
    <s v="Y"/>
    <s v="Yes"/>
    <n v="11"/>
    <n v="3"/>
    <n v="2"/>
    <n v="80"/>
    <n v="1"/>
    <n v="24"/>
    <n v="3"/>
    <n v="2"/>
    <x v="8"/>
    <n v="3"/>
    <n v="0"/>
    <n v="2"/>
    <x v="0"/>
    <x v="2"/>
    <s v="Active"/>
    <x v="3"/>
  </r>
  <r>
    <n v="43"/>
    <x v="1"/>
    <s v="Travel Rarely"/>
    <n v="930"/>
    <x v="1"/>
    <n v="6"/>
    <n v="3"/>
    <s v="Medical"/>
    <n v="1"/>
    <x v="995"/>
    <n v="1"/>
    <x v="0"/>
    <n v="73"/>
    <n v="2"/>
    <n v="2"/>
    <x v="1"/>
    <n v="3"/>
    <s v="Single"/>
    <n v="4081"/>
    <n v="20003"/>
    <n v="1"/>
    <s v="Y"/>
    <s v="Yes"/>
    <n v="14"/>
    <n v="3"/>
    <n v="1"/>
    <n v="80"/>
    <n v="0"/>
    <n v="20"/>
    <n v="3"/>
    <n v="1"/>
    <x v="23"/>
    <n v="7"/>
    <n v="1"/>
    <n v="8"/>
    <x v="0"/>
    <x v="1"/>
    <s v="Active"/>
    <x v="0"/>
  </r>
  <r>
    <n v="27"/>
    <x v="1"/>
    <s v="Travel Rarely"/>
    <n v="205"/>
    <x v="0"/>
    <n v="10"/>
    <n v="3"/>
    <s v="Marketing"/>
    <n v="1"/>
    <x v="996"/>
    <n v="4"/>
    <x v="0"/>
    <n v="98"/>
    <n v="2"/>
    <n v="2"/>
    <x v="0"/>
    <n v="4"/>
    <s v="Married"/>
    <n v="5769"/>
    <n v="7100"/>
    <n v="1"/>
    <s v="Y"/>
    <s v="Yes"/>
    <n v="11"/>
    <n v="3"/>
    <n v="4"/>
    <n v="80"/>
    <n v="0"/>
    <n v="6"/>
    <n v="3"/>
    <n v="3"/>
    <x v="0"/>
    <n v="2"/>
    <n v="4"/>
    <n v="4"/>
    <x v="2"/>
    <x v="0"/>
    <s v="Active"/>
    <x v="0"/>
  </r>
  <r>
    <n v="27"/>
    <x v="0"/>
    <s v="Travel Rarely"/>
    <n v="135"/>
    <x v="1"/>
    <n v="17"/>
    <n v="4"/>
    <s v="Life Sciences"/>
    <n v="1"/>
    <x v="997"/>
    <n v="4"/>
    <x v="0"/>
    <n v="51"/>
    <n v="3"/>
    <n v="1"/>
    <x v="1"/>
    <n v="3"/>
    <s v="Single"/>
    <n v="2394"/>
    <n v="25681"/>
    <n v="1"/>
    <s v="Y"/>
    <s v="Yes"/>
    <n v="13"/>
    <n v="3"/>
    <n v="4"/>
    <n v="80"/>
    <n v="0"/>
    <n v="8"/>
    <n v="2"/>
    <n v="3"/>
    <x v="3"/>
    <n v="2"/>
    <n v="7"/>
    <n v="7"/>
    <x v="2"/>
    <x v="1"/>
    <s v="Resigned"/>
    <x v="0"/>
  </r>
  <r>
    <n v="26"/>
    <x v="1"/>
    <s v="Travel Rarely"/>
    <n v="683"/>
    <x v="1"/>
    <n v="2"/>
    <n v="1"/>
    <s v="Medical"/>
    <n v="1"/>
    <x v="998"/>
    <n v="1"/>
    <x v="1"/>
    <n v="36"/>
    <n v="2"/>
    <n v="1"/>
    <x v="1"/>
    <n v="4"/>
    <s v="Single"/>
    <n v="3904"/>
    <n v="4050"/>
    <n v="0"/>
    <s v="Y"/>
    <s v="No"/>
    <n v="12"/>
    <n v="3"/>
    <n v="4"/>
    <n v="80"/>
    <n v="0"/>
    <n v="5"/>
    <n v="2"/>
    <n v="3"/>
    <x v="9"/>
    <n v="3"/>
    <n v="1"/>
    <n v="1"/>
    <x v="2"/>
    <x v="1"/>
    <s v="Active"/>
    <x v="4"/>
  </r>
  <r>
    <n v="42"/>
    <x v="1"/>
    <s v="Travel Rarely"/>
    <n v="1147"/>
    <x v="2"/>
    <n v="10"/>
    <n v="3"/>
    <s v="Human Resources"/>
    <n v="1"/>
    <x v="999"/>
    <n v="3"/>
    <x v="0"/>
    <n v="31"/>
    <n v="3"/>
    <n v="4"/>
    <x v="5"/>
    <n v="1"/>
    <s v="Married"/>
    <n v="16799"/>
    <n v="16616"/>
    <n v="0"/>
    <s v="Y"/>
    <s v="No"/>
    <n v="14"/>
    <n v="3"/>
    <n v="3"/>
    <n v="80"/>
    <n v="1"/>
    <n v="21"/>
    <n v="5"/>
    <n v="3"/>
    <x v="23"/>
    <n v="7"/>
    <n v="0"/>
    <n v="9"/>
    <x v="0"/>
    <x v="2"/>
    <s v="Active"/>
    <x v="0"/>
  </r>
  <r>
    <n v="52"/>
    <x v="1"/>
    <s v="Travel Rarely"/>
    <n v="258"/>
    <x v="1"/>
    <n v="8"/>
    <n v="4"/>
    <s v="Other"/>
    <n v="1"/>
    <x v="1000"/>
    <n v="3"/>
    <x v="0"/>
    <n v="54"/>
    <n v="3"/>
    <n v="1"/>
    <x v="2"/>
    <n v="1"/>
    <s v="Married"/>
    <n v="2950"/>
    <n v="17363"/>
    <n v="9"/>
    <s v="Y"/>
    <s v="No"/>
    <n v="13"/>
    <n v="3"/>
    <n v="3"/>
    <n v="80"/>
    <n v="0"/>
    <n v="12"/>
    <n v="2"/>
    <n v="1"/>
    <x v="8"/>
    <n v="4"/>
    <n v="0"/>
    <n v="4"/>
    <x v="0"/>
    <x v="1"/>
    <s v="Active"/>
    <x v="3"/>
  </r>
  <r>
    <n v="37"/>
    <x v="1"/>
    <s v="Travel Rarely"/>
    <n v="1462"/>
    <x v="1"/>
    <n v="11"/>
    <n v="3"/>
    <s v="Medical"/>
    <n v="1"/>
    <x v="1001"/>
    <n v="1"/>
    <x v="0"/>
    <n v="94"/>
    <n v="3"/>
    <n v="1"/>
    <x v="2"/>
    <n v="3"/>
    <s v="Single"/>
    <n v="3629"/>
    <n v="19106"/>
    <n v="4"/>
    <s v="Y"/>
    <s v="No"/>
    <n v="18"/>
    <n v="3"/>
    <n v="1"/>
    <n v="80"/>
    <n v="0"/>
    <n v="8"/>
    <n v="6"/>
    <n v="3"/>
    <x v="11"/>
    <n v="2"/>
    <n v="0"/>
    <n v="2"/>
    <x v="1"/>
    <x v="1"/>
    <s v="Active"/>
    <x v="5"/>
  </r>
  <r>
    <n v="35"/>
    <x v="1"/>
    <s v="Travel Frequently"/>
    <n v="200"/>
    <x v="1"/>
    <n v="18"/>
    <n v="2"/>
    <s v="Life Sciences"/>
    <n v="1"/>
    <x v="1002"/>
    <n v="3"/>
    <x v="1"/>
    <n v="60"/>
    <n v="3"/>
    <n v="3"/>
    <x v="3"/>
    <n v="4"/>
    <s v="Single"/>
    <n v="9362"/>
    <n v="19944"/>
    <n v="2"/>
    <s v="Y"/>
    <s v="No"/>
    <n v="11"/>
    <n v="3"/>
    <n v="3"/>
    <n v="80"/>
    <n v="0"/>
    <n v="10"/>
    <n v="2"/>
    <n v="3"/>
    <x v="4"/>
    <n v="2"/>
    <n v="2"/>
    <n v="2"/>
    <x v="1"/>
    <x v="0"/>
    <s v="Active"/>
    <x v="2"/>
  </r>
  <r>
    <n v="25"/>
    <x v="1"/>
    <s v="Travel Rarely"/>
    <n v="949"/>
    <x v="1"/>
    <n v="1"/>
    <n v="3"/>
    <s v="Technical Degree"/>
    <n v="1"/>
    <x v="1003"/>
    <n v="1"/>
    <x v="1"/>
    <n v="81"/>
    <n v="3"/>
    <n v="1"/>
    <x v="2"/>
    <n v="4"/>
    <s v="Married"/>
    <n v="3229"/>
    <n v="4910"/>
    <n v="4"/>
    <s v="Y"/>
    <s v="No"/>
    <n v="11"/>
    <n v="3"/>
    <n v="2"/>
    <n v="80"/>
    <n v="1"/>
    <n v="7"/>
    <n v="2"/>
    <n v="2"/>
    <x v="11"/>
    <n v="2"/>
    <n v="0"/>
    <n v="2"/>
    <x v="2"/>
    <x v="1"/>
    <s v="Active"/>
    <x v="5"/>
  </r>
  <r>
    <n v="26"/>
    <x v="1"/>
    <s v="Travel Rarely"/>
    <n v="652"/>
    <x v="1"/>
    <n v="7"/>
    <n v="3"/>
    <s v="Other"/>
    <n v="1"/>
    <x v="1004"/>
    <n v="3"/>
    <x v="1"/>
    <n v="100"/>
    <n v="4"/>
    <n v="1"/>
    <x v="2"/>
    <n v="1"/>
    <s v="Single"/>
    <n v="3578"/>
    <n v="23577"/>
    <n v="0"/>
    <s v="Y"/>
    <s v="No"/>
    <n v="12"/>
    <n v="3"/>
    <n v="4"/>
    <n v="80"/>
    <n v="0"/>
    <n v="8"/>
    <n v="2"/>
    <n v="3"/>
    <x v="5"/>
    <n v="7"/>
    <n v="0"/>
    <n v="7"/>
    <x v="2"/>
    <x v="1"/>
    <s v="Active"/>
    <x v="0"/>
  </r>
  <r>
    <n v="29"/>
    <x v="1"/>
    <s v="Travel Rarely"/>
    <n v="332"/>
    <x v="2"/>
    <n v="17"/>
    <n v="3"/>
    <s v="Other"/>
    <n v="1"/>
    <x v="1005"/>
    <n v="2"/>
    <x v="1"/>
    <n v="51"/>
    <n v="2"/>
    <n v="3"/>
    <x v="8"/>
    <n v="1"/>
    <s v="Single"/>
    <n v="7988"/>
    <n v="9769"/>
    <n v="1"/>
    <s v="Y"/>
    <s v="No"/>
    <n v="13"/>
    <n v="3"/>
    <n v="1"/>
    <n v="80"/>
    <n v="0"/>
    <n v="10"/>
    <n v="3"/>
    <n v="2"/>
    <x v="1"/>
    <n v="9"/>
    <n v="0"/>
    <n v="9"/>
    <x v="2"/>
    <x v="0"/>
    <s v="Active"/>
    <x v="0"/>
  </r>
  <r>
    <n v="49"/>
    <x v="0"/>
    <s v="Travel Frequently"/>
    <n v="1475"/>
    <x v="1"/>
    <n v="28"/>
    <n v="2"/>
    <s v="Life Sciences"/>
    <n v="1"/>
    <x v="1006"/>
    <n v="1"/>
    <x v="1"/>
    <n v="97"/>
    <n v="2"/>
    <n v="2"/>
    <x v="2"/>
    <n v="1"/>
    <s v="Single"/>
    <n v="4284"/>
    <n v="22710"/>
    <n v="3"/>
    <s v="Y"/>
    <s v="No"/>
    <n v="20"/>
    <n v="4"/>
    <n v="1"/>
    <n v="80"/>
    <n v="0"/>
    <n v="20"/>
    <n v="2"/>
    <n v="3"/>
    <x v="9"/>
    <n v="3"/>
    <n v="1"/>
    <n v="3"/>
    <x v="0"/>
    <x v="1"/>
    <s v="Resigned"/>
    <x v="4"/>
  </r>
  <r>
    <n v="29"/>
    <x v="0"/>
    <s v="Travel Frequently"/>
    <n v="337"/>
    <x v="1"/>
    <n v="14"/>
    <n v="1"/>
    <s v="Other"/>
    <n v="1"/>
    <x v="1007"/>
    <n v="3"/>
    <x v="0"/>
    <n v="84"/>
    <n v="3"/>
    <n v="3"/>
    <x v="4"/>
    <n v="4"/>
    <s v="Single"/>
    <n v="7553"/>
    <n v="22930"/>
    <n v="0"/>
    <s v="Y"/>
    <s v="Yes"/>
    <n v="12"/>
    <n v="3"/>
    <n v="1"/>
    <n v="80"/>
    <n v="0"/>
    <n v="9"/>
    <n v="1"/>
    <n v="3"/>
    <x v="3"/>
    <n v="7"/>
    <n v="7"/>
    <n v="7"/>
    <x v="2"/>
    <x v="0"/>
    <s v="Resigned"/>
    <x v="0"/>
  </r>
  <r>
    <n v="54"/>
    <x v="1"/>
    <s v="Travel Rarely"/>
    <n v="971"/>
    <x v="1"/>
    <n v="1"/>
    <n v="3"/>
    <s v="Medical"/>
    <n v="1"/>
    <x v="1008"/>
    <n v="4"/>
    <x v="0"/>
    <n v="54"/>
    <n v="3"/>
    <n v="4"/>
    <x v="7"/>
    <n v="4"/>
    <s v="Single"/>
    <n v="17328"/>
    <n v="5652"/>
    <n v="6"/>
    <s v="Y"/>
    <s v="No"/>
    <n v="19"/>
    <n v="3"/>
    <n v="4"/>
    <n v="80"/>
    <n v="0"/>
    <n v="29"/>
    <n v="3"/>
    <n v="2"/>
    <x v="23"/>
    <n v="7"/>
    <n v="12"/>
    <n v="7"/>
    <x v="0"/>
    <x v="2"/>
    <s v="Active"/>
    <x v="0"/>
  </r>
  <r>
    <n v="58"/>
    <x v="1"/>
    <s v="Travel Rarely"/>
    <n v="1055"/>
    <x v="1"/>
    <n v="1"/>
    <n v="3"/>
    <s v="Medical"/>
    <n v="1"/>
    <x v="1009"/>
    <n v="4"/>
    <x v="0"/>
    <n v="76"/>
    <n v="3"/>
    <n v="5"/>
    <x v="7"/>
    <n v="1"/>
    <s v="Married"/>
    <n v="19701"/>
    <n v="22456"/>
    <n v="3"/>
    <s v="Y"/>
    <s v="Yes"/>
    <n v="21"/>
    <n v="4"/>
    <n v="3"/>
    <n v="80"/>
    <n v="1"/>
    <n v="32"/>
    <n v="3"/>
    <n v="3"/>
    <x v="7"/>
    <n v="8"/>
    <n v="1"/>
    <n v="5"/>
    <x v="0"/>
    <x v="2"/>
    <s v="Active"/>
    <x v="0"/>
  </r>
  <r>
    <n v="55"/>
    <x v="1"/>
    <s v="Travel Rarely"/>
    <n v="1136"/>
    <x v="1"/>
    <n v="1"/>
    <n v="4"/>
    <s v="Medical"/>
    <n v="1"/>
    <x v="1010"/>
    <n v="2"/>
    <x v="1"/>
    <n v="81"/>
    <n v="4"/>
    <n v="4"/>
    <x v="7"/>
    <n v="4"/>
    <s v="Divorced"/>
    <n v="14732"/>
    <n v="12414"/>
    <n v="2"/>
    <s v="Y"/>
    <s v="No"/>
    <n v="13"/>
    <n v="3"/>
    <n v="4"/>
    <n v="80"/>
    <n v="2"/>
    <n v="31"/>
    <n v="4"/>
    <n v="4"/>
    <x v="5"/>
    <n v="7"/>
    <n v="0"/>
    <n v="0"/>
    <x v="0"/>
    <x v="2"/>
    <s v="Active"/>
    <x v="0"/>
  </r>
  <r>
    <n v="36"/>
    <x v="1"/>
    <s v="Travel Rarely"/>
    <n v="1174"/>
    <x v="0"/>
    <n v="3"/>
    <n v="4"/>
    <s v="Marketing"/>
    <n v="1"/>
    <x v="1011"/>
    <n v="1"/>
    <x v="0"/>
    <n v="99"/>
    <n v="3"/>
    <n v="2"/>
    <x v="0"/>
    <n v="2"/>
    <s v="Single"/>
    <n v="9278"/>
    <n v="20763"/>
    <n v="3"/>
    <s v="Y"/>
    <s v="Yes"/>
    <n v="16"/>
    <n v="3"/>
    <n v="4"/>
    <n v="80"/>
    <n v="0"/>
    <n v="15"/>
    <n v="3"/>
    <n v="3"/>
    <x v="8"/>
    <n v="4"/>
    <n v="0"/>
    <n v="1"/>
    <x v="1"/>
    <x v="0"/>
    <s v="Active"/>
    <x v="3"/>
  </r>
  <r>
    <n v="31"/>
    <x v="0"/>
    <s v="Travel Frequently"/>
    <n v="667"/>
    <x v="0"/>
    <n v="1"/>
    <n v="4"/>
    <s v="Life Sciences"/>
    <n v="1"/>
    <x v="1012"/>
    <n v="2"/>
    <x v="0"/>
    <n v="50"/>
    <n v="1"/>
    <n v="1"/>
    <x v="6"/>
    <n v="3"/>
    <s v="Single"/>
    <n v="1359"/>
    <n v="16154"/>
    <n v="1"/>
    <s v="Y"/>
    <s v="No"/>
    <n v="12"/>
    <n v="3"/>
    <n v="2"/>
    <n v="80"/>
    <n v="0"/>
    <n v="1"/>
    <n v="3"/>
    <n v="3"/>
    <x v="6"/>
    <n v="0"/>
    <n v="0"/>
    <n v="0"/>
    <x v="1"/>
    <x v="1"/>
    <s v="Resigned"/>
    <x v="1"/>
  </r>
  <r>
    <n v="30"/>
    <x v="1"/>
    <s v="Travel Rarely"/>
    <n v="855"/>
    <x v="0"/>
    <n v="7"/>
    <n v="4"/>
    <s v="Marketing"/>
    <n v="1"/>
    <x v="1013"/>
    <n v="4"/>
    <x v="0"/>
    <n v="73"/>
    <n v="3"/>
    <n v="2"/>
    <x v="0"/>
    <n v="1"/>
    <s v="Divorced"/>
    <n v="4779"/>
    <n v="12761"/>
    <n v="7"/>
    <s v="Y"/>
    <s v="No"/>
    <n v="14"/>
    <n v="3"/>
    <n v="2"/>
    <n v="80"/>
    <n v="2"/>
    <n v="8"/>
    <n v="3"/>
    <n v="3"/>
    <x v="11"/>
    <n v="2"/>
    <n v="0"/>
    <n v="2"/>
    <x v="1"/>
    <x v="1"/>
    <s v="Active"/>
    <x v="5"/>
  </r>
  <r>
    <n v="31"/>
    <x v="1"/>
    <s v="Travel Rarely"/>
    <n v="182"/>
    <x v="1"/>
    <n v="8"/>
    <n v="5"/>
    <s v="Life Sciences"/>
    <n v="1"/>
    <x v="1014"/>
    <n v="1"/>
    <x v="0"/>
    <n v="93"/>
    <n v="3"/>
    <n v="4"/>
    <x v="7"/>
    <n v="2"/>
    <s v="Single"/>
    <n v="16422"/>
    <n v="8847"/>
    <n v="3"/>
    <s v="Y"/>
    <s v="No"/>
    <n v="11"/>
    <n v="3"/>
    <n v="3"/>
    <n v="80"/>
    <n v="0"/>
    <n v="9"/>
    <n v="3"/>
    <n v="4"/>
    <x v="11"/>
    <n v="2"/>
    <n v="1"/>
    <n v="0"/>
    <x v="1"/>
    <x v="2"/>
    <s v="Active"/>
    <x v="5"/>
  </r>
  <r>
    <n v="34"/>
    <x v="1"/>
    <s v="Travel Frequently"/>
    <n v="560"/>
    <x v="1"/>
    <n v="1"/>
    <n v="4"/>
    <s v="Other"/>
    <n v="1"/>
    <x v="1015"/>
    <n v="4"/>
    <x v="1"/>
    <n v="91"/>
    <n v="3"/>
    <n v="1"/>
    <x v="1"/>
    <n v="1"/>
    <s v="Divorced"/>
    <n v="2996"/>
    <n v="20284"/>
    <n v="5"/>
    <s v="Y"/>
    <s v="No"/>
    <n v="14"/>
    <n v="3"/>
    <n v="3"/>
    <n v="80"/>
    <n v="2"/>
    <n v="10"/>
    <n v="2"/>
    <n v="3"/>
    <x v="9"/>
    <n v="3"/>
    <n v="1"/>
    <n v="3"/>
    <x v="1"/>
    <x v="1"/>
    <s v="Active"/>
    <x v="4"/>
  </r>
  <r>
    <n v="31"/>
    <x v="0"/>
    <s v="Travel Rarely"/>
    <n v="202"/>
    <x v="1"/>
    <n v="8"/>
    <n v="3"/>
    <s v="Life Sciences"/>
    <n v="1"/>
    <x v="1016"/>
    <n v="1"/>
    <x v="0"/>
    <n v="34"/>
    <n v="2"/>
    <n v="1"/>
    <x v="1"/>
    <n v="2"/>
    <s v="Single"/>
    <n v="1261"/>
    <n v="22262"/>
    <n v="1"/>
    <s v="Y"/>
    <s v="No"/>
    <n v="12"/>
    <n v="3"/>
    <n v="3"/>
    <n v="80"/>
    <n v="0"/>
    <n v="1"/>
    <n v="3"/>
    <n v="4"/>
    <x v="6"/>
    <n v="0"/>
    <n v="0"/>
    <n v="0"/>
    <x v="1"/>
    <x v="1"/>
    <s v="Resigned"/>
    <x v="1"/>
  </r>
  <r>
    <n v="27"/>
    <x v="1"/>
    <s v="Travel Rarely"/>
    <n v="1377"/>
    <x v="1"/>
    <n v="11"/>
    <n v="1"/>
    <s v="Life Sciences"/>
    <n v="1"/>
    <x v="1017"/>
    <n v="2"/>
    <x v="1"/>
    <n v="91"/>
    <n v="3"/>
    <n v="1"/>
    <x v="2"/>
    <n v="1"/>
    <s v="Married"/>
    <n v="2099"/>
    <n v="7679"/>
    <n v="0"/>
    <s v="Y"/>
    <s v="No"/>
    <n v="14"/>
    <n v="3"/>
    <n v="2"/>
    <n v="80"/>
    <n v="0"/>
    <n v="6"/>
    <n v="3"/>
    <n v="4"/>
    <x v="8"/>
    <n v="0"/>
    <n v="1"/>
    <n v="4"/>
    <x v="2"/>
    <x v="1"/>
    <s v="Active"/>
    <x v="3"/>
  </r>
  <r>
    <n v="36"/>
    <x v="1"/>
    <s v="Travel Rarely"/>
    <n v="172"/>
    <x v="1"/>
    <n v="4"/>
    <n v="4"/>
    <s v="Life Sciences"/>
    <n v="1"/>
    <x v="1018"/>
    <n v="1"/>
    <x v="1"/>
    <n v="37"/>
    <n v="2"/>
    <n v="2"/>
    <x v="2"/>
    <n v="4"/>
    <s v="Single"/>
    <n v="5810"/>
    <n v="22604"/>
    <n v="1"/>
    <s v="Y"/>
    <s v="No"/>
    <n v="16"/>
    <n v="3"/>
    <n v="3"/>
    <n v="80"/>
    <n v="0"/>
    <n v="10"/>
    <n v="2"/>
    <n v="2"/>
    <x v="1"/>
    <n v="4"/>
    <n v="1"/>
    <n v="8"/>
    <x v="1"/>
    <x v="0"/>
    <s v="Active"/>
    <x v="0"/>
  </r>
  <r>
    <n v="36"/>
    <x v="1"/>
    <s v="Travel Rarely"/>
    <n v="329"/>
    <x v="0"/>
    <n v="16"/>
    <n v="4"/>
    <s v="Marketing"/>
    <n v="1"/>
    <x v="1019"/>
    <n v="3"/>
    <x v="0"/>
    <n v="98"/>
    <n v="2"/>
    <n v="2"/>
    <x v="0"/>
    <n v="1"/>
    <s v="Married"/>
    <n v="5647"/>
    <n v="13494"/>
    <n v="4"/>
    <s v="Y"/>
    <s v="No"/>
    <n v="13"/>
    <n v="3"/>
    <n v="1"/>
    <n v="80"/>
    <n v="2"/>
    <n v="11"/>
    <n v="3"/>
    <n v="2"/>
    <x v="11"/>
    <n v="2"/>
    <n v="0"/>
    <n v="2"/>
    <x v="1"/>
    <x v="0"/>
    <s v="Active"/>
    <x v="5"/>
  </r>
  <r>
    <n v="47"/>
    <x v="1"/>
    <s v="Travel Rarely"/>
    <n v="465"/>
    <x v="1"/>
    <n v="1"/>
    <n v="3"/>
    <s v="Technical Degree"/>
    <n v="1"/>
    <x v="1020"/>
    <n v="1"/>
    <x v="1"/>
    <n v="74"/>
    <n v="3"/>
    <n v="1"/>
    <x v="1"/>
    <n v="4"/>
    <s v="Married"/>
    <n v="3420"/>
    <n v="10205"/>
    <n v="7"/>
    <s v="Y"/>
    <s v="No"/>
    <n v="12"/>
    <n v="3"/>
    <n v="3"/>
    <n v="80"/>
    <n v="1"/>
    <n v="17"/>
    <n v="2"/>
    <n v="2"/>
    <x v="0"/>
    <n v="5"/>
    <n v="1"/>
    <n v="2"/>
    <x v="0"/>
    <x v="1"/>
    <s v="Active"/>
    <x v="0"/>
  </r>
  <r>
    <n v="25"/>
    <x v="0"/>
    <s v="Travel Rarely"/>
    <n v="383"/>
    <x v="0"/>
    <n v="9"/>
    <n v="2"/>
    <s v="Life Sciences"/>
    <n v="1"/>
    <x v="1021"/>
    <n v="1"/>
    <x v="1"/>
    <n v="68"/>
    <n v="2"/>
    <n v="1"/>
    <x v="6"/>
    <n v="1"/>
    <s v="Married"/>
    <n v="4400"/>
    <n v="15182"/>
    <n v="3"/>
    <s v="Y"/>
    <s v="No"/>
    <n v="12"/>
    <n v="3"/>
    <n v="1"/>
    <n v="80"/>
    <n v="0"/>
    <n v="6"/>
    <n v="2"/>
    <n v="3"/>
    <x v="11"/>
    <n v="2"/>
    <n v="2"/>
    <n v="2"/>
    <x v="2"/>
    <x v="1"/>
    <s v="Resigned"/>
    <x v="5"/>
  </r>
  <r>
    <n v="37"/>
    <x v="1"/>
    <s v="Non Travel"/>
    <n v="1413"/>
    <x v="1"/>
    <n v="5"/>
    <n v="2"/>
    <s v="Technical Degree"/>
    <n v="1"/>
    <x v="1022"/>
    <n v="3"/>
    <x v="1"/>
    <n v="84"/>
    <n v="4"/>
    <n v="1"/>
    <x v="2"/>
    <n v="3"/>
    <s v="Single"/>
    <n v="3500"/>
    <n v="25470"/>
    <n v="0"/>
    <s v="Y"/>
    <s v="No"/>
    <n v="14"/>
    <n v="3"/>
    <n v="1"/>
    <n v="80"/>
    <n v="0"/>
    <n v="7"/>
    <n v="2"/>
    <n v="1"/>
    <x v="0"/>
    <n v="5"/>
    <n v="1"/>
    <n v="3"/>
    <x v="1"/>
    <x v="1"/>
    <s v="Active"/>
    <x v="0"/>
  </r>
  <r>
    <n v="56"/>
    <x v="1"/>
    <s v="Travel Rarely"/>
    <n v="1255"/>
    <x v="1"/>
    <n v="1"/>
    <n v="2"/>
    <s v="Life Sciences"/>
    <n v="1"/>
    <x v="1023"/>
    <n v="1"/>
    <x v="0"/>
    <n v="90"/>
    <n v="3"/>
    <n v="1"/>
    <x v="1"/>
    <n v="1"/>
    <s v="Married"/>
    <n v="2066"/>
    <n v="10494"/>
    <n v="2"/>
    <s v="Y"/>
    <s v="No"/>
    <n v="22"/>
    <n v="4"/>
    <n v="4"/>
    <n v="80"/>
    <n v="1"/>
    <n v="5"/>
    <n v="3"/>
    <n v="4"/>
    <x v="11"/>
    <n v="2"/>
    <n v="1"/>
    <n v="0"/>
    <x v="0"/>
    <x v="1"/>
    <s v="Active"/>
    <x v="5"/>
  </r>
  <r>
    <n v="47"/>
    <x v="1"/>
    <s v="Travel Rarely"/>
    <n v="359"/>
    <x v="1"/>
    <n v="2"/>
    <n v="4"/>
    <s v="Medical"/>
    <n v="1"/>
    <x v="1024"/>
    <n v="1"/>
    <x v="0"/>
    <n v="82"/>
    <n v="3"/>
    <n v="4"/>
    <x v="7"/>
    <n v="3"/>
    <s v="Married"/>
    <n v="17169"/>
    <n v="26703"/>
    <n v="3"/>
    <s v="Y"/>
    <s v="No"/>
    <n v="19"/>
    <n v="3"/>
    <n v="2"/>
    <n v="80"/>
    <n v="2"/>
    <n v="26"/>
    <n v="2"/>
    <n v="4"/>
    <x v="23"/>
    <n v="17"/>
    <n v="5"/>
    <n v="6"/>
    <x v="0"/>
    <x v="2"/>
    <s v="Active"/>
    <x v="0"/>
  </r>
  <r>
    <n v="24"/>
    <x v="1"/>
    <s v="Travel Rarely"/>
    <n v="1476"/>
    <x v="0"/>
    <n v="4"/>
    <n v="1"/>
    <s v="Medical"/>
    <n v="1"/>
    <x v="1025"/>
    <n v="4"/>
    <x v="0"/>
    <n v="42"/>
    <n v="3"/>
    <n v="2"/>
    <x v="0"/>
    <n v="3"/>
    <s v="Married"/>
    <n v="4162"/>
    <n v="15211"/>
    <n v="1"/>
    <s v="Y"/>
    <s v="Yes"/>
    <n v="12"/>
    <n v="3"/>
    <n v="3"/>
    <n v="80"/>
    <n v="2"/>
    <n v="5"/>
    <n v="3"/>
    <n v="3"/>
    <x v="8"/>
    <n v="4"/>
    <n v="0"/>
    <n v="3"/>
    <x v="2"/>
    <x v="1"/>
    <s v="Active"/>
    <x v="3"/>
  </r>
  <r>
    <n v="32"/>
    <x v="1"/>
    <s v="Travel Rarely"/>
    <n v="601"/>
    <x v="0"/>
    <n v="7"/>
    <n v="5"/>
    <s v="Marketing"/>
    <n v="1"/>
    <x v="1026"/>
    <n v="4"/>
    <x v="1"/>
    <n v="97"/>
    <n v="3"/>
    <n v="2"/>
    <x v="0"/>
    <n v="4"/>
    <s v="Married"/>
    <n v="9204"/>
    <n v="23343"/>
    <n v="4"/>
    <s v="Y"/>
    <s v="No"/>
    <n v="12"/>
    <n v="3"/>
    <n v="3"/>
    <n v="80"/>
    <n v="1"/>
    <n v="7"/>
    <n v="3"/>
    <n v="2"/>
    <x v="9"/>
    <n v="3"/>
    <n v="0"/>
    <n v="3"/>
    <x v="1"/>
    <x v="0"/>
    <s v="Active"/>
    <x v="4"/>
  </r>
  <r>
    <n v="34"/>
    <x v="1"/>
    <s v="Travel Rarely"/>
    <n v="401"/>
    <x v="1"/>
    <n v="1"/>
    <n v="3"/>
    <s v="Life Sciences"/>
    <n v="1"/>
    <x v="1027"/>
    <n v="4"/>
    <x v="0"/>
    <n v="86"/>
    <n v="2"/>
    <n v="1"/>
    <x v="2"/>
    <n v="2"/>
    <s v="Married"/>
    <n v="3294"/>
    <n v="3708"/>
    <n v="5"/>
    <s v="Y"/>
    <s v="No"/>
    <n v="17"/>
    <n v="3"/>
    <n v="1"/>
    <n v="80"/>
    <n v="1"/>
    <n v="7"/>
    <n v="2"/>
    <n v="2"/>
    <x v="8"/>
    <n v="4"/>
    <n v="0"/>
    <n v="2"/>
    <x v="1"/>
    <x v="1"/>
    <s v="Active"/>
    <x v="3"/>
  </r>
  <r>
    <n v="41"/>
    <x v="1"/>
    <s v="Travel Rarely"/>
    <n v="1283"/>
    <x v="1"/>
    <n v="5"/>
    <n v="5"/>
    <s v="Medical"/>
    <n v="1"/>
    <x v="1028"/>
    <n v="2"/>
    <x v="1"/>
    <n v="90"/>
    <n v="4"/>
    <n v="1"/>
    <x v="1"/>
    <n v="3"/>
    <s v="Married"/>
    <n v="2127"/>
    <n v="5561"/>
    <n v="2"/>
    <s v="Y"/>
    <s v="Yes"/>
    <n v="12"/>
    <n v="3"/>
    <n v="1"/>
    <n v="80"/>
    <n v="0"/>
    <n v="7"/>
    <n v="5"/>
    <n v="2"/>
    <x v="9"/>
    <n v="2"/>
    <n v="0"/>
    <n v="3"/>
    <x v="0"/>
    <x v="1"/>
    <s v="Active"/>
    <x v="4"/>
  </r>
  <r>
    <n v="40"/>
    <x v="1"/>
    <s v="Non Travel"/>
    <n v="663"/>
    <x v="1"/>
    <n v="9"/>
    <n v="4"/>
    <s v="Other"/>
    <n v="1"/>
    <x v="1029"/>
    <n v="3"/>
    <x v="1"/>
    <n v="81"/>
    <n v="3"/>
    <n v="2"/>
    <x v="2"/>
    <n v="3"/>
    <s v="Divorced"/>
    <n v="3975"/>
    <n v="23099"/>
    <n v="3"/>
    <s v="Y"/>
    <s v="No"/>
    <n v="11"/>
    <n v="3"/>
    <n v="3"/>
    <n v="80"/>
    <n v="2"/>
    <n v="11"/>
    <n v="2"/>
    <n v="4"/>
    <x v="3"/>
    <n v="7"/>
    <n v="0"/>
    <n v="7"/>
    <x v="1"/>
    <x v="1"/>
    <s v="Active"/>
    <x v="0"/>
  </r>
  <r>
    <n v="31"/>
    <x v="1"/>
    <s v="Travel Rarely"/>
    <n v="326"/>
    <x v="0"/>
    <n v="8"/>
    <n v="2"/>
    <s v="Life Sciences"/>
    <n v="1"/>
    <x v="1030"/>
    <n v="1"/>
    <x v="1"/>
    <n v="31"/>
    <n v="3"/>
    <n v="3"/>
    <x v="0"/>
    <n v="4"/>
    <s v="Divorced"/>
    <n v="10793"/>
    <n v="8386"/>
    <n v="1"/>
    <s v="Y"/>
    <s v="No"/>
    <n v="18"/>
    <n v="3"/>
    <n v="1"/>
    <n v="80"/>
    <n v="1"/>
    <n v="13"/>
    <n v="5"/>
    <n v="3"/>
    <x v="20"/>
    <n v="7"/>
    <n v="9"/>
    <n v="9"/>
    <x v="1"/>
    <x v="2"/>
    <s v="Active"/>
    <x v="0"/>
  </r>
  <r>
    <n v="46"/>
    <x v="0"/>
    <s v="Travel Rarely"/>
    <n v="377"/>
    <x v="0"/>
    <n v="9"/>
    <n v="3"/>
    <s v="Marketing"/>
    <n v="1"/>
    <x v="1031"/>
    <n v="1"/>
    <x v="1"/>
    <n v="52"/>
    <n v="3"/>
    <n v="3"/>
    <x v="0"/>
    <n v="4"/>
    <s v="Divorced"/>
    <n v="10096"/>
    <n v="15986"/>
    <n v="4"/>
    <s v="Y"/>
    <s v="No"/>
    <n v="11"/>
    <n v="3"/>
    <n v="1"/>
    <n v="80"/>
    <n v="1"/>
    <n v="28"/>
    <n v="1"/>
    <n v="4"/>
    <x v="5"/>
    <n v="7"/>
    <n v="4"/>
    <n v="3"/>
    <x v="0"/>
    <x v="2"/>
    <s v="Resigned"/>
    <x v="0"/>
  </r>
  <r>
    <n v="39"/>
    <x v="0"/>
    <s v="Non Travel"/>
    <n v="592"/>
    <x v="1"/>
    <n v="2"/>
    <n v="3"/>
    <s v="Life Sciences"/>
    <n v="1"/>
    <x v="1032"/>
    <n v="1"/>
    <x v="0"/>
    <n v="54"/>
    <n v="2"/>
    <n v="1"/>
    <x v="2"/>
    <n v="1"/>
    <s v="Single"/>
    <n v="3646"/>
    <n v="17181"/>
    <n v="2"/>
    <s v="Y"/>
    <s v="Yes"/>
    <n v="23"/>
    <n v="4"/>
    <n v="2"/>
    <n v="80"/>
    <n v="0"/>
    <n v="11"/>
    <n v="2"/>
    <n v="4"/>
    <x v="6"/>
    <n v="0"/>
    <n v="0"/>
    <n v="0"/>
    <x v="1"/>
    <x v="1"/>
    <s v="Resigned"/>
    <x v="1"/>
  </r>
  <r>
    <n v="31"/>
    <x v="0"/>
    <s v="Travel Frequently"/>
    <n v="1445"/>
    <x v="1"/>
    <n v="1"/>
    <n v="5"/>
    <s v="Life Sciences"/>
    <n v="1"/>
    <x v="1033"/>
    <n v="3"/>
    <x v="0"/>
    <n v="100"/>
    <n v="4"/>
    <n v="3"/>
    <x v="3"/>
    <n v="2"/>
    <s v="Single"/>
    <n v="7446"/>
    <n v="8931"/>
    <n v="1"/>
    <s v="Y"/>
    <s v="No"/>
    <n v="11"/>
    <n v="3"/>
    <n v="1"/>
    <n v="80"/>
    <n v="0"/>
    <n v="10"/>
    <n v="2"/>
    <n v="3"/>
    <x v="1"/>
    <n v="8"/>
    <n v="4"/>
    <n v="7"/>
    <x v="1"/>
    <x v="0"/>
    <s v="Resigned"/>
    <x v="0"/>
  </r>
  <r>
    <n v="45"/>
    <x v="1"/>
    <s v="Travel Rarely"/>
    <n v="1038"/>
    <x v="1"/>
    <n v="20"/>
    <n v="3"/>
    <s v="Medical"/>
    <n v="1"/>
    <x v="1034"/>
    <n v="2"/>
    <x v="1"/>
    <n v="95"/>
    <n v="1"/>
    <n v="3"/>
    <x v="4"/>
    <n v="1"/>
    <s v="Divorced"/>
    <n v="10851"/>
    <n v="19863"/>
    <n v="2"/>
    <s v="Y"/>
    <s v="Yes"/>
    <n v="18"/>
    <n v="3"/>
    <n v="2"/>
    <n v="80"/>
    <n v="1"/>
    <n v="24"/>
    <n v="2"/>
    <n v="3"/>
    <x v="5"/>
    <n v="7"/>
    <n v="0"/>
    <n v="7"/>
    <x v="0"/>
    <x v="2"/>
    <s v="Active"/>
    <x v="0"/>
  </r>
  <r>
    <n v="31"/>
    <x v="1"/>
    <s v="Travel Rarely"/>
    <n v="1398"/>
    <x v="2"/>
    <n v="8"/>
    <n v="2"/>
    <s v="Medical"/>
    <n v="1"/>
    <x v="1035"/>
    <n v="4"/>
    <x v="0"/>
    <n v="96"/>
    <n v="4"/>
    <n v="1"/>
    <x v="8"/>
    <n v="2"/>
    <s v="Single"/>
    <n v="2109"/>
    <n v="24609"/>
    <n v="9"/>
    <s v="Y"/>
    <s v="No"/>
    <n v="18"/>
    <n v="3"/>
    <n v="4"/>
    <n v="80"/>
    <n v="0"/>
    <n v="8"/>
    <n v="3"/>
    <n v="3"/>
    <x v="11"/>
    <n v="2"/>
    <n v="0"/>
    <n v="2"/>
    <x v="1"/>
    <x v="1"/>
    <s v="Active"/>
    <x v="5"/>
  </r>
  <r>
    <n v="31"/>
    <x v="0"/>
    <s v="Travel Frequently"/>
    <n v="523"/>
    <x v="1"/>
    <n v="2"/>
    <n v="3"/>
    <s v="Life Sciences"/>
    <n v="1"/>
    <x v="1036"/>
    <n v="2"/>
    <x v="1"/>
    <n v="94"/>
    <n v="3"/>
    <n v="1"/>
    <x v="2"/>
    <n v="4"/>
    <s v="Married"/>
    <n v="3722"/>
    <n v="21081"/>
    <n v="6"/>
    <s v="Y"/>
    <s v="Yes"/>
    <n v="13"/>
    <n v="3"/>
    <n v="3"/>
    <n v="80"/>
    <n v="1"/>
    <n v="7"/>
    <n v="2"/>
    <n v="1"/>
    <x v="4"/>
    <n v="2"/>
    <n v="2"/>
    <n v="2"/>
    <x v="1"/>
    <x v="1"/>
    <s v="Resigned"/>
    <x v="2"/>
  </r>
  <r>
    <n v="45"/>
    <x v="1"/>
    <s v="Travel Rarely"/>
    <n v="1448"/>
    <x v="1"/>
    <n v="29"/>
    <n v="3"/>
    <s v="Technical Degree"/>
    <n v="1"/>
    <x v="1037"/>
    <n v="2"/>
    <x v="1"/>
    <n v="55"/>
    <n v="3"/>
    <n v="3"/>
    <x v="3"/>
    <n v="4"/>
    <s v="Married"/>
    <n v="9380"/>
    <n v="14720"/>
    <n v="4"/>
    <s v="Y"/>
    <s v="Yes"/>
    <n v="18"/>
    <n v="3"/>
    <n v="4"/>
    <n v="80"/>
    <n v="2"/>
    <n v="10"/>
    <n v="4"/>
    <n v="4"/>
    <x v="11"/>
    <n v="1"/>
    <n v="1"/>
    <n v="2"/>
    <x v="0"/>
    <x v="0"/>
    <s v="Active"/>
    <x v="5"/>
  </r>
  <r>
    <n v="48"/>
    <x v="1"/>
    <s v="Travel Rarely"/>
    <n v="1221"/>
    <x v="0"/>
    <n v="7"/>
    <n v="3"/>
    <s v="Marketing"/>
    <n v="1"/>
    <x v="1038"/>
    <n v="3"/>
    <x v="1"/>
    <n v="96"/>
    <n v="3"/>
    <n v="2"/>
    <x v="0"/>
    <n v="1"/>
    <s v="Divorced"/>
    <n v="5486"/>
    <n v="24795"/>
    <n v="4"/>
    <s v="Y"/>
    <s v="No"/>
    <n v="11"/>
    <n v="3"/>
    <n v="1"/>
    <n v="80"/>
    <n v="3"/>
    <n v="15"/>
    <n v="3"/>
    <n v="3"/>
    <x v="4"/>
    <n v="2"/>
    <n v="2"/>
    <n v="2"/>
    <x v="0"/>
    <x v="0"/>
    <s v="Active"/>
    <x v="2"/>
  </r>
  <r>
    <n v="34"/>
    <x v="0"/>
    <s v="Travel Rarely"/>
    <n v="1107"/>
    <x v="2"/>
    <n v="9"/>
    <n v="4"/>
    <s v="Technical Degree"/>
    <n v="1"/>
    <x v="1039"/>
    <n v="1"/>
    <x v="0"/>
    <n v="52"/>
    <n v="3"/>
    <n v="1"/>
    <x v="8"/>
    <n v="3"/>
    <s v="Married"/>
    <n v="2742"/>
    <n v="3072"/>
    <n v="1"/>
    <s v="Y"/>
    <s v="No"/>
    <n v="15"/>
    <n v="3"/>
    <n v="4"/>
    <n v="80"/>
    <n v="0"/>
    <n v="2"/>
    <n v="0"/>
    <n v="3"/>
    <x v="4"/>
    <n v="2"/>
    <n v="2"/>
    <n v="2"/>
    <x v="1"/>
    <x v="1"/>
    <s v="Resigned"/>
    <x v="2"/>
  </r>
  <r>
    <n v="40"/>
    <x v="1"/>
    <s v="Non Travel"/>
    <n v="218"/>
    <x v="1"/>
    <n v="8"/>
    <n v="1"/>
    <s v="Medical"/>
    <n v="1"/>
    <x v="1040"/>
    <n v="4"/>
    <x v="1"/>
    <n v="55"/>
    <n v="2"/>
    <n v="3"/>
    <x v="7"/>
    <n v="2"/>
    <s v="Divorced"/>
    <n v="13757"/>
    <n v="25178"/>
    <n v="2"/>
    <s v="Y"/>
    <s v="No"/>
    <n v="11"/>
    <n v="3"/>
    <n v="3"/>
    <n v="80"/>
    <n v="1"/>
    <n v="16"/>
    <n v="5"/>
    <n v="3"/>
    <x v="7"/>
    <n v="8"/>
    <n v="4"/>
    <n v="8"/>
    <x v="1"/>
    <x v="2"/>
    <s v="Active"/>
    <x v="0"/>
  </r>
  <r>
    <n v="28"/>
    <x v="1"/>
    <s v="Travel Rarely"/>
    <n v="866"/>
    <x v="0"/>
    <n v="5"/>
    <n v="3"/>
    <s v="Medical"/>
    <n v="1"/>
    <x v="1041"/>
    <n v="4"/>
    <x v="1"/>
    <n v="84"/>
    <n v="3"/>
    <n v="2"/>
    <x v="0"/>
    <n v="1"/>
    <s v="Single"/>
    <n v="8463"/>
    <n v="23490"/>
    <n v="0"/>
    <s v="Y"/>
    <s v="No"/>
    <n v="18"/>
    <n v="3"/>
    <n v="4"/>
    <n v="80"/>
    <n v="0"/>
    <n v="6"/>
    <n v="4"/>
    <n v="3"/>
    <x v="8"/>
    <n v="4"/>
    <n v="1"/>
    <n v="3"/>
    <x v="2"/>
    <x v="0"/>
    <s v="Active"/>
    <x v="3"/>
  </r>
  <r>
    <n v="44"/>
    <x v="1"/>
    <s v="Non Travel"/>
    <n v="981"/>
    <x v="1"/>
    <n v="5"/>
    <n v="3"/>
    <s v="Life Sciences"/>
    <n v="1"/>
    <x v="1042"/>
    <n v="3"/>
    <x v="1"/>
    <n v="90"/>
    <n v="2"/>
    <n v="1"/>
    <x v="2"/>
    <n v="3"/>
    <s v="Single"/>
    <n v="3162"/>
    <n v="7973"/>
    <n v="3"/>
    <s v="Y"/>
    <s v="No"/>
    <n v="14"/>
    <n v="3"/>
    <n v="4"/>
    <n v="80"/>
    <n v="0"/>
    <n v="7"/>
    <n v="5"/>
    <n v="3"/>
    <x v="8"/>
    <n v="2"/>
    <n v="0"/>
    <n v="3"/>
    <x v="0"/>
    <x v="1"/>
    <s v="Active"/>
    <x v="3"/>
  </r>
  <r>
    <n v="53"/>
    <x v="1"/>
    <s v="Travel Rarely"/>
    <n v="447"/>
    <x v="1"/>
    <n v="2"/>
    <n v="3"/>
    <s v="Medical"/>
    <n v="1"/>
    <x v="1043"/>
    <n v="4"/>
    <x v="1"/>
    <n v="39"/>
    <n v="4"/>
    <n v="4"/>
    <x v="7"/>
    <n v="2"/>
    <s v="Single"/>
    <n v="16598"/>
    <n v="19764"/>
    <n v="4"/>
    <s v="Y"/>
    <s v="No"/>
    <n v="12"/>
    <n v="3"/>
    <n v="2"/>
    <n v="80"/>
    <n v="0"/>
    <n v="35"/>
    <n v="2"/>
    <n v="2"/>
    <x v="7"/>
    <n v="8"/>
    <n v="8"/>
    <n v="8"/>
    <x v="0"/>
    <x v="2"/>
    <s v="Active"/>
    <x v="0"/>
  </r>
  <r>
    <n v="49"/>
    <x v="1"/>
    <s v="Travel Rarely"/>
    <n v="1495"/>
    <x v="1"/>
    <n v="5"/>
    <n v="4"/>
    <s v="Technical Degree"/>
    <n v="1"/>
    <x v="1044"/>
    <n v="1"/>
    <x v="1"/>
    <n v="96"/>
    <n v="3"/>
    <n v="2"/>
    <x v="4"/>
    <n v="3"/>
    <s v="Married"/>
    <n v="6651"/>
    <n v="21534"/>
    <n v="2"/>
    <s v="Y"/>
    <s v="No"/>
    <n v="14"/>
    <n v="3"/>
    <n v="2"/>
    <n v="80"/>
    <n v="1"/>
    <n v="20"/>
    <n v="0"/>
    <n v="2"/>
    <x v="11"/>
    <n v="2"/>
    <n v="1"/>
    <n v="2"/>
    <x v="0"/>
    <x v="0"/>
    <s v="Active"/>
    <x v="5"/>
  </r>
  <r>
    <n v="40"/>
    <x v="1"/>
    <s v="Travel Rarely"/>
    <n v="896"/>
    <x v="1"/>
    <n v="2"/>
    <n v="3"/>
    <s v="Medical"/>
    <n v="1"/>
    <x v="1045"/>
    <n v="3"/>
    <x v="1"/>
    <n v="68"/>
    <n v="3"/>
    <n v="1"/>
    <x v="1"/>
    <n v="3"/>
    <s v="Divorced"/>
    <n v="2345"/>
    <n v="8045"/>
    <n v="2"/>
    <s v="Y"/>
    <s v="No"/>
    <n v="14"/>
    <n v="3"/>
    <n v="3"/>
    <n v="80"/>
    <n v="1"/>
    <n v="8"/>
    <n v="3"/>
    <n v="4"/>
    <x v="11"/>
    <n v="1"/>
    <n v="1"/>
    <n v="2"/>
    <x v="1"/>
    <x v="1"/>
    <s v="Active"/>
    <x v="5"/>
  </r>
  <r>
    <n v="44"/>
    <x v="1"/>
    <s v="Travel Rarely"/>
    <n v="1467"/>
    <x v="1"/>
    <n v="20"/>
    <n v="3"/>
    <s v="Life Sciences"/>
    <n v="1"/>
    <x v="1046"/>
    <n v="4"/>
    <x v="1"/>
    <n v="49"/>
    <n v="3"/>
    <n v="1"/>
    <x v="1"/>
    <n v="2"/>
    <s v="Single"/>
    <n v="3420"/>
    <n v="21158"/>
    <n v="1"/>
    <s v="Y"/>
    <s v="No"/>
    <n v="13"/>
    <n v="3"/>
    <n v="3"/>
    <n v="80"/>
    <n v="0"/>
    <n v="6"/>
    <n v="3"/>
    <n v="2"/>
    <x v="8"/>
    <n v="2"/>
    <n v="1"/>
    <n v="3"/>
    <x v="0"/>
    <x v="1"/>
    <s v="Active"/>
    <x v="3"/>
  </r>
  <r>
    <n v="33"/>
    <x v="1"/>
    <s v="Travel Frequently"/>
    <n v="430"/>
    <x v="0"/>
    <n v="7"/>
    <n v="3"/>
    <s v="Medical"/>
    <n v="1"/>
    <x v="1047"/>
    <n v="4"/>
    <x v="1"/>
    <n v="54"/>
    <n v="3"/>
    <n v="2"/>
    <x v="0"/>
    <n v="1"/>
    <s v="Married"/>
    <n v="4373"/>
    <n v="17456"/>
    <n v="0"/>
    <s v="Y"/>
    <s v="No"/>
    <n v="14"/>
    <n v="3"/>
    <n v="1"/>
    <n v="80"/>
    <n v="2"/>
    <n v="5"/>
    <n v="2"/>
    <n v="3"/>
    <x v="9"/>
    <n v="3"/>
    <n v="0"/>
    <n v="3"/>
    <x v="1"/>
    <x v="1"/>
    <s v="Active"/>
    <x v="4"/>
  </r>
  <r>
    <n v="34"/>
    <x v="1"/>
    <s v="Travel Rarely"/>
    <n v="1326"/>
    <x v="0"/>
    <n v="3"/>
    <n v="3"/>
    <s v="Other"/>
    <n v="1"/>
    <x v="1048"/>
    <n v="4"/>
    <x v="1"/>
    <n v="81"/>
    <n v="1"/>
    <n v="2"/>
    <x v="0"/>
    <n v="1"/>
    <s v="Single"/>
    <n v="4759"/>
    <n v="15891"/>
    <n v="3"/>
    <s v="Y"/>
    <s v="No"/>
    <n v="18"/>
    <n v="3"/>
    <n v="4"/>
    <n v="80"/>
    <n v="0"/>
    <n v="15"/>
    <n v="2"/>
    <n v="3"/>
    <x v="20"/>
    <n v="9"/>
    <n v="3"/>
    <n v="12"/>
    <x v="1"/>
    <x v="1"/>
    <s v="Active"/>
    <x v="0"/>
  </r>
  <r>
    <n v="30"/>
    <x v="1"/>
    <s v="Travel Rarely"/>
    <n v="1358"/>
    <x v="0"/>
    <n v="16"/>
    <n v="1"/>
    <s v="Life Sciences"/>
    <n v="1"/>
    <x v="1049"/>
    <n v="4"/>
    <x v="1"/>
    <n v="96"/>
    <n v="3"/>
    <n v="2"/>
    <x v="0"/>
    <n v="3"/>
    <s v="Married"/>
    <n v="5301"/>
    <n v="2939"/>
    <n v="8"/>
    <s v="Y"/>
    <s v="No"/>
    <n v="15"/>
    <n v="3"/>
    <n v="3"/>
    <n v="80"/>
    <n v="2"/>
    <n v="4"/>
    <n v="2"/>
    <n v="2"/>
    <x v="4"/>
    <n v="1"/>
    <n v="2"/>
    <n v="2"/>
    <x v="1"/>
    <x v="0"/>
    <s v="Active"/>
    <x v="2"/>
  </r>
  <r>
    <n v="42"/>
    <x v="1"/>
    <s v="Travel Frequently"/>
    <n v="748"/>
    <x v="1"/>
    <n v="9"/>
    <n v="2"/>
    <s v="Medical"/>
    <n v="1"/>
    <x v="1050"/>
    <n v="1"/>
    <x v="0"/>
    <n v="74"/>
    <n v="3"/>
    <n v="1"/>
    <x v="2"/>
    <n v="4"/>
    <s v="Single"/>
    <n v="3673"/>
    <n v="16458"/>
    <n v="1"/>
    <s v="Y"/>
    <s v="No"/>
    <n v="13"/>
    <n v="3"/>
    <n v="3"/>
    <n v="80"/>
    <n v="0"/>
    <n v="12"/>
    <n v="3"/>
    <n v="3"/>
    <x v="12"/>
    <n v="9"/>
    <n v="5"/>
    <n v="8"/>
    <x v="0"/>
    <x v="1"/>
    <s v="Active"/>
    <x v="0"/>
  </r>
  <r>
    <n v="44"/>
    <x v="1"/>
    <s v="Travel Frequently"/>
    <n v="383"/>
    <x v="0"/>
    <n v="1"/>
    <n v="5"/>
    <s v="Marketing"/>
    <n v="1"/>
    <x v="1051"/>
    <n v="1"/>
    <x v="0"/>
    <n v="79"/>
    <n v="3"/>
    <n v="2"/>
    <x v="0"/>
    <n v="3"/>
    <s v="Married"/>
    <n v="4768"/>
    <n v="9282"/>
    <n v="7"/>
    <s v="Y"/>
    <s v="No"/>
    <n v="12"/>
    <n v="3"/>
    <n v="3"/>
    <n v="80"/>
    <n v="1"/>
    <n v="11"/>
    <n v="4"/>
    <n v="2"/>
    <x v="6"/>
    <n v="0"/>
    <n v="0"/>
    <n v="0"/>
    <x v="0"/>
    <x v="1"/>
    <s v="Active"/>
    <x v="1"/>
  </r>
  <r>
    <n v="30"/>
    <x v="1"/>
    <s v="Non Travel"/>
    <n v="990"/>
    <x v="1"/>
    <n v="7"/>
    <n v="3"/>
    <s v="Technical Degree"/>
    <n v="1"/>
    <x v="1052"/>
    <n v="3"/>
    <x v="1"/>
    <n v="64"/>
    <n v="3"/>
    <n v="1"/>
    <x v="1"/>
    <n v="3"/>
    <s v="Divorced"/>
    <n v="1274"/>
    <n v="7152"/>
    <n v="1"/>
    <s v="Y"/>
    <s v="No"/>
    <n v="13"/>
    <n v="3"/>
    <n v="2"/>
    <n v="80"/>
    <n v="2"/>
    <n v="1"/>
    <n v="2"/>
    <n v="2"/>
    <x v="6"/>
    <n v="0"/>
    <n v="0"/>
    <n v="0"/>
    <x v="1"/>
    <x v="1"/>
    <s v="Active"/>
    <x v="1"/>
  </r>
  <r>
    <n v="57"/>
    <x v="1"/>
    <s v="Travel Rarely"/>
    <n v="405"/>
    <x v="1"/>
    <n v="1"/>
    <n v="2"/>
    <s v="Life Sciences"/>
    <n v="1"/>
    <x v="1053"/>
    <n v="2"/>
    <x v="1"/>
    <n v="93"/>
    <n v="4"/>
    <n v="2"/>
    <x v="1"/>
    <n v="3"/>
    <s v="Married"/>
    <n v="4900"/>
    <n v="2721"/>
    <n v="0"/>
    <s v="Y"/>
    <s v="No"/>
    <n v="24"/>
    <n v="4"/>
    <n v="1"/>
    <n v="80"/>
    <n v="1"/>
    <n v="13"/>
    <n v="2"/>
    <n v="2"/>
    <x v="12"/>
    <n v="9"/>
    <n v="2"/>
    <n v="8"/>
    <x v="0"/>
    <x v="1"/>
    <s v="Active"/>
    <x v="0"/>
  </r>
  <r>
    <n v="49"/>
    <x v="1"/>
    <s v="Travel Rarely"/>
    <n v="1490"/>
    <x v="1"/>
    <n v="7"/>
    <n v="4"/>
    <s v="Life Sciences"/>
    <n v="1"/>
    <x v="1054"/>
    <n v="3"/>
    <x v="1"/>
    <n v="35"/>
    <n v="3"/>
    <n v="3"/>
    <x v="4"/>
    <n v="2"/>
    <s v="Divorced"/>
    <n v="10466"/>
    <n v="20948"/>
    <n v="3"/>
    <s v="Y"/>
    <s v="No"/>
    <n v="14"/>
    <n v="3"/>
    <n v="2"/>
    <n v="80"/>
    <n v="2"/>
    <n v="29"/>
    <n v="3"/>
    <n v="3"/>
    <x v="3"/>
    <n v="7"/>
    <n v="0"/>
    <n v="7"/>
    <x v="0"/>
    <x v="2"/>
    <s v="Active"/>
    <x v="0"/>
  </r>
  <r>
    <n v="34"/>
    <x v="1"/>
    <s v="Travel Frequently"/>
    <n v="829"/>
    <x v="1"/>
    <n v="15"/>
    <n v="3"/>
    <s v="Medical"/>
    <n v="1"/>
    <x v="1055"/>
    <n v="2"/>
    <x v="1"/>
    <n v="71"/>
    <n v="3"/>
    <n v="4"/>
    <x v="7"/>
    <n v="1"/>
    <s v="Divorced"/>
    <n v="17007"/>
    <n v="11929"/>
    <n v="7"/>
    <s v="Y"/>
    <s v="No"/>
    <n v="14"/>
    <n v="3"/>
    <n v="4"/>
    <n v="80"/>
    <n v="2"/>
    <n v="16"/>
    <n v="3"/>
    <n v="2"/>
    <x v="13"/>
    <n v="8"/>
    <n v="6"/>
    <n v="9"/>
    <x v="1"/>
    <x v="2"/>
    <s v="Active"/>
    <x v="0"/>
  </r>
  <r>
    <n v="28"/>
    <x v="0"/>
    <s v="Travel Frequently"/>
    <n v="1496"/>
    <x v="0"/>
    <n v="1"/>
    <n v="3"/>
    <s v="Technical Degree"/>
    <n v="1"/>
    <x v="1056"/>
    <n v="1"/>
    <x v="1"/>
    <n v="92"/>
    <n v="3"/>
    <n v="1"/>
    <x v="6"/>
    <n v="3"/>
    <s v="Married"/>
    <n v="2909"/>
    <n v="15747"/>
    <n v="3"/>
    <s v="Y"/>
    <s v="No"/>
    <n v="15"/>
    <n v="3"/>
    <n v="4"/>
    <n v="80"/>
    <n v="1"/>
    <n v="5"/>
    <n v="3"/>
    <n v="4"/>
    <x v="11"/>
    <n v="2"/>
    <n v="1"/>
    <n v="2"/>
    <x v="2"/>
    <x v="1"/>
    <s v="Resigned"/>
    <x v="5"/>
  </r>
  <r>
    <n v="29"/>
    <x v="0"/>
    <s v="Travel Frequently"/>
    <n v="115"/>
    <x v="0"/>
    <n v="13"/>
    <n v="3"/>
    <s v="Technical Degree"/>
    <n v="1"/>
    <x v="1057"/>
    <n v="1"/>
    <x v="0"/>
    <n v="51"/>
    <n v="3"/>
    <n v="2"/>
    <x v="0"/>
    <n v="2"/>
    <s v="Single"/>
    <n v="5765"/>
    <n v="17485"/>
    <n v="5"/>
    <s v="Y"/>
    <s v="No"/>
    <n v="11"/>
    <n v="3"/>
    <n v="1"/>
    <n v="80"/>
    <n v="0"/>
    <n v="7"/>
    <n v="4"/>
    <n v="1"/>
    <x v="8"/>
    <n v="3"/>
    <n v="0"/>
    <n v="0"/>
    <x v="2"/>
    <x v="0"/>
    <s v="Resigned"/>
    <x v="3"/>
  </r>
  <r>
    <n v="34"/>
    <x v="0"/>
    <s v="Travel Rarely"/>
    <n v="790"/>
    <x v="0"/>
    <n v="24"/>
    <n v="4"/>
    <s v="Medical"/>
    <n v="1"/>
    <x v="1058"/>
    <n v="1"/>
    <x v="0"/>
    <n v="40"/>
    <n v="2"/>
    <n v="2"/>
    <x v="0"/>
    <n v="2"/>
    <s v="Single"/>
    <n v="4599"/>
    <n v="7815"/>
    <n v="0"/>
    <s v="Y"/>
    <s v="Yes"/>
    <n v="23"/>
    <n v="4"/>
    <n v="3"/>
    <n v="80"/>
    <n v="0"/>
    <n v="16"/>
    <n v="2"/>
    <n v="4"/>
    <x v="15"/>
    <n v="9"/>
    <n v="10"/>
    <n v="10"/>
    <x v="1"/>
    <x v="1"/>
    <s v="Resigned"/>
    <x v="0"/>
  </r>
  <r>
    <n v="35"/>
    <x v="1"/>
    <s v="Travel Rarely"/>
    <n v="660"/>
    <x v="0"/>
    <n v="7"/>
    <n v="1"/>
    <s v="Life Sciences"/>
    <n v="1"/>
    <x v="1059"/>
    <n v="4"/>
    <x v="1"/>
    <n v="76"/>
    <n v="3"/>
    <n v="1"/>
    <x v="6"/>
    <n v="3"/>
    <s v="Married"/>
    <n v="2404"/>
    <n v="16192"/>
    <n v="1"/>
    <s v="Y"/>
    <s v="No"/>
    <n v="13"/>
    <n v="3"/>
    <n v="1"/>
    <n v="80"/>
    <n v="1"/>
    <n v="1"/>
    <n v="3"/>
    <n v="3"/>
    <x v="6"/>
    <n v="0"/>
    <n v="0"/>
    <n v="0"/>
    <x v="1"/>
    <x v="1"/>
    <s v="Active"/>
    <x v="1"/>
  </r>
  <r>
    <n v="24"/>
    <x v="0"/>
    <s v="Travel Frequently"/>
    <n v="381"/>
    <x v="1"/>
    <n v="9"/>
    <n v="3"/>
    <s v="Medical"/>
    <n v="1"/>
    <x v="1060"/>
    <n v="2"/>
    <x v="1"/>
    <n v="89"/>
    <n v="3"/>
    <n v="1"/>
    <x v="2"/>
    <n v="1"/>
    <s v="Single"/>
    <n v="3172"/>
    <n v="16998"/>
    <n v="2"/>
    <s v="Y"/>
    <s v="Yes"/>
    <n v="11"/>
    <n v="3"/>
    <n v="3"/>
    <n v="80"/>
    <n v="0"/>
    <n v="4"/>
    <n v="2"/>
    <n v="2"/>
    <x v="2"/>
    <n v="0"/>
    <n v="0"/>
    <n v="0"/>
    <x v="2"/>
    <x v="1"/>
    <s v="Resigned"/>
    <x v="1"/>
  </r>
  <r>
    <n v="24"/>
    <x v="1"/>
    <s v="Non Travel"/>
    <n v="830"/>
    <x v="0"/>
    <n v="13"/>
    <n v="2"/>
    <s v="Life Sciences"/>
    <n v="1"/>
    <x v="1061"/>
    <n v="4"/>
    <x v="0"/>
    <n v="78"/>
    <n v="3"/>
    <n v="1"/>
    <x v="6"/>
    <n v="2"/>
    <s v="Married"/>
    <n v="2033"/>
    <n v="7103"/>
    <n v="1"/>
    <s v="Y"/>
    <s v="No"/>
    <n v="13"/>
    <n v="3"/>
    <n v="3"/>
    <n v="80"/>
    <n v="1"/>
    <n v="1"/>
    <n v="2"/>
    <n v="3"/>
    <x v="6"/>
    <n v="0"/>
    <n v="0"/>
    <n v="0"/>
    <x v="2"/>
    <x v="1"/>
    <s v="Active"/>
    <x v="1"/>
  </r>
  <r>
    <n v="44"/>
    <x v="1"/>
    <s v="Travel Frequently"/>
    <n v="1193"/>
    <x v="1"/>
    <n v="2"/>
    <n v="1"/>
    <s v="Medical"/>
    <n v="1"/>
    <x v="1062"/>
    <n v="2"/>
    <x v="1"/>
    <n v="86"/>
    <n v="3"/>
    <n v="3"/>
    <x v="3"/>
    <n v="3"/>
    <s v="Single"/>
    <n v="10209"/>
    <n v="19719"/>
    <n v="5"/>
    <s v="Y"/>
    <s v="Yes"/>
    <n v="18"/>
    <n v="3"/>
    <n v="2"/>
    <n v="80"/>
    <n v="0"/>
    <n v="16"/>
    <n v="2"/>
    <n v="2"/>
    <x v="4"/>
    <n v="2"/>
    <n v="2"/>
    <n v="2"/>
    <x v="0"/>
    <x v="2"/>
    <s v="Active"/>
    <x v="2"/>
  </r>
  <r>
    <n v="29"/>
    <x v="1"/>
    <s v="Travel Rarely"/>
    <n v="1246"/>
    <x v="0"/>
    <n v="19"/>
    <n v="3"/>
    <s v="Life Sciences"/>
    <n v="1"/>
    <x v="1063"/>
    <n v="3"/>
    <x v="1"/>
    <n v="77"/>
    <n v="2"/>
    <n v="2"/>
    <x v="0"/>
    <n v="3"/>
    <s v="Divorced"/>
    <n v="8620"/>
    <n v="23757"/>
    <n v="1"/>
    <s v="Y"/>
    <s v="No"/>
    <n v="14"/>
    <n v="3"/>
    <n v="3"/>
    <n v="80"/>
    <n v="2"/>
    <n v="10"/>
    <n v="3"/>
    <n v="3"/>
    <x v="1"/>
    <n v="7"/>
    <n v="0"/>
    <n v="4"/>
    <x v="2"/>
    <x v="0"/>
    <s v="Active"/>
    <x v="0"/>
  </r>
  <r>
    <n v="30"/>
    <x v="1"/>
    <s v="Travel Rarely"/>
    <n v="330"/>
    <x v="2"/>
    <n v="1"/>
    <n v="3"/>
    <s v="Life Sciences"/>
    <n v="1"/>
    <x v="1064"/>
    <n v="3"/>
    <x v="1"/>
    <n v="46"/>
    <n v="3"/>
    <n v="1"/>
    <x v="8"/>
    <n v="3"/>
    <s v="Divorced"/>
    <n v="2064"/>
    <n v="15428"/>
    <n v="0"/>
    <s v="Y"/>
    <s v="No"/>
    <n v="21"/>
    <n v="4"/>
    <n v="1"/>
    <n v="80"/>
    <n v="1"/>
    <n v="6"/>
    <n v="3"/>
    <n v="4"/>
    <x v="8"/>
    <n v="3"/>
    <n v="1"/>
    <n v="3"/>
    <x v="1"/>
    <x v="1"/>
    <s v="Active"/>
    <x v="3"/>
  </r>
  <r>
    <n v="55"/>
    <x v="1"/>
    <s v="Travel Rarely"/>
    <n v="1229"/>
    <x v="1"/>
    <n v="4"/>
    <n v="4"/>
    <s v="Life Sciences"/>
    <n v="1"/>
    <x v="1065"/>
    <n v="4"/>
    <x v="1"/>
    <n v="30"/>
    <n v="3"/>
    <n v="2"/>
    <x v="4"/>
    <n v="3"/>
    <s v="Married"/>
    <n v="4035"/>
    <n v="16143"/>
    <n v="0"/>
    <s v="Y"/>
    <s v="Yes"/>
    <n v="16"/>
    <n v="3"/>
    <n v="2"/>
    <n v="80"/>
    <n v="0"/>
    <n v="4"/>
    <n v="2"/>
    <n v="3"/>
    <x v="11"/>
    <n v="2"/>
    <n v="1"/>
    <n v="2"/>
    <x v="0"/>
    <x v="1"/>
    <s v="Active"/>
    <x v="5"/>
  </r>
  <r>
    <n v="33"/>
    <x v="1"/>
    <s v="Travel Rarely"/>
    <n v="1099"/>
    <x v="1"/>
    <n v="4"/>
    <n v="4"/>
    <s v="Medical"/>
    <n v="1"/>
    <x v="1066"/>
    <n v="1"/>
    <x v="0"/>
    <n v="82"/>
    <n v="2"/>
    <n v="1"/>
    <x v="2"/>
    <n v="2"/>
    <s v="Married"/>
    <n v="3838"/>
    <n v="8192"/>
    <n v="8"/>
    <s v="Y"/>
    <s v="No"/>
    <n v="11"/>
    <n v="3"/>
    <n v="4"/>
    <n v="80"/>
    <n v="0"/>
    <n v="8"/>
    <n v="5"/>
    <n v="3"/>
    <x v="8"/>
    <n v="4"/>
    <n v="0"/>
    <n v="2"/>
    <x v="1"/>
    <x v="1"/>
    <s v="Active"/>
    <x v="3"/>
  </r>
  <r>
    <n v="47"/>
    <x v="1"/>
    <s v="Travel Rarely"/>
    <n v="571"/>
    <x v="0"/>
    <n v="14"/>
    <n v="3"/>
    <s v="Medical"/>
    <n v="1"/>
    <x v="1067"/>
    <n v="3"/>
    <x v="0"/>
    <n v="78"/>
    <n v="3"/>
    <n v="2"/>
    <x v="0"/>
    <n v="3"/>
    <s v="Married"/>
    <n v="4591"/>
    <n v="24200"/>
    <n v="3"/>
    <s v="Y"/>
    <s v="Yes"/>
    <n v="17"/>
    <n v="3"/>
    <n v="3"/>
    <n v="80"/>
    <n v="1"/>
    <n v="11"/>
    <n v="4"/>
    <n v="2"/>
    <x v="8"/>
    <n v="4"/>
    <n v="1"/>
    <n v="2"/>
    <x v="0"/>
    <x v="1"/>
    <s v="Active"/>
    <x v="3"/>
  </r>
  <r>
    <n v="28"/>
    <x v="0"/>
    <s v="Travel Frequently"/>
    <n v="289"/>
    <x v="1"/>
    <n v="2"/>
    <n v="2"/>
    <s v="Medical"/>
    <n v="1"/>
    <x v="1068"/>
    <n v="3"/>
    <x v="1"/>
    <n v="38"/>
    <n v="2"/>
    <n v="1"/>
    <x v="2"/>
    <n v="1"/>
    <s v="Single"/>
    <n v="2561"/>
    <n v="5355"/>
    <n v="7"/>
    <s v="Y"/>
    <s v="No"/>
    <n v="11"/>
    <n v="3"/>
    <n v="3"/>
    <n v="80"/>
    <n v="0"/>
    <n v="8"/>
    <n v="2"/>
    <n v="2"/>
    <x v="2"/>
    <n v="0"/>
    <n v="0"/>
    <n v="0"/>
    <x v="2"/>
    <x v="1"/>
    <s v="Resigned"/>
    <x v="1"/>
  </r>
  <r>
    <n v="28"/>
    <x v="1"/>
    <s v="Travel Rarely"/>
    <n v="1423"/>
    <x v="1"/>
    <n v="1"/>
    <n v="3"/>
    <s v="Life Sciences"/>
    <n v="1"/>
    <x v="1069"/>
    <n v="1"/>
    <x v="1"/>
    <n v="72"/>
    <n v="2"/>
    <n v="1"/>
    <x v="1"/>
    <n v="3"/>
    <s v="Divorced"/>
    <n v="1563"/>
    <n v="12530"/>
    <n v="1"/>
    <s v="Y"/>
    <s v="No"/>
    <n v="14"/>
    <n v="3"/>
    <n v="4"/>
    <n v="80"/>
    <n v="1"/>
    <n v="1"/>
    <n v="2"/>
    <n v="1"/>
    <x v="6"/>
    <n v="0"/>
    <n v="0"/>
    <n v="0"/>
    <x v="2"/>
    <x v="1"/>
    <s v="Active"/>
    <x v="1"/>
  </r>
  <r>
    <n v="28"/>
    <x v="1"/>
    <s v="Travel Frequently"/>
    <n v="467"/>
    <x v="0"/>
    <n v="7"/>
    <n v="3"/>
    <s v="Life Sciences"/>
    <n v="1"/>
    <x v="1070"/>
    <n v="3"/>
    <x v="1"/>
    <n v="55"/>
    <n v="3"/>
    <n v="2"/>
    <x v="0"/>
    <n v="1"/>
    <s v="Single"/>
    <n v="4898"/>
    <n v="11827"/>
    <n v="0"/>
    <s v="Y"/>
    <s v="No"/>
    <n v="14"/>
    <n v="3"/>
    <n v="4"/>
    <n v="80"/>
    <n v="0"/>
    <n v="5"/>
    <n v="5"/>
    <n v="3"/>
    <x v="9"/>
    <n v="2"/>
    <n v="1"/>
    <n v="3"/>
    <x v="2"/>
    <x v="1"/>
    <s v="Active"/>
    <x v="4"/>
  </r>
  <r>
    <n v="49"/>
    <x v="1"/>
    <s v="Travel Rarely"/>
    <n v="271"/>
    <x v="1"/>
    <n v="3"/>
    <n v="2"/>
    <s v="Medical"/>
    <n v="1"/>
    <x v="1071"/>
    <n v="3"/>
    <x v="0"/>
    <n v="43"/>
    <n v="2"/>
    <n v="2"/>
    <x v="2"/>
    <n v="1"/>
    <s v="Married"/>
    <n v="4789"/>
    <n v="23070"/>
    <n v="4"/>
    <s v="Y"/>
    <s v="No"/>
    <n v="25"/>
    <n v="4"/>
    <n v="1"/>
    <n v="80"/>
    <n v="1"/>
    <n v="10"/>
    <n v="3"/>
    <n v="3"/>
    <x v="11"/>
    <n v="2"/>
    <n v="1"/>
    <n v="2"/>
    <x v="0"/>
    <x v="1"/>
    <s v="Active"/>
    <x v="5"/>
  </r>
  <r>
    <n v="29"/>
    <x v="1"/>
    <s v="Travel Frequently"/>
    <n v="410"/>
    <x v="1"/>
    <n v="2"/>
    <n v="1"/>
    <s v="Life Sciences"/>
    <n v="1"/>
    <x v="1072"/>
    <n v="4"/>
    <x v="0"/>
    <n v="97"/>
    <n v="3"/>
    <n v="1"/>
    <x v="2"/>
    <n v="2"/>
    <s v="Married"/>
    <n v="3180"/>
    <n v="4668"/>
    <n v="0"/>
    <s v="Y"/>
    <s v="No"/>
    <n v="13"/>
    <n v="3"/>
    <n v="3"/>
    <n v="80"/>
    <n v="3"/>
    <n v="4"/>
    <n v="3"/>
    <n v="3"/>
    <x v="11"/>
    <n v="2"/>
    <n v="0"/>
    <n v="2"/>
    <x v="2"/>
    <x v="1"/>
    <s v="Active"/>
    <x v="5"/>
  </r>
  <r>
    <n v="28"/>
    <x v="1"/>
    <s v="Travel Rarely"/>
    <n v="1083"/>
    <x v="1"/>
    <n v="29"/>
    <n v="1"/>
    <s v="Life Sciences"/>
    <n v="1"/>
    <x v="1073"/>
    <n v="3"/>
    <x v="1"/>
    <n v="96"/>
    <n v="1"/>
    <n v="2"/>
    <x v="3"/>
    <n v="2"/>
    <s v="Married"/>
    <n v="6549"/>
    <n v="3173"/>
    <n v="1"/>
    <s v="Y"/>
    <s v="No"/>
    <n v="14"/>
    <n v="3"/>
    <n v="2"/>
    <n v="80"/>
    <n v="2"/>
    <n v="8"/>
    <n v="2"/>
    <n v="2"/>
    <x v="3"/>
    <n v="6"/>
    <n v="1"/>
    <n v="7"/>
    <x v="2"/>
    <x v="0"/>
    <s v="Active"/>
    <x v="0"/>
  </r>
  <r>
    <n v="33"/>
    <x v="1"/>
    <s v="Travel Rarely"/>
    <n v="516"/>
    <x v="1"/>
    <n v="8"/>
    <n v="5"/>
    <s v="Life Sciences"/>
    <n v="1"/>
    <x v="1074"/>
    <n v="4"/>
    <x v="1"/>
    <n v="69"/>
    <n v="3"/>
    <n v="2"/>
    <x v="4"/>
    <n v="3"/>
    <s v="Single"/>
    <n v="6388"/>
    <n v="22049"/>
    <n v="2"/>
    <s v="Y"/>
    <s v="Yes"/>
    <n v="17"/>
    <n v="3"/>
    <n v="1"/>
    <n v="80"/>
    <n v="0"/>
    <n v="14"/>
    <n v="6"/>
    <n v="3"/>
    <x v="2"/>
    <n v="0"/>
    <n v="0"/>
    <n v="0"/>
    <x v="1"/>
    <x v="0"/>
    <s v="Active"/>
    <x v="1"/>
  </r>
  <r>
    <n v="32"/>
    <x v="1"/>
    <s v="Travel Rarely"/>
    <n v="495"/>
    <x v="1"/>
    <n v="10"/>
    <n v="3"/>
    <s v="Medical"/>
    <n v="1"/>
    <x v="1075"/>
    <n v="3"/>
    <x v="1"/>
    <n v="64"/>
    <n v="3"/>
    <n v="3"/>
    <x v="5"/>
    <n v="4"/>
    <s v="Single"/>
    <n v="11244"/>
    <n v="21072"/>
    <n v="2"/>
    <s v="Y"/>
    <s v="No"/>
    <n v="25"/>
    <n v="4"/>
    <n v="2"/>
    <n v="80"/>
    <n v="0"/>
    <n v="10"/>
    <n v="5"/>
    <n v="4"/>
    <x v="8"/>
    <n v="2"/>
    <n v="0"/>
    <n v="0"/>
    <x v="1"/>
    <x v="2"/>
    <s v="Active"/>
    <x v="3"/>
  </r>
  <r>
    <n v="54"/>
    <x v="1"/>
    <s v="Travel Frequently"/>
    <n v="1050"/>
    <x v="1"/>
    <n v="11"/>
    <n v="4"/>
    <s v="Medical"/>
    <n v="1"/>
    <x v="1076"/>
    <n v="2"/>
    <x v="0"/>
    <n v="87"/>
    <n v="3"/>
    <n v="4"/>
    <x v="5"/>
    <n v="4"/>
    <s v="Divorced"/>
    <n v="16032"/>
    <n v="24456"/>
    <n v="3"/>
    <s v="Y"/>
    <s v="No"/>
    <n v="20"/>
    <n v="4"/>
    <n v="1"/>
    <n v="80"/>
    <n v="1"/>
    <n v="26"/>
    <n v="2"/>
    <n v="3"/>
    <x v="13"/>
    <n v="9"/>
    <n v="1"/>
    <n v="12"/>
    <x v="0"/>
    <x v="2"/>
    <s v="Active"/>
    <x v="0"/>
  </r>
  <r>
    <n v="29"/>
    <x v="0"/>
    <s v="Travel Rarely"/>
    <n v="224"/>
    <x v="1"/>
    <n v="1"/>
    <n v="4"/>
    <s v="Technical Degree"/>
    <n v="1"/>
    <x v="1077"/>
    <n v="1"/>
    <x v="1"/>
    <n v="100"/>
    <n v="2"/>
    <n v="1"/>
    <x v="1"/>
    <n v="1"/>
    <s v="Single"/>
    <n v="2362"/>
    <n v="7568"/>
    <n v="6"/>
    <s v="Y"/>
    <s v="No"/>
    <n v="13"/>
    <n v="3"/>
    <n v="3"/>
    <n v="80"/>
    <n v="0"/>
    <n v="11"/>
    <n v="2"/>
    <n v="1"/>
    <x v="7"/>
    <n v="7"/>
    <n v="0"/>
    <n v="7"/>
    <x v="2"/>
    <x v="1"/>
    <s v="Resigned"/>
    <x v="0"/>
  </r>
  <r>
    <n v="44"/>
    <x v="1"/>
    <s v="Travel Rarely"/>
    <n v="136"/>
    <x v="1"/>
    <n v="28"/>
    <n v="3"/>
    <s v="Life Sciences"/>
    <n v="1"/>
    <x v="1078"/>
    <n v="4"/>
    <x v="1"/>
    <n v="32"/>
    <n v="3"/>
    <n v="4"/>
    <x v="7"/>
    <n v="1"/>
    <s v="Married"/>
    <n v="16328"/>
    <n v="22074"/>
    <n v="3"/>
    <s v="Y"/>
    <s v="No"/>
    <n v="13"/>
    <n v="3"/>
    <n v="3"/>
    <n v="80"/>
    <n v="1"/>
    <n v="24"/>
    <n v="1"/>
    <n v="4"/>
    <x v="23"/>
    <n v="6"/>
    <n v="14"/>
    <n v="17"/>
    <x v="0"/>
    <x v="2"/>
    <s v="Active"/>
    <x v="0"/>
  </r>
  <r>
    <n v="39"/>
    <x v="1"/>
    <s v="Travel Rarely"/>
    <n v="1089"/>
    <x v="1"/>
    <n v="6"/>
    <n v="3"/>
    <s v="Life Sciences"/>
    <n v="1"/>
    <x v="1079"/>
    <n v="2"/>
    <x v="0"/>
    <n v="32"/>
    <n v="3"/>
    <n v="3"/>
    <x v="3"/>
    <n v="2"/>
    <s v="Single"/>
    <n v="8376"/>
    <n v="9150"/>
    <n v="4"/>
    <s v="Y"/>
    <s v="No"/>
    <n v="18"/>
    <n v="3"/>
    <n v="4"/>
    <n v="80"/>
    <n v="0"/>
    <n v="9"/>
    <n v="3"/>
    <n v="3"/>
    <x v="4"/>
    <n v="0"/>
    <n v="2"/>
    <n v="2"/>
    <x v="1"/>
    <x v="0"/>
    <s v="Active"/>
    <x v="2"/>
  </r>
  <r>
    <n v="46"/>
    <x v="1"/>
    <s v="Travel Rarely"/>
    <n v="228"/>
    <x v="0"/>
    <n v="3"/>
    <n v="3"/>
    <s v="Life Sciences"/>
    <n v="1"/>
    <x v="1080"/>
    <n v="3"/>
    <x v="0"/>
    <n v="51"/>
    <n v="3"/>
    <n v="4"/>
    <x v="5"/>
    <n v="2"/>
    <s v="Married"/>
    <n v="16606"/>
    <n v="11380"/>
    <n v="8"/>
    <s v="Y"/>
    <s v="No"/>
    <n v="12"/>
    <n v="3"/>
    <n v="4"/>
    <n v="80"/>
    <n v="1"/>
    <n v="23"/>
    <n v="2"/>
    <n v="4"/>
    <x v="20"/>
    <n v="12"/>
    <n v="5"/>
    <n v="1"/>
    <x v="0"/>
    <x v="2"/>
    <s v="Active"/>
    <x v="0"/>
  </r>
  <r>
    <n v="35"/>
    <x v="1"/>
    <s v="Travel Rarely"/>
    <n v="1029"/>
    <x v="1"/>
    <n v="16"/>
    <n v="3"/>
    <s v="Life Sciences"/>
    <n v="1"/>
    <x v="1081"/>
    <n v="4"/>
    <x v="0"/>
    <n v="91"/>
    <n v="2"/>
    <n v="3"/>
    <x v="4"/>
    <n v="2"/>
    <s v="Single"/>
    <n v="8606"/>
    <n v="21195"/>
    <n v="1"/>
    <s v="Y"/>
    <s v="No"/>
    <n v="19"/>
    <n v="3"/>
    <n v="4"/>
    <n v="80"/>
    <n v="0"/>
    <n v="11"/>
    <n v="3"/>
    <n v="1"/>
    <x v="19"/>
    <n v="8"/>
    <n v="3"/>
    <n v="3"/>
    <x v="1"/>
    <x v="0"/>
    <s v="Active"/>
    <x v="0"/>
  </r>
  <r>
    <n v="23"/>
    <x v="1"/>
    <s v="Travel Rarely"/>
    <n v="507"/>
    <x v="1"/>
    <n v="20"/>
    <n v="1"/>
    <s v="Life Sciences"/>
    <n v="1"/>
    <x v="1082"/>
    <n v="1"/>
    <x v="1"/>
    <n v="97"/>
    <n v="3"/>
    <n v="2"/>
    <x v="2"/>
    <n v="3"/>
    <s v="Single"/>
    <n v="2272"/>
    <n v="24812"/>
    <n v="0"/>
    <s v="Y"/>
    <s v="No"/>
    <n v="14"/>
    <n v="3"/>
    <n v="2"/>
    <n v="80"/>
    <n v="0"/>
    <n v="5"/>
    <n v="2"/>
    <n v="3"/>
    <x v="9"/>
    <n v="3"/>
    <n v="1"/>
    <n v="2"/>
    <x v="2"/>
    <x v="1"/>
    <s v="Active"/>
    <x v="4"/>
  </r>
  <r>
    <n v="40"/>
    <x v="0"/>
    <s v="Travel Rarely"/>
    <n v="676"/>
    <x v="1"/>
    <n v="9"/>
    <n v="4"/>
    <s v="Life Sciences"/>
    <n v="1"/>
    <x v="1083"/>
    <n v="4"/>
    <x v="1"/>
    <n v="86"/>
    <n v="3"/>
    <n v="1"/>
    <x v="2"/>
    <n v="1"/>
    <s v="Single"/>
    <n v="2018"/>
    <n v="21831"/>
    <n v="3"/>
    <s v="Y"/>
    <s v="No"/>
    <n v="14"/>
    <n v="3"/>
    <n v="2"/>
    <n v="80"/>
    <n v="0"/>
    <n v="15"/>
    <n v="3"/>
    <n v="1"/>
    <x v="8"/>
    <n v="4"/>
    <n v="1"/>
    <n v="0"/>
    <x v="1"/>
    <x v="1"/>
    <s v="Resigned"/>
    <x v="3"/>
  </r>
  <r>
    <n v="34"/>
    <x v="1"/>
    <s v="Travel Rarely"/>
    <n v="971"/>
    <x v="0"/>
    <n v="1"/>
    <n v="3"/>
    <s v="Technical Degree"/>
    <n v="1"/>
    <x v="1084"/>
    <n v="4"/>
    <x v="1"/>
    <n v="64"/>
    <n v="2"/>
    <n v="3"/>
    <x v="0"/>
    <n v="3"/>
    <s v="Married"/>
    <n v="7083"/>
    <n v="12288"/>
    <n v="1"/>
    <s v="Y"/>
    <s v="Yes"/>
    <n v="14"/>
    <n v="3"/>
    <n v="4"/>
    <n v="80"/>
    <n v="0"/>
    <n v="10"/>
    <n v="3"/>
    <n v="3"/>
    <x v="1"/>
    <n v="9"/>
    <n v="8"/>
    <n v="6"/>
    <x v="1"/>
    <x v="0"/>
    <s v="Active"/>
    <x v="0"/>
  </r>
  <r>
    <n v="31"/>
    <x v="0"/>
    <s v="Travel Frequently"/>
    <n v="561"/>
    <x v="1"/>
    <n v="3"/>
    <n v="3"/>
    <s v="Life Sciences"/>
    <n v="1"/>
    <x v="1085"/>
    <n v="4"/>
    <x v="0"/>
    <n v="33"/>
    <n v="3"/>
    <n v="1"/>
    <x v="1"/>
    <n v="3"/>
    <s v="Single"/>
    <n v="4084"/>
    <n v="4156"/>
    <n v="1"/>
    <s v="Y"/>
    <s v="No"/>
    <n v="12"/>
    <n v="3"/>
    <n v="1"/>
    <n v="80"/>
    <n v="0"/>
    <n v="7"/>
    <n v="2"/>
    <n v="1"/>
    <x v="5"/>
    <n v="2"/>
    <n v="7"/>
    <n v="7"/>
    <x v="1"/>
    <x v="1"/>
    <s v="Resigned"/>
    <x v="0"/>
  </r>
  <r>
    <n v="50"/>
    <x v="1"/>
    <s v="Travel Frequently"/>
    <n v="333"/>
    <x v="1"/>
    <n v="22"/>
    <n v="5"/>
    <s v="Medical"/>
    <n v="1"/>
    <x v="1086"/>
    <n v="3"/>
    <x v="1"/>
    <n v="88"/>
    <n v="1"/>
    <n v="4"/>
    <x v="7"/>
    <n v="4"/>
    <s v="Single"/>
    <n v="14411"/>
    <n v="24450"/>
    <n v="1"/>
    <s v="Y"/>
    <s v="Yes"/>
    <n v="13"/>
    <n v="3"/>
    <n v="4"/>
    <n v="80"/>
    <n v="0"/>
    <n v="32"/>
    <n v="2"/>
    <n v="3"/>
    <x v="32"/>
    <n v="6"/>
    <n v="13"/>
    <n v="9"/>
    <x v="0"/>
    <x v="2"/>
    <s v="Active"/>
    <x v="0"/>
  </r>
  <r>
    <n v="34"/>
    <x v="1"/>
    <s v="Travel Rarely"/>
    <n v="1440"/>
    <x v="0"/>
    <n v="7"/>
    <n v="2"/>
    <s v="Technical Degree"/>
    <n v="1"/>
    <x v="1087"/>
    <n v="2"/>
    <x v="1"/>
    <n v="55"/>
    <n v="3"/>
    <n v="1"/>
    <x v="6"/>
    <n v="3"/>
    <s v="Married"/>
    <n v="2308"/>
    <n v="4944"/>
    <n v="0"/>
    <s v="Y"/>
    <s v="Yes"/>
    <n v="25"/>
    <n v="4"/>
    <n v="2"/>
    <n v="80"/>
    <n v="1"/>
    <n v="12"/>
    <n v="4"/>
    <n v="3"/>
    <x v="19"/>
    <n v="10"/>
    <n v="5"/>
    <n v="7"/>
    <x v="1"/>
    <x v="1"/>
    <s v="Active"/>
    <x v="0"/>
  </r>
  <r>
    <n v="42"/>
    <x v="1"/>
    <s v="Travel Rarely"/>
    <n v="1210"/>
    <x v="1"/>
    <n v="2"/>
    <n v="3"/>
    <s v="Medical"/>
    <n v="1"/>
    <x v="1088"/>
    <n v="3"/>
    <x v="1"/>
    <n v="68"/>
    <n v="2"/>
    <n v="1"/>
    <x v="2"/>
    <n v="2"/>
    <s v="Married"/>
    <n v="4841"/>
    <n v="24052"/>
    <n v="4"/>
    <s v="Y"/>
    <s v="No"/>
    <n v="14"/>
    <n v="3"/>
    <n v="2"/>
    <n v="80"/>
    <n v="1"/>
    <n v="4"/>
    <n v="3"/>
    <n v="3"/>
    <x v="6"/>
    <n v="0"/>
    <n v="0"/>
    <n v="0"/>
    <x v="0"/>
    <x v="1"/>
    <s v="Active"/>
    <x v="1"/>
  </r>
  <r>
    <n v="37"/>
    <x v="1"/>
    <s v="Travel Rarely"/>
    <n v="674"/>
    <x v="1"/>
    <n v="13"/>
    <n v="3"/>
    <s v="Medical"/>
    <n v="1"/>
    <x v="1089"/>
    <n v="1"/>
    <x v="1"/>
    <n v="47"/>
    <n v="3"/>
    <n v="2"/>
    <x v="1"/>
    <n v="4"/>
    <s v="Married"/>
    <n v="4285"/>
    <n v="3031"/>
    <n v="1"/>
    <s v="Y"/>
    <s v="No"/>
    <n v="17"/>
    <n v="3"/>
    <n v="1"/>
    <n v="80"/>
    <n v="0"/>
    <n v="10"/>
    <n v="2"/>
    <n v="3"/>
    <x v="1"/>
    <n v="8"/>
    <n v="3"/>
    <n v="7"/>
    <x v="1"/>
    <x v="1"/>
    <s v="Active"/>
    <x v="0"/>
  </r>
  <r>
    <n v="29"/>
    <x v="1"/>
    <s v="Travel Rarely"/>
    <n v="441"/>
    <x v="1"/>
    <n v="8"/>
    <n v="1"/>
    <s v="Other"/>
    <n v="1"/>
    <x v="1090"/>
    <n v="3"/>
    <x v="0"/>
    <n v="39"/>
    <n v="1"/>
    <n v="2"/>
    <x v="4"/>
    <n v="1"/>
    <s v="Married"/>
    <n v="9715"/>
    <n v="7288"/>
    <n v="3"/>
    <s v="Y"/>
    <s v="No"/>
    <n v="13"/>
    <n v="3"/>
    <n v="3"/>
    <n v="80"/>
    <n v="1"/>
    <n v="9"/>
    <n v="3"/>
    <n v="3"/>
    <x v="5"/>
    <n v="7"/>
    <n v="0"/>
    <n v="7"/>
    <x v="2"/>
    <x v="0"/>
    <s v="Active"/>
    <x v="0"/>
  </r>
  <r>
    <n v="33"/>
    <x v="1"/>
    <s v="Travel Rarely"/>
    <n v="575"/>
    <x v="1"/>
    <n v="25"/>
    <n v="3"/>
    <s v="Life Sciences"/>
    <n v="1"/>
    <x v="1091"/>
    <n v="4"/>
    <x v="1"/>
    <n v="44"/>
    <n v="2"/>
    <n v="2"/>
    <x v="3"/>
    <n v="2"/>
    <s v="Single"/>
    <n v="4320"/>
    <n v="24152"/>
    <n v="1"/>
    <s v="Y"/>
    <s v="No"/>
    <n v="13"/>
    <n v="3"/>
    <n v="4"/>
    <n v="80"/>
    <n v="0"/>
    <n v="5"/>
    <n v="2"/>
    <n v="3"/>
    <x v="8"/>
    <n v="3"/>
    <n v="0"/>
    <n v="2"/>
    <x v="1"/>
    <x v="1"/>
    <s v="Active"/>
    <x v="3"/>
  </r>
  <r>
    <n v="45"/>
    <x v="1"/>
    <s v="Travel Rarely"/>
    <n v="950"/>
    <x v="1"/>
    <n v="28"/>
    <n v="3"/>
    <s v="Technical Degree"/>
    <n v="1"/>
    <x v="1092"/>
    <n v="4"/>
    <x v="1"/>
    <n v="97"/>
    <n v="3"/>
    <n v="1"/>
    <x v="1"/>
    <n v="4"/>
    <s v="Married"/>
    <n v="2132"/>
    <n v="4585"/>
    <n v="4"/>
    <s v="Y"/>
    <s v="No"/>
    <n v="20"/>
    <n v="4"/>
    <n v="4"/>
    <n v="80"/>
    <n v="1"/>
    <n v="8"/>
    <n v="3"/>
    <n v="3"/>
    <x v="8"/>
    <n v="4"/>
    <n v="0"/>
    <n v="3"/>
    <x v="0"/>
    <x v="1"/>
    <s v="Active"/>
    <x v="3"/>
  </r>
  <r>
    <n v="42"/>
    <x v="1"/>
    <s v="Travel Frequently"/>
    <n v="288"/>
    <x v="1"/>
    <n v="2"/>
    <n v="3"/>
    <s v="Life Sciences"/>
    <n v="1"/>
    <x v="1093"/>
    <n v="4"/>
    <x v="1"/>
    <n v="40"/>
    <n v="3"/>
    <n v="3"/>
    <x v="4"/>
    <n v="4"/>
    <s v="Married"/>
    <n v="10124"/>
    <n v="18611"/>
    <n v="2"/>
    <s v="Y"/>
    <s v="Yes"/>
    <n v="14"/>
    <n v="3"/>
    <n v="3"/>
    <n v="80"/>
    <n v="1"/>
    <n v="24"/>
    <n v="3"/>
    <n v="1"/>
    <x v="23"/>
    <n v="8"/>
    <n v="13"/>
    <n v="9"/>
    <x v="0"/>
    <x v="2"/>
    <s v="Active"/>
    <x v="0"/>
  </r>
  <r>
    <n v="40"/>
    <x v="1"/>
    <s v="Travel Rarely"/>
    <n v="1342"/>
    <x v="0"/>
    <n v="9"/>
    <n v="2"/>
    <s v="Medical"/>
    <n v="1"/>
    <x v="1094"/>
    <n v="1"/>
    <x v="1"/>
    <n v="47"/>
    <n v="3"/>
    <n v="2"/>
    <x v="0"/>
    <n v="1"/>
    <s v="Married"/>
    <n v="5473"/>
    <n v="19345"/>
    <n v="0"/>
    <s v="Y"/>
    <s v="No"/>
    <n v="12"/>
    <n v="3"/>
    <n v="4"/>
    <n v="80"/>
    <n v="0"/>
    <n v="9"/>
    <n v="5"/>
    <n v="4"/>
    <x v="3"/>
    <n v="4"/>
    <n v="7"/>
    <n v="1"/>
    <x v="1"/>
    <x v="0"/>
    <s v="Active"/>
    <x v="0"/>
  </r>
  <r>
    <n v="33"/>
    <x v="1"/>
    <s v="Travel Rarely"/>
    <n v="589"/>
    <x v="1"/>
    <n v="28"/>
    <n v="4"/>
    <s v="Life Sciences"/>
    <n v="1"/>
    <x v="1095"/>
    <n v="2"/>
    <x v="1"/>
    <n v="79"/>
    <n v="3"/>
    <n v="2"/>
    <x v="2"/>
    <n v="3"/>
    <s v="Married"/>
    <n v="5207"/>
    <n v="22949"/>
    <n v="1"/>
    <s v="Y"/>
    <s v="Yes"/>
    <n v="12"/>
    <n v="3"/>
    <n v="2"/>
    <n v="80"/>
    <n v="1"/>
    <n v="15"/>
    <n v="3"/>
    <n v="3"/>
    <x v="15"/>
    <n v="14"/>
    <n v="5"/>
    <n v="7"/>
    <x v="1"/>
    <x v="0"/>
    <s v="Active"/>
    <x v="0"/>
  </r>
  <r>
    <n v="40"/>
    <x v="1"/>
    <s v="Travel Rarely"/>
    <n v="898"/>
    <x v="2"/>
    <n v="6"/>
    <n v="2"/>
    <s v="Medical"/>
    <n v="1"/>
    <x v="1096"/>
    <n v="3"/>
    <x v="1"/>
    <n v="38"/>
    <n v="3"/>
    <n v="4"/>
    <x v="5"/>
    <n v="4"/>
    <s v="Single"/>
    <n v="16437"/>
    <n v="17381"/>
    <n v="1"/>
    <s v="Y"/>
    <s v="Yes"/>
    <n v="21"/>
    <n v="4"/>
    <n v="4"/>
    <n v="80"/>
    <n v="0"/>
    <n v="21"/>
    <n v="2"/>
    <n v="3"/>
    <x v="17"/>
    <n v="7"/>
    <n v="7"/>
    <n v="7"/>
    <x v="1"/>
    <x v="2"/>
    <s v="Active"/>
    <x v="0"/>
  </r>
  <r>
    <n v="24"/>
    <x v="1"/>
    <s v="Travel Rarely"/>
    <n v="350"/>
    <x v="1"/>
    <n v="21"/>
    <n v="2"/>
    <s v="Technical Degree"/>
    <n v="1"/>
    <x v="1097"/>
    <n v="3"/>
    <x v="1"/>
    <n v="57"/>
    <n v="2"/>
    <n v="1"/>
    <x v="2"/>
    <n v="1"/>
    <s v="Divorced"/>
    <n v="2296"/>
    <n v="10036"/>
    <n v="0"/>
    <s v="Y"/>
    <s v="No"/>
    <n v="14"/>
    <n v="3"/>
    <n v="2"/>
    <n v="80"/>
    <n v="3"/>
    <n v="2"/>
    <n v="3"/>
    <n v="3"/>
    <x v="6"/>
    <n v="1"/>
    <n v="0"/>
    <n v="0"/>
    <x v="2"/>
    <x v="1"/>
    <s v="Active"/>
    <x v="1"/>
  </r>
  <r>
    <n v="40"/>
    <x v="1"/>
    <s v="Non Travel"/>
    <n v="1142"/>
    <x v="1"/>
    <n v="8"/>
    <n v="2"/>
    <s v="Life Sciences"/>
    <n v="1"/>
    <x v="1098"/>
    <n v="4"/>
    <x v="1"/>
    <n v="72"/>
    <n v="3"/>
    <n v="2"/>
    <x v="4"/>
    <n v="4"/>
    <s v="Divorced"/>
    <n v="4069"/>
    <n v="8841"/>
    <n v="3"/>
    <s v="Y"/>
    <s v="Yes"/>
    <n v="18"/>
    <n v="3"/>
    <n v="3"/>
    <n v="80"/>
    <n v="0"/>
    <n v="8"/>
    <n v="2"/>
    <n v="3"/>
    <x v="4"/>
    <n v="2"/>
    <n v="2"/>
    <n v="2"/>
    <x v="1"/>
    <x v="1"/>
    <s v="Active"/>
    <x v="2"/>
  </r>
  <r>
    <n v="45"/>
    <x v="1"/>
    <s v="Travel Rarely"/>
    <n v="538"/>
    <x v="1"/>
    <n v="1"/>
    <n v="4"/>
    <s v="Technical Degree"/>
    <n v="1"/>
    <x v="1099"/>
    <n v="1"/>
    <x v="1"/>
    <n v="66"/>
    <n v="3"/>
    <n v="3"/>
    <x v="4"/>
    <n v="2"/>
    <s v="Divorced"/>
    <n v="7441"/>
    <n v="20933"/>
    <n v="1"/>
    <s v="Y"/>
    <s v="No"/>
    <n v="12"/>
    <n v="3"/>
    <n v="1"/>
    <n v="80"/>
    <n v="3"/>
    <n v="10"/>
    <n v="4"/>
    <n v="3"/>
    <x v="1"/>
    <n v="8"/>
    <n v="7"/>
    <n v="7"/>
    <x v="0"/>
    <x v="0"/>
    <s v="Active"/>
    <x v="0"/>
  </r>
  <r>
    <n v="35"/>
    <x v="1"/>
    <s v="Travel Rarely"/>
    <n v="1402"/>
    <x v="0"/>
    <n v="28"/>
    <n v="4"/>
    <s v="Life Sciences"/>
    <n v="1"/>
    <x v="1100"/>
    <n v="2"/>
    <x v="0"/>
    <n v="98"/>
    <n v="2"/>
    <n v="1"/>
    <x v="6"/>
    <n v="3"/>
    <s v="Married"/>
    <n v="2430"/>
    <n v="26204"/>
    <n v="0"/>
    <s v="Y"/>
    <s v="No"/>
    <n v="23"/>
    <n v="4"/>
    <n v="1"/>
    <n v="80"/>
    <n v="2"/>
    <n v="6"/>
    <n v="5"/>
    <n v="3"/>
    <x v="8"/>
    <n v="3"/>
    <n v="4"/>
    <n v="2"/>
    <x v="1"/>
    <x v="1"/>
    <s v="Active"/>
    <x v="3"/>
  </r>
  <r>
    <n v="32"/>
    <x v="1"/>
    <s v="Travel Rarely"/>
    <n v="824"/>
    <x v="1"/>
    <n v="5"/>
    <n v="2"/>
    <s v="Life Sciences"/>
    <n v="1"/>
    <x v="1101"/>
    <n v="4"/>
    <x v="0"/>
    <n v="67"/>
    <n v="2"/>
    <n v="2"/>
    <x v="1"/>
    <n v="2"/>
    <s v="Married"/>
    <n v="5878"/>
    <n v="15624"/>
    <n v="3"/>
    <s v="Y"/>
    <s v="No"/>
    <n v="12"/>
    <n v="3"/>
    <n v="1"/>
    <n v="80"/>
    <n v="1"/>
    <n v="12"/>
    <n v="2"/>
    <n v="3"/>
    <x v="5"/>
    <n v="1"/>
    <n v="2"/>
    <n v="5"/>
    <x v="1"/>
    <x v="0"/>
    <s v="Active"/>
    <x v="0"/>
  </r>
  <r>
    <n v="36"/>
    <x v="1"/>
    <s v="Travel Rarely"/>
    <n v="1157"/>
    <x v="0"/>
    <n v="2"/>
    <n v="4"/>
    <s v="Life Sciences"/>
    <n v="1"/>
    <x v="1102"/>
    <n v="3"/>
    <x v="1"/>
    <n v="70"/>
    <n v="3"/>
    <n v="1"/>
    <x v="6"/>
    <n v="4"/>
    <s v="Single"/>
    <n v="2644"/>
    <n v="17001"/>
    <n v="3"/>
    <s v="Y"/>
    <s v="Yes"/>
    <n v="21"/>
    <n v="4"/>
    <n v="4"/>
    <n v="80"/>
    <n v="0"/>
    <n v="7"/>
    <n v="3"/>
    <n v="2"/>
    <x v="11"/>
    <n v="2"/>
    <n v="1"/>
    <n v="2"/>
    <x v="1"/>
    <x v="1"/>
    <s v="Active"/>
    <x v="5"/>
  </r>
  <r>
    <n v="48"/>
    <x v="1"/>
    <s v="Travel Rarely"/>
    <n v="492"/>
    <x v="0"/>
    <n v="16"/>
    <n v="4"/>
    <s v="Life Sciences"/>
    <n v="1"/>
    <x v="1103"/>
    <n v="3"/>
    <x v="0"/>
    <n v="96"/>
    <n v="3"/>
    <n v="2"/>
    <x v="0"/>
    <n v="3"/>
    <s v="Divorced"/>
    <n v="6439"/>
    <n v="13693"/>
    <n v="8"/>
    <s v="Y"/>
    <s v="No"/>
    <n v="14"/>
    <n v="3"/>
    <n v="3"/>
    <n v="80"/>
    <n v="1"/>
    <n v="18"/>
    <n v="2"/>
    <n v="3"/>
    <x v="3"/>
    <n v="7"/>
    <n v="7"/>
    <n v="7"/>
    <x v="0"/>
    <x v="0"/>
    <s v="Active"/>
    <x v="0"/>
  </r>
  <r>
    <n v="29"/>
    <x v="1"/>
    <s v="Travel Rarely"/>
    <n v="598"/>
    <x v="1"/>
    <n v="9"/>
    <n v="3"/>
    <s v="Life Sciences"/>
    <n v="1"/>
    <x v="1104"/>
    <n v="3"/>
    <x v="1"/>
    <n v="91"/>
    <n v="4"/>
    <n v="1"/>
    <x v="1"/>
    <n v="3"/>
    <s v="Married"/>
    <n v="2451"/>
    <n v="22376"/>
    <n v="6"/>
    <s v="Y"/>
    <s v="No"/>
    <n v="18"/>
    <n v="3"/>
    <n v="1"/>
    <n v="80"/>
    <n v="2"/>
    <n v="5"/>
    <n v="2"/>
    <n v="2"/>
    <x v="6"/>
    <n v="0"/>
    <n v="0"/>
    <n v="0"/>
    <x v="2"/>
    <x v="1"/>
    <s v="Active"/>
    <x v="1"/>
  </r>
  <r>
    <n v="33"/>
    <x v="1"/>
    <s v="Travel Rarely"/>
    <n v="1242"/>
    <x v="0"/>
    <n v="8"/>
    <n v="4"/>
    <s v="Life Sciences"/>
    <n v="1"/>
    <x v="1105"/>
    <n v="1"/>
    <x v="1"/>
    <n v="46"/>
    <n v="3"/>
    <n v="2"/>
    <x v="0"/>
    <n v="1"/>
    <s v="Married"/>
    <n v="6392"/>
    <n v="10589"/>
    <n v="2"/>
    <s v="Y"/>
    <s v="No"/>
    <n v="13"/>
    <n v="3"/>
    <n v="4"/>
    <n v="80"/>
    <n v="1"/>
    <n v="8"/>
    <n v="6"/>
    <n v="1"/>
    <x v="4"/>
    <n v="2"/>
    <n v="2"/>
    <n v="2"/>
    <x v="1"/>
    <x v="0"/>
    <s v="Active"/>
    <x v="2"/>
  </r>
  <r>
    <n v="30"/>
    <x v="0"/>
    <s v="Travel Rarely"/>
    <n v="740"/>
    <x v="0"/>
    <n v="1"/>
    <n v="3"/>
    <s v="Life Sciences"/>
    <n v="1"/>
    <x v="1106"/>
    <n v="2"/>
    <x v="1"/>
    <n v="64"/>
    <n v="2"/>
    <n v="2"/>
    <x v="0"/>
    <n v="1"/>
    <s v="Married"/>
    <n v="9714"/>
    <n v="5323"/>
    <n v="1"/>
    <s v="Y"/>
    <s v="No"/>
    <n v="11"/>
    <n v="3"/>
    <n v="4"/>
    <n v="80"/>
    <n v="1"/>
    <n v="10"/>
    <n v="4"/>
    <n v="3"/>
    <x v="1"/>
    <n v="8"/>
    <n v="6"/>
    <n v="7"/>
    <x v="1"/>
    <x v="0"/>
    <s v="Resigned"/>
    <x v="0"/>
  </r>
  <r>
    <n v="38"/>
    <x v="1"/>
    <s v="Travel Frequently"/>
    <n v="888"/>
    <x v="2"/>
    <n v="10"/>
    <n v="4"/>
    <s v="Human Resources"/>
    <n v="1"/>
    <x v="1107"/>
    <n v="3"/>
    <x v="1"/>
    <n v="71"/>
    <n v="3"/>
    <n v="2"/>
    <x v="8"/>
    <n v="3"/>
    <s v="Married"/>
    <n v="6077"/>
    <n v="14814"/>
    <n v="3"/>
    <s v="Y"/>
    <s v="No"/>
    <n v="11"/>
    <n v="3"/>
    <n v="3"/>
    <n v="80"/>
    <n v="0"/>
    <n v="10"/>
    <n v="2"/>
    <n v="3"/>
    <x v="0"/>
    <n v="3"/>
    <n v="1"/>
    <n v="2"/>
    <x v="1"/>
    <x v="0"/>
    <s v="Active"/>
    <x v="0"/>
  </r>
  <r>
    <n v="35"/>
    <x v="1"/>
    <s v="Travel Rarely"/>
    <n v="992"/>
    <x v="1"/>
    <n v="1"/>
    <n v="3"/>
    <s v="Medical"/>
    <n v="1"/>
    <x v="1108"/>
    <n v="4"/>
    <x v="1"/>
    <n v="68"/>
    <n v="2"/>
    <n v="1"/>
    <x v="2"/>
    <n v="1"/>
    <s v="Single"/>
    <n v="2450"/>
    <n v="21731"/>
    <n v="1"/>
    <s v="Y"/>
    <s v="No"/>
    <n v="19"/>
    <n v="3"/>
    <n v="2"/>
    <n v="80"/>
    <n v="0"/>
    <n v="3"/>
    <n v="3"/>
    <n v="3"/>
    <x v="11"/>
    <n v="0"/>
    <n v="1"/>
    <n v="2"/>
    <x v="1"/>
    <x v="1"/>
    <s v="Active"/>
    <x v="5"/>
  </r>
  <r>
    <n v="30"/>
    <x v="1"/>
    <s v="Travel Rarely"/>
    <n v="1288"/>
    <x v="0"/>
    <n v="29"/>
    <n v="4"/>
    <s v="Technical Degree"/>
    <n v="1"/>
    <x v="1109"/>
    <n v="3"/>
    <x v="1"/>
    <n v="33"/>
    <n v="3"/>
    <n v="3"/>
    <x v="0"/>
    <n v="2"/>
    <s v="Married"/>
    <n v="9250"/>
    <n v="17799"/>
    <n v="3"/>
    <s v="Y"/>
    <s v="No"/>
    <n v="12"/>
    <n v="3"/>
    <n v="2"/>
    <n v="80"/>
    <n v="1"/>
    <n v="9"/>
    <n v="3"/>
    <n v="3"/>
    <x v="9"/>
    <n v="2"/>
    <n v="1"/>
    <n v="3"/>
    <x v="1"/>
    <x v="0"/>
    <s v="Active"/>
    <x v="4"/>
  </r>
  <r>
    <n v="35"/>
    <x v="0"/>
    <s v="Travel Rarely"/>
    <n v="104"/>
    <x v="1"/>
    <n v="2"/>
    <n v="3"/>
    <s v="Life Sciences"/>
    <n v="1"/>
    <x v="1110"/>
    <n v="1"/>
    <x v="0"/>
    <n v="69"/>
    <n v="3"/>
    <n v="1"/>
    <x v="2"/>
    <n v="1"/>
    <s v="Divorced"/>
    <n v="2074"/>
    <n v="26619"/>
    <n v="1"/>
    <s v="Y"/>
    <s v="Yes"/>
    <n v="12"/>
    <n v="3"/>
    <n v="4"/>
    <n v="80"/>
    <n v="1"/>
    <n v="1"/>
    <n v="2"/>
    <n v="3"/>
    <x v="6"/>
    <n v="0"/>
    <n v="0"/>
    <n v="0"/>
    <x v="1"/>
    <x v="1"/>
    <s v="Resigned"/>
    <x v="1"/>
  </r>
  <r>
    <n v="53"/>
    <x v="0"/>
    <s v="Travel Rarely"/>
    <n v="607"/>
    <x v="1"/>
    <n v="2"/>
    <n v="5"/>
    <s v="Technical Degree"/>
    <n v="1"/>
    <x v="1111"/>
    <n v="3"/>
    <x v="0"/>
    <n v="78"/>
    <n v="2"/>
    <n v="3"/>
    <x v="3"/>
    <n v="4"/>
    <s v="Married"/>
    <n v="10169"/>
    <n v="14618"/>
    <n v="0"/>
    <s v="Y"/>
    <s v="No"/>
    <n v="16"/>
    <n v="3"/>
    <n v="2"/>
    <n v="80"/>
    <n v="1"/>
    <n v="34"/>
    <n v="4"/>
    <n v="3"/>
    <x v="26"/>
    <n v="7"/>
    <n v="1"/>
    <n v="9"/>
    <x v="0"/>
    <x v="2"/>
    <s v="Resigned"/>
    <x v="0"/>
  </r>
  <r>
    <n v="38"/>
    <x v="0"/>
    <s v="Travel Rarely"/>
    <n v="903"/>
    <x v="1"/>
    <n v="2"/>
    <n v="3"/>
    <s v="Medical"/>
    <n v="1"/>
    <x v="1112"/>
    <n v="3"/>
    <x v="1"/>
    <n v="81"/>
    <n v="3"/>
    <n v="2"/>
    <x v="3"/>
    <n v="2"/>
    <s v="Married"/>
    <n v="4855"/>
    <n v="7653"/>
    <n v="4"/>
    <s v="Y"/>
    <s v="No"/>
    <n v="11"/>
    <n v="3"/>
    <n v="1"/>
    <n v="80"/>
    <n v="2"/>
    <n v="7"/>
    <n v="2"/>
    <n v="3"/>
    <x v="8"/>
    <n v="2"/>
    <n v="1"/>
    <n v="4"/>
    <x v="1"/>
    <x v="1"/>
    <s v="Resigned"/>
    <x v="3"/>
  </r>
  <r>
    <n v="32"/>
    <x v="1"/>
    <s v="Non Travel"/>
    <n v="1200"/>
    <x v="1"/>
    <n v="1"/>
    <n v="4"/>
    <s v="Technical Degree"/>
    <n v="1"/>
    <x v="1113"/>
    <n v="4"/>
    <x v="1"/>
    <n v="62"/>
    <n v="3"/>
    <n v="2"/>
    <x v="1"/>
    <n v="1"/>
    <s v="Married"/>
    <n v="4087"/>
    <n v="25174"/>
    <n v="4"/>
    <s v="Y"/>
    <s v="No"/>
    <n v="14"/>
    <n v="3"/>
    <n v="2"/>
    <n v="80"/>
    <n v="1"/>
    <n v="9"/>
    <n v="3"/>
    <n v="2"/>
    <x v="0"/>
    <n v="5"/>
    <n v="1"/>
    <n v="2"/>
    <x v="1"/>
    <x v="1"/>
    <s v="Active"/>
    <x v="0"/>
  </r>
  <r>
    <n v="48"/>
    <x v="1"/>
    <s v="Travel Rarely"/>
    <n v="1108"/>
    <x v="1"/>
    <n v="15"/>
    <n v="4"/>
    <s v="Other"/>
    <n v="1"/>
    <x v="1114"/>
    <n v="3"/>
    <x v="0"/>
    <n v="65"/>
    <n v="3"/>
    <n v="1"/>
    <x v="1"/>
    <n v="1"/>
    <s v="Married"/>
    <n v="2367"/>
    <n v="16530"/>
    <n v="8"/>
    <s v="Y"/>
    <s v="No"/>
    <n v="12"/>
    <n v="3"/>
    <n v="4"/>
    <n v="80"/>
    <n v="1"/>
    <n v="10"/>
    <n v="3"/>
    <n v="2"/>
    <x v="3"/>
    <n v="2"/>
    <n v="7"/>
    <n v="6"/>
    <x v="0"/>
    <x v="1"/>
    <s v="Active"/>
    <x v="0"/>
  </r>
  <r>
    <n v="34"/>
    <x v="1"/>
    <s v="Travel Rarely"/>
    <n v="479"/>
    <x v="1"/>
    <n v="7"/>
    <n v="4"/>
    <s v="Medical"/>
    <n v="1"/>
    <x v="1115"/>
    <n v="1"/>
    <x v="1"/>
    <n v="35"/>
    <n v="3"/>
    <n v="1"/>
    <x v="1"/>
    <n v="4"/>
    <s v="Single"/>
    <n v="2972"/>
    <n v="22061"/>
    <n v="1"/>
    <s v="Y"/>
    <s v="No"/>
    <n v="13"/>
    <n v="3"/>
    <n v="3"/>
    <n v="80"/>
    <n v="0"/>
    <n v="1"/>
    <n v="4"/>
    <n v="1"/>
    <x v="6"/>
    <n v="0"/>
    <n v="0"/>
    <n v="0"/>
    <x v="1"/>
    <x v="1"/>
    <s v="Active"/>
    <x v="1"/>
  </r>
  <r>
    <n v="55"/>
    <x v="1"/>
    <s v="Travel Rarely"/>
    <n v="685"/>
    <x v="0"/>
    <n v="26"/>
    <n v="5"/>
    <s v="Marketing"/>
    <n v="1"/>
    <x v="1116"/>
    <n v="3"/>
    <x v="1"/>
    <n v="60"/>
    <n v="2"/>
    <n v="5"/>
    <x v="5"/>
    <n v="4"/>
    <s v="Married"/>
    <n v="19586"/>
    <n v="23037"/>
    <n v="1"/>
    <s v="Y"/>
    <s v="No"/>
    <n v="21"/>
    <n v="4"/>
    <n v="3"/>
    <n v="80"/>
    <n v="1"/>
    <n v="36"/>
    <n v="3"/>
    <n v="3"/>
    <x v="28"/>
    <n v="6"/>
    <n v="2"/>
    <n v="13"/>
    <x v="0"/>
    <x v="2"/>
    <s v="Active"/>
    <x v="0"/>
  </r>
  <r>
    <n v="34"/>
    <x v="1"/>
    <s v="Travel Rarely"/>
    <n v="1351"/>
    <x v="1"/>
    <n v="1"/>
    <n v="4"/>
    <s v="Life Sciences"/>
    <n v="1"/>
    <x v="1117"/>
    <n v="2"/>
    <x v="1"/>
    <n v="45"/>
    <n v="3"/>
    <n v="2"/>
    <x v="1"/>
    <n v="4"/>
    <s v="Married"/>
    <n v="5484"/>
    <n v="13008"/>
    <n v="9"/>
    <s v="Y"/>
    <s v="No"/>
    <n v="17"/>
    <n v="3"/>
    <n v="2"/>
    <n v="80"/>
    <n v="1"/>
    <n v="9"/>
    <n v="3"/>
    <n v="2"/>
    <x v="4"/>
    <n v="2"/>
    <n v="2"/>
    <n v="1"/>
    <x v="1"/>
    <x v="0"/>
    <s v="Active"/>
    <x v="2"/>
  </r>
  <r>
    <n v="26"/>
    <x v="1"/>
    <s v="Travel Rarely"/>
    <n v="474"/>
    <x v="1"/>
    <n v="3"/>
    <n v="3"/>
    <s v="Life Sciences"/>
    <n v="1"/>
    <x v="1118"/>
    <n v="1"/>
    <x v="0"/>
    <n v="89"/>
    <n v="3"/>
    <n v="1"/>
    <x v="1"/>
    <n v="4"/>
    <s v="Married"/>
    <n v="2061"/>
    <n v="11133"/>
    <n v="1"/>
    <s v="Y"/>
    <s v="No"/>
    <n v="21"/>
    <n v="4"/>
    <n v="1"/>
    <n v="80"/>
    <n v="0"/>
    <n v="1"/>
    <n v="5"/>
    <n v="3"/>
    <x v="6"/>
    <n v="0"/>
    <n v="0"/>
    <n v="0"/>
    <x v="2"/>
    <x v="1"/>
    <s v="Active"/>
    <x v="1"/>
  </r>
  <r>
    <n v="38"/>
    <x v="1"/>
    <s v="Travel Rarely"/>
    <n v="1245"/>
    <x v="0"/>
    <n v="14"/>
    <n v="3"/>
    <s v="Life Sciences"/>
    <n v="1"/>
    <x v="1119"/>
    <n v="3"/>
    <x v="1"/>
    <n v="80"/>
    <n v="3"/>
    <n v="2"/>
    <x v="0"/>
    <n v="2"/>
    <s v="Married"/>
    <n v="9924"/>
    <n v="12355"/>
    <n v="0"/>
    <s v="Y"/>
    <s v="No"/>
    <n v="11"/>
    <n v="3"/>
    <n v="4"/>
    <n v="80"/>
    <n v="1"/>
    <n v="10"/>
    <n v="3"/>
    <n v="3"/>
    <x v="7"/>
    <n v="8"/>
    <n v="7"/>
    <n v="7"/>
    <x v="1"/>
    <x v="0"/>
    <s v="Active"/>
    <x v="0"/>
  </r>
  <r>
    <n v="38"/>
    <x v="1"/>
    <s v="Travel Rarely"/>
    <n v="437"/>
    <x v="0"/>
    <n v="16"/>
    <n v="3"/>
    <s v="Life Sciences"/>
    <n v="1"/>
    <x v="1120"/>
    <n v="2"/>
    <x v="0"/>
    <n v="90"/>
    <n v="3"/>
    <n v="2"/>
    <x v="0"/>
    <n v="2"/>
    <s v="Single"/>
    <n v="4198"/>
    <n v="16379"/>
    <n v="2"/>
    <s v="Y"/>
    <s v="No"/>
    <n v="12"/>
    <n v="3"/>
    <n v="2"/>
    <n v="80"/>
    <n v="0"/>
    <n v="8"/>
    <n v="5"/>
    <n v="4"/>
    <x v="11"/>
    <n v="2"/>
    <n v="1"/>
    <n v="2"/>
    <x v="1"/>
    <x v="1"/>
    <s v="Active"/>
    <x v="5"/>
  </r>
  <r>
    <n v="36"/>
    <x v="1"/>
    <s v="Travel Rarely"/>
    <n v="884"/>
    <x v="0"/>
    <n v="1"/>
    <n v="4"/>
    <s v="Life Sciences"/>
    <n v="1"/>
    <x v="1121"/>
    <n v="2"/>
    <x v="0"/>
    <n v="73"/>
    <n v="3"/>
    <n v="2"/>
    <x v="0"/>
    <n v="3"/>
    <s v="Single"/>
    <n v="6815"/>
    <n v="21447"/>
    <n v="6"/>
    <s v="Y"/>
    <s v="No"/>
    <n v="13"/>
    <n v="3"/>
    <n v="1"/>
    <n v="80"/>
    <n v="0"/>
    <n v="15"/>
    <n v="5"/>
    <n v="3"/>
    <x v="6"/>
    <n v="0"/>
    <n v="0"/>
    <n v="0"/>
    <x v="1"/>
    <x v="0"/>
    <s v="Active"/>
    <x v="1"/>
  </r>
  <r>
    <n v="29"/>
    <x v="1"/>
    <s v="Travel Rarely"/>
    <n v="1370"/>
    <x v="1"/>
    <n v="3"/>
    <n v="1"/>
    <s v="Medical"/>
    <n v="1"/>
    <x v="1122"/>
    <n v="2"/>
    <x v="1"/>
    <n v="87"/>
    <n v="3"/>
    <n v="1"/>
    <x v="2"/>
    <n v="1"/>
    <s v="Single"/>
    <n v="4723"/>
    <n v="16213"/>
    <n v="1"/>
    <s v="Y"/>
    <s v="Yes"/>
    <n v="18"/>
    <n v="3"/>
    <n v="4"/>
    <n v="80"/>
    <n v="0"/>
    <n v="10"/>
    <n v="3"/>
    <n v="3"/>
    <x v="1"/>
    <n v="9"/>
    <n v="1"/>
    <n v="5"/>
    <x v="2"/>
    <x v="1"/>
    <s v="Active"/>
    <x v="0"/>
  </r>
  <r>
    <n v="35"/>
    <x v="1"/>
    <s v="Travel Rarely"/>
    <n v="670"/>
    <x v="1"/>
    <n v="10"/>
    <n v="4"/>
    <s v="Medical"/>
    <n v="1"/>
    <x v="1123"/>
    <n v="1"/>
    <x v="0"/>
    <n v="51"/>
    <n v="3"/>
    <n v="2"/>
    <x v="4"/>
    <n v="3"/>
    <s v="Single"/>
    <n v="6142"/>
    <n v="4223"/>
    <n v="3"/>
    <s v="Y"/>
    <s v="Yes"/>
    <n v="16"/>
    <n v="3"/>
    <n v="3"/>
    <n v="80"/>
    <n v="0"/>
    <n v="10"/>
    <n v="4"/>
    <n v="3"/>
    <x v="8"/>
    <n v="2"/>
    <n v="0"/>
    <n v="4"/>
    <x v="1"/>
    <x v="0"/>
    <s v="Active"/>
    <x v="3"/>
  </r>
  <r>
    <n v="39"/>
    <x v="1"/>
    <s v="Travel Rarely"/>
    <n v="1462"/>
    <x v="0"/>
    <n v="6"/>
    <n v="3"/>
    <s v="Medical"/>
    <n v="1"/>
    <x v="1124"/>
    <n v="4"/>
    <x v="1"/>
    <n v="38"/>
    <n v="4"/>
    <n v="3"/>
    <x v="0"/>
    <n v="3"/>
    <s v="Married"/>
    <n v="8237"/>
    <n v="4658"/>
    <n v="2"/>
    <s v="Y"/>
    <s v="No"/>
    <n v="11"/>
    <n v="3"/>
    <n v="1"/>
    <n v="80"/>
    <n v="1"/>
    <n v="11"/>
    <n v="3"/>
    <n v="3"/>
    <x v="5"/>
    <n v="6"/>
    <n v="7"/>
    <n v="6"/>
    <x v="1"/>
    <x v="0"/>
    <s v="Active"/>
    <x v="0"/>
  </r>
  <r>
    <n v="29"/>
    <x v="1"/>
    <s v="Travel Frequently"/>
    <n v="995"/>
    <x v="1"/>
    <n v="2"/>
    <n v="1"/>
    <s v="Life Sciences"/>
    <n v="1"/>
    <x v="1125"/>
    <n v="1"/>
    <x v="1"/>
    <n v="87"/>
    <n v="3"/>
    <n v="2"/>
    <x v="4"/>
    <n v="4"/>
    <s v="Divorced"/>
    <n v="8853"/>
    <n v="24483"/>
    <n v="1"/>
    <s v="Y"/>
    <s v="No"/>
    <n v="19"/>
    <n v="3"/>
    <n v="4"/>
    <n v="80"/>
    <n v="1"/>
    <n v="6"/>
    <n v="0"/>
    <n v="4"/>
    <x v="0"/>
    <n v="4"/>
    <n v="1"/>
    <n v="3"/>
    <x v="2"/>
    <x v="0"/>
    <s v="Active"/>
    <x v="0"/>
  </r>
  <r>
    <n v="50"/>
    <x v="1"/>
    <s v="Travel Rarely"/>
    <n v="264"/>
    <x v="0"/>
    <n v="9"/>
    <n v="3"/>
    <s v="Marketing"/>
    <n v="1"/>
    <x v="1126"/>
    <n v="3"/>
    <x v="1"/>
    <n v="59"/>
    <n v="3"/>
    <n v="5"/>
    <x v="5"/>
    <n v="3"/>
    <s v="Married"/>
    <n v="19331"/>
    <n v="19519"/>
    <n v="4"/>
    <s v="Y"/>
    <s v="Yes"/>
    <n v="16"/>
    <n v="3"/>
    <n v="3"/>
    <n v="80"/>
    <n v="1"/>
    <n v="27"/>
    <n v="2"/>
    <n v="3"/>
    <x v="6"/>
    <n v="0"/>
    <n v="0"/>
    <n v="0"/>
    <x v="0"/>
    <x v="2"/>
    <s v="Active"/>
    <x v="1"/>
  </r>
  <r>
    <n v="23"/>
    <x v="1"/>
    <s v="Travel Rarely"/>
    <n v="977"/>
    <x v="1"/>
    <n v="10"/>
    <n v="3"/>
    <s v="Technical Degree"/>
    <n v="1"/>
    <x v="1127"/>
    <n v="4"/>
    <x v="1"/>
    <n v="45"/>
    <n v="4"/>
    <n v="1"/>
    <x v="1"/>
    <n v="3"/>
    <s v="Married"/>
    <n v="2073"/>
    <n v="12826"/>
    <n v="2"/>
    <s v="Y"/>
    <s v="No"/>
    <n v="16"/>
    <n v="3"/>
    <n v="4"/>
    <n v="80"/>
    <n v="1"/>
    <n v="4"/>
    <n v="2"/>
    <n v="3"/>
    <x v="4"/>
    <n v="2"/>
    <n v="2"/>
    <n v="2"/>
    <x v="2"/>
    <x v="1"/>
    <s v="Active"/>
    <x v="2"/>
  </r>
  <r>
    <n v="36"/>
    <x v="1"/>
    <s v="Travel Frequently"/>
    <n v="1302"/>
    <x v="1"/>
    <n v="6"/>
    <n v="4"/>
    <s v="Life Sciences"/>
    <n v="1"/>
    <x v="1128"/>
    <n v="1"/>
    <x v="1"/>
    <n v="80"/>
    <n v="4"/>
    <n v="2"/>
    <x v="2"/>
    <n v="1"/>
    <s v="Married"/>
    <n v="5562"/>
    <n v="19711"/>
    <n v="3"/>
    <s v="Y"/>
    <s v="Yes"/>
    <n v="13"/>
    <n v="3"/>
    <n v="4"/>
    <n v="80"/>
    <n v="1"/>
    <n v="9"/>
    <n v="3"/>
    <n v="3"/>
    <x v="11"/>
    <n v="2"/>
    <n v="0"/>
    <n v="2"/>
    <x v="1"/>
    <x v="0"/>
    <s v="Active"/>
    <x v="5"/>
  </r>
  <r>
    <n v="42"/>
    <x v="1"/>
    <s v="Travel Rarely"/>
    <n v="1059"/>
    <x v="1"/>
    <n v="9"/>
    <n v="2"/>
    <s v="Other"/>
    <n v="1"/>
    <x v="1129"/>
    <n v="4"/>
    <x v="1"/>
    <n v="93"/>
    <n v="2"/>
    <n v="5"/>
    <x v="5"/>
    <n v="4"/>
    <s v="Single"/>
    <n v="19613"/>
    <n v="26362"/>
    <n v="8"/>
    <s v="Y"/>
    <s v="No"/>
    <n v="22"/>
    <n v="4"/>
    <n v="4"/>
    <n v="80"/>
    <n v="0"/>
    <n v="24"/>
    <n v="2"/>
    <n v="3"/>
    <x v="6"/>
    <n v="0"/>
    <n v="0"/>
    <n v="1"/>
    <x v="0"/>
    <x v="2"/>
    <s v="Active"/>
    <x v="1"/>
  </r>
  <r>
    <n v="35"/>
    <x v="1"/>
    <s v="Travel Rarely"/>
    <n v="750"/>
    <x v="1"/>
    <n v="28"/>
    <n v="3"/>
    <s v="Life Sciences"/>
    <n v="1"/>
    <x v="1130"/>
    <n v="2"/>
    <x v="1"/>
    <n v="46"/>
    <n v="4"/>
    <n v="2"/>
    <x v="2"/>
    <n v="3"/>
    <s v="Married"/>
    <n v="3407"/>
    <n v="25348"/>
    <n v="1"/>
    <s v="Y"/>
    <s v="No"/>
    <n v="17"/>
    <n v="3"/>
    <n v="4"/>
    <n v="80"/>
    <n v="2"/>
    <n v="10"/>
    <n v="3"/>
    <n v="2"/>
    <x v="1"/>
    <n v="9"/>
    <n v="6"/>
    <n v="8"/>
    <x v="1"/>
    <x v="1"/>
    <s v="Active"/>
    <x v="0"/>
  </r>
  <r>
    <n v="34"/>
    <x v="1"/>
    <s v="Travel Frequently"/>
    <n v="653"/>
    <x v="1"/>
    <n v="10"/>
    <n v="4"/>
    <s v="Technical Degree"/>
    <n v="1"/>
    <x v="1131"/>
    <n v="4"/>
    <x v="1"/>
    <n v="92"/>
    <n v="2"/>
    <n v="2"/>
    <x v="4"/>
    <n v="3"/>
    <s v="Married"/>
    <n v="5063"/>
    <n v="15332"/>
    <n v="1"/>
    <s v="Y"/>
    <s v="No"/>
    <n v="14"/>
    <n v="3"/>
    <n v="2"/>
    <n v="80"/>
    <n v="1"/>
    <n v="8"/>
    <n v="3"/>
    <n v="2"/>
    <x v="3"/>
    <n v="2"/>
    <n v="7"/>
    <n v="7"/>
    <x v="1"/>
    <x v="0"/>
    <s v="Active"/>
    <x v="0"/>
  </r>
  <r>
    <n v="40"/>
    <x v="1"/>
    <s v="Travel Rarely"/>
    <n v="118"/>
    <x v="0"/>
    <n v="14"/>
    <n v="2"/>
    <s v="Life Sciences"/>
    <n v="1"/>
    <x v="1132"/>
    <n v="4"/>
    <x v="0"/>
    <n v="84"/>
    <n v="3"/>
    <n v="2"/>
    <x v="0"/>
    <n v="1"/>
    <s v="Married"/>
    <n v="4639"/>
    <n v="11262"/>
    <n v="1"/>
    <s v="Y"/>
    <s v="No"/>
    <n v="15"/>
    <n v="3"/>
    <n v="3"/>
    <n v="80"/>
    <n v="1"/>
    <n v="5"/>
    <n v="2"/>
    <n v="3"/>
    <x v="8"/>
    <n v="4"/>
    <n v="1"/>
    <n v="2"/>
    <x v="1"/>
    <x v="1"/>
    <s v="Active"/>
    <x v="3"/>
  </r>
  <r>
    <n v="43"/>
    <x v="1"/>
    <s v="Travel Rarely"/>
    <n v="990"/>
    <x v="1"/>
    <n v="27"/>
    <n v="3"/>
    <s v="Technical Degree"/>
    <n v="1"/>
    <x v="1133"/>
    <n v="4"/>
    <x v="1"/>
    <n v="87"/>
    <n v="4"/>
    <n v="1"/>
    <x v="2"/>
    <n v="2"/>
    <s v="Divorced"/>
    <n v="4876"/>
    <n v="5855"/>
    <n v="5"/>
    <s v="Y"/>
    <s v="No"/>
    <n v="12"/>
    <n v="3"/>
    <n v="3"/>
    <n v="80"/>
    <n v="1"/>
    <n v="8"/>
    <n v="0"/>
    <n v="3"/>
    <x v="0"/>
    <n v="4"/>
    <n v="0"/>
    <n v="2"/>
    <x v="0"/>
    <x v="1"/>
    <s v="Active"/>
    <x v="0"/>
  </r>
  <r>
    <n v="35"/>
    <x v="1"/>
    <s v="Travel Rarely"/>
    <n v="1349"/>
    <x v="1"/>
    <n v="7"/>
    <n v="2"/>
    <s v="Life Sciences"/>
    <n v="1"/>
    <x v="1134"/>
    <n v="3"/>
    <x v="1"/>
    <n v="63"/>
    <n v="2"/>
    <n v="1"/>
    <x v="2"/>
    <n v="4"/>
    <s v="Married"/>
    <n v="2690"/>
    <n v="7713"/>
    <n v="1"/>
    <s v="Y"/>
    <s v="No"/>
    <n v="18"/>
    <n v="3"/>
    <n v="4"/>
    <n v="80"/>
    <n v="1"/>
    <n v="1"/>
    <n v="5"/>
    <n v="2"/>
    <x v="6"/>
    <n v="0"/>
    <n v="0"/>
    <n v="1"/>
    <x v="1"/>
    <x v="1"/>
    <s v="Active"/>
    <x v="1"/>
  </r>
  <r>
    <n v="46"/>
    <x v="1"/>
    <s v="Travel Rarely"/>
    <n v="563"/>
    <x v="0"/>
    <n v="1"/>
    <n v="4"/>
    <s v="Life Sciences"/>
    <n v="1"/>
    <x v="1135"/>
    <n v="4"/>
    <x v="1"/>
    <n v="56"/>
    <n v="4"/>
    <n v="4"/>
    <x v="5"/>
    <n v="1"/>
    <s v="Single"/>
    <n v="17567"/>
    <n v="3156"/>
    <n v="1"/>
    <s v="Y"/>
    <s v="No"/>
    <n v="15"/>
    <n v="3"/>
    <n v="2"/>
    <n v="80"/>
    <n v="0"/>
    <n v="27"/>
    <n v="5"/>
    <n v="1"/>
    <x v="34"/>
    <n v="0"/>
    <n v="0"/>
    <n v="12"/>
    <x v="0"/>
    <x v="2"/>
    <s v="Active"/>
    <x v="0"/>
  </r>
  <r>
    <n v="28"/>
    <x v="0"/>
    <s v="Travel Rarely"/>
    <n v="329"/>
    <x v="1"/>
    <n v="24"/>
    <n v="3"/>
    <s v="Medical"/>
    <n v="1"/>
    <x v="1136"/>
    <n v="3"/>
    <x v="1"/>
    <n v="51"/>
    <n v="3"/>
    <n v="1"/>
    <x v="2"/>
    <n v="2"/>
    <s v="Married"/>
    <n v="2408"/>
    <n v="7324"/>
    <n v="1"/>
    <s v="Y"/>
    <s v="Yes"/>
    <n v="17"/>
    <n v="3"/>
    <n v="3"/>
    <n v="80"/>
    <n v="3"/>
    <n v="1"/>
    <n v="3"/>
    <n v="3"/>
    <x v="6"/>
    <n v="1"/>
    <n v="0"/>
    <n v="0"/>
    <x v="2"/>
    <x v="1"/>
    <s v="Resigned"/>
    <x v="1"/>
  </r>
  <r>
    <n v="22"/>
    <x v="1"/>
    <s v="Non Travel"/>
    <n v="457"/>
    <x v="1"/>
    <n v="26"/>
    <n v="2"/>
    <s v="Other"/>
    <n v="1"/>
    <x v="1137"/>
    <n v="2"/>
    <x v="0"/>
    <n v="85"/>
    <n v="2"/>
    <n v="1"/>
    <x v="1"/>
    <n v="3"/>
    <s v="Married"/>
    <n v="2814"/>
    <n v="10293"/>
    <n v="1"/>
    <s v="Y"/>
    <s v="Yes"/>
    <n v="14"/>
    <n v="3"/>
    <n v="2"/>
    <n v="80"/>
    <n v="0"/>
    <n v="4"/>
    <n v="2"/>
    <n v="2"/>
    <x v="9"/>
    <n v="2"/>
    <n v="1"/>
    <n v="3"/>
    <x v="2"/>
    <x v="1"/>
    <s v="Active"/>
    <x v="4"/>
  </r>
  <r>
    <n v="50"/>
    <x v="1"/>
    <s v="Travel Frequently"/>
    <n v="1234"/>
    <x v="1"/>
    <n v="20"/>
    <n v="5"/>
    <s v="Medical"/>
    <n v="1"/>
    <x v="1138"/>
    <n v="2"/>
    <x v="1"/>
    <n v="41"/>
    <n v="3"/>
    <n v="4"/>
    <x v="4"/>
    <n v="3"/>
    <s v="Married"/>
    <n v="11245"/>
    <n v="20689"/>
    <n v="2"/>
    <s v="Y"/>
    <s v="Yes"/>
    <n v="15"/>
    <n v="3"/>
    <n v="3"/>
    <n v="80"/>
    <n v="1"/>
    <n v="32"/>
    <n v="3"/>
    <n v="3"/>
    <x v="35"/>
    <n v="8"/>
    <n v="12"/>
    <n v="13"/>
    <x v="0"/>
    <x v="2"/>
    <s v="Active"/>
    <x v="0"/>
  </r>
  <r>
    <n v="32"/>
    <x v="1"/>
    <s v="Travel Rarely"/>
    <n v="634"/>
    <x v="1"/>
    <n v="5"/>
    <n v="4"/>
    <s v="Other"/>
    <n v="1"/>
    <x v="1139"/>
    <n v="2"/>
    <x v="0"/>
    <n v="35"/>
    <n v="4"/>
    <n v="1"/>
    <x v="1"/>
    <n v="4"/>
    <s v="Married"/>
    <n v="3312"/>
    <n v="18783"/>
    <n v="3"/>
    <s v="Y"/>
    <s v="No"/>
    <n v="17"/>
    <n v="3"/>
    <n v="4"/>
    <n v="80"/>
    <n v="2"/>
    <n v="6"/>
    <n v="3"/>
    <n v="3"/>
    <x v="11"/>
    <n v="2"/>
    <n v="0"/>
    <n v="2"/>
    <x v="1"/>
    <x v="1"/>
    <s v="Active"/>
    <x v="5"/>
  </r>
  <r>
    <n v="44"/>
    <x v="1"/>
    <s v="Travel Rarely"/>
    <n v="1313"/>
    <x v="1"/>
    <n v="7"/>
    <n v="3"/>
    <s v="Medical"/>
    <n v="1"/>
    <x v="1140"/>
    <n v="2"/>
    <x v="0"/>
    <n v="31"/>
    <n v="3"/>
    <n v="5"/>
    <x v="7"/>
    <n v="4"/>
    <s v="Divorced"/>
    <n v="19049"/>
    <n v="3549"/>
    <n v="0"/>
    <s v="Y"/>
    <s v="Yes"/>
    <n v="14"/>
    <n v="3"/>
    <n v="4"/>
    <n v="80"/>
    <n v="1"/>
    <n v="23"/>
    <n v="4"/>
    <n v="2"/>
    <x v="14"/>
    <n v="7"/>
    <n v="1"/>
    <n v="10"/>
    <x v="0"/>
    <x v="2"/>
    <s v="Active"/>
    <x v="0"/>
  </r>
  <r>
    <n v="30"/>
    <x v="1"/>
    <s v="Travel Rarely"/>
    <n v="241"/>
    <x v="1"/>
    <n v="7"/>
    <n v="3"/>
    <s v="Medical"/>
    <n v="1"/>
    <x v="1141"/>
    <n v="2"/>
    <x v="1"/>
    <n v="48"/>
    <n v="2"/>
    <n v="1"/>
    <x v="1"/>
    <n v="2"/>
    <s v="Married"/>
    <n v="2141"/>
    <n v="5348"/>
    <n v="1"/>
    <s v="Y"/>
    <s v="No"/>
    <n v="12"/>
    <n v="3"/>
    <n v="2"/>
    <n v="80"/>
    <n v="1"/>
    <n v="6"/>
    <n v="3"/>
    <n v="2"/>
    <x v="0"/>
    <n v="4"/>
    <n v="1"/>
    <n v="1"/>
    <x v="1"/>
    <x v="1"/>
    <s v="Active"/>
    <x v="0"/>
  </r>
  <r>
    <n v="45"/>
    <x v="1"/>
    <s v="Travel Rarely"/>
    <n v="1015"/>
    <x v="1"/>
    <n v="5"/>
    <n v="5"/>
    <s v="Medical"/>
    <n v="1"/>
    <x v="1142"/>
    <n v="3"/>
    <x v="0"/>
    <n v="50"/>
    <n v="1"/>
    <n v="2"/>
    <x v="2"/>
    <n v="1"/>
    <s v="Single"/>
    <n v="5769"/>
    <n v="23447"/>
    <n v="1"/>
    <s v="Y"/>
    <s v="Yes"/>
    <n v="14"/>
    <n v="3"/>
    <n v="1"/>
    <n v="80"/>
    <n v="0"/>
    <n v="10"/>
    <n v="3"/>
    <n v="3"/>
    <x v="1"/>
    <n v="7"/>
    <n v="1"/>
    <n v="4"/>
    <x v="0"/>
    <x v="0"/>
    <s v="Active"/>
    <x v="0"/>
  </r>
  <r>
    <n v="45"/>
    <x v="1"/>
    <s v="Non Travel"/>
    <n v="336"/>
    <x v="0"/>
    <n v="26"/>
    <n v="3"/>
    <s v="Marketing"/>
    <n v="1"/>
    <x v="1143"/>
    <n v="1"/>
    <x v="1"/>
    <n v="52"/>
    <n v="2"/>
    <n v="2"/>
    <x v="0"/>
    <n v="1"/>
    <s v="Married"/>
    <n v="4385"/>
    <n v="24162"/>
    <n v="1"/>
    <s v="Y"/>
    <s v="No"/>
    <n v="15"/>
    <n v="3"/>
    <n v="1"/>
    <n v="80"/>
    <n v="1"/>
    <n v="10"/>
    <n v="2"/>
    <n v="3"/>
    <x v="1"/>
    <n v="7"/>
    <n v="4"/>
    <n v="5"/>
    <x v="0"/>
    <x v="1"/>
    <s v="Active"/>
    <x v="0"/>
  </r>
  <r>
    <n v="31"/>
    <x v="1"/>
    <s v="Travel Frequently"/>
    <n v="715"/>
    <x v="0"/>
    <n v="2"/>
    <n v="4"/>
    <s v="Other"/>
    <n v="1"/>
    <x v="1144"/>
    <n v="4"/>
    <x v="1"/>
    <n v="54"/>
    <n v="3"/>
    <n v="2"/>
    <x v="0"/>
    <n v="1"/>
    <s v="Single"/>
    <n v="5332"/>
    <n v="21602"/>
    <n v="7"/>
    <s v="Y"/>
    <s v="No"/>
    <n v="13"/>
    <n v="3"/>
    <n v="4"/>
    <n v="80"/>
    <n v="0"/>
    <n v="10"/>
    <n v="3"/>
    <n v="3"/>
    <x v="8"/>
    <n v="2"/>
    <n v="0"/>
    <n v="3"/>
    <x v="1"/>
    <x v="0"/>
    <s v="Active"/>
    <x v="3"/>
  </r>
  <r>
    <n v="36"/>
    <x v="1"/>
    <s v="Travel Rarely"/>
    <n v="559"/>
    <x v="1"/>
    <n v="12"/>
    <n v="4"/>
    <s v="Life Sciences"/>
    <n v="1"/>
    <x v="1145"/>
    <n v="3"/>
    <x v="0"/>
    <n v="76"/>
    <n v="3"/>
    <n v="2"/>
    <x v="3"/>
    <n v="3"/>
    <s v="Married"/>
    <n v="4663"/>
    <n v="12421"/>
    <n v="9"/>
    <s v="Y"/>
    <s v="Yes"/>
    <n v="12"/>
    <n v="3"/>
    <n v="2"/>
    <n v="80"/>
    <n v="2"/>
    <n v="7"/>
    <n v="2"/>
    <n v="3"/>
    <x v="11"/>
    <n v="2"/>
    <n v="1"/>
    <n v="1"/>
    <x v="1"/>
    <x v="1"/>
    <s v="Active"/>
    <x v="5"/>
  </r>
  <r>
    <n v="34"/>
    <x v="1"/>
    <s v="Travel Frequently"/>
    <n v="426"/>
    <x v="1"/>
    <n v="10"/>
    <n v="4"/>
    <s v="Life Sciences"/>
    <n v="1"/>
    <x v="1146"/>
    <n v="3"/>
    <x v="1"/>
    <n v="42"/>
    <n v="4"/>
    <n v="2"/>
    <x v="3"/>
    <n v="4"/>
    <s v="Divorced"/>
    <n v="4724"/>
    <n v="17000"/>
    <n v="1"/>
    <s v="Y"/>
    <s v="No"/>
    <n v="13"/>
    <n v="3"/>
    <n v="1"/>
    <n v="80"/>
    <n v="1"/>
    <n v="9"/>
    <n v="3"/>
    <n v="3"/>
    <x v="7"/>
    <n v="7"/>
    <n v="7"/>
    <n v="2"/>
    <x v="1"/>
    <x v="1"/>
    <s v="Active"/>
    <x v="0"/>
  </r>
  <r>
    <n v="49"/>
    <x v="1"/>
    <s v="Travel Rarely"/>
    <n v="722"/>
    <x v="1"/>
    <n v="25"/>
    <n v="4"/>
    <s v="Life Sciences"/>
    <n v="1"/>
    <x v="1147"/>
    <n v="3"/>
    <x v="0"/>
    <n v="84"/>
    <n v="3"/>
    <n v="1"/>
    <x v="2"/>
    <n v="1"/>
    <s v="Married"/>
    <n v="3211"/>
    <n v="22102"/>
    <n v="1"/>
    <s v="Y"/>
    <s v="No"/>
    <n v="14"/>
    <n v="3"/>
    <n v="4"/>
    <n v="80"/>
    <n v="1"/>
    <n v="10"/>
    <n v="3"/>
    <n v="2"/>
    <x v="7"/>
    <n v="6"/>
    <n v="1"/>
    <n v="4"/>
    <x v="0"/>
    <x v="1"/>
    <s v="Active"/>
    <x v="0"/>
  </r>
  <r>
    <n v="39"/>
    <x v="1"/>
    <s v="Travel Rarely"/>
    <n v="1387"/>
    <x v="1"/>
    <n v="10"/>
    <n v="5"/>
    <s v="Medical"/>
    <n v="1"/>
    <x v="1148"/>
    <n v="2"/>
    <x v="1"/>
    <n v="76"/>
    <n v="3"/>
    <n v="2"/>
    <x v="3"/>
    <n v="1"/>
    <s v="Married"/>
    <n v="5377"/>
    <n v="3835"/>
    <n v="2"/>
    <s v="Y"/>
    <s v="No"/>
    <n v="13"/>
    <n v="3"/>
    <n v="4"/>
    <n v="80"/>
    <n v="3"/>
    <n v="10"/>
    <n v="3"/>
    <n v="3"/>
    <x v="5"/>
    <n v="7"/>
    <n v="7"/>
    <n v="7"/>
    <x v="1"/>
    <x v="0"/>
    <s v="Active"/>
    <x v="0"/>
  </r>
  <r>
    <n v="27"/>
    <x v="1"/>
    <s v="Travel Rarely"/>
    <n v="1302"/>
    <x v="1"/>
    <n v="19"/>
    <n v="3"/>
    <s v="Other"/>
    <n v="1"/>
    <x v="1149"/>
    <n v="4"/>
    <x v="1"/>
    <n v="67"/>
    <n v="2"/>
    <n v="1"/>
    <x v="2"/>
    <n v="1"/>
    <s v="Divorced"/>
    <n v="4066"/>
    <n v="16290"/>
    <n v="1"/>
    <s v="Y"/>
    <s v="No"/>
    <n v="11"/>
    <n v="3"/>
    <n v="1"/>
    <n v="80"/>
    <n v="2"/>
    <n v="7"/>
    <n v="3"/>
    <n v="3"/>
    <x v="5"/>
    <n v="7"/>
    <n v="0"/>
    <n v="7"/>
    <x v="2"/>
    <x v="1"/>
    <s v="Active"/>
    <x v="0"/>
  </r>
  <r>
    <n v="35"/>
    <x v="1"/>
    <s v="Travel Rarely"/>
    <n v="819"/>
    <x v="1"/>
    <n v="18"/>
    <n v="5"/>
    <s v="Life Sciences"/>
    <n v="1"/>
    <x v="1150"/>
    <n v="2"/>
    <x v="1"/>
    <n v="48"/>
    <n v="4"/>
    <n v="2"/>
    <x v="1"/>
    <n v="1"/>
    <s v="Married"/>
    <n v="5208"/>
    <n v="26312"/>
    <n v="1"/>
    <s v="Y"/>
    <s v="No"/>
    <n v="11"/>
    <n v="3"/>
    <n v="4"/>
    <n v="80"/>
    <n v="0"/>
    <n v="16"/>
    <n v="2"/>
    <n v="3"/>
    <x v="22"/>
    <n v="15"/>
    <n v="1"/>
    <n v="10"/>
    <x v="1"/>
    <x v="0"/>
    <s v="Active"/>
    <x v="0"/>
  </r>
  <r>
    <n v="28"/>
    <x v="1"/>
    <s v="Travel Rarely"/>
    <n v="580"/>
    <x v="1"/>
    <n v="27"/>
    <n v="3"/>
    <s v="Medical"/>
    <n v="1"/>
    <x v="1151"/>
    <n v="2"/>
    <x v="0"/>
    <n v="39"/>
    <n v="1"/>
    <n v="2"/>
    <x v="3"/>
    <n v="1"/>
    <s v="Divorced"/>
    <n v="4877"/>
    <n v="20460"/>
    <n v="0"/>
    <s v="Y"/>
    <s v="No"/>
    <n v="21"/>
    <n v="4"/>
    <n v="2"/>
    <n v="80"/>
    <n v="1"/>
    <n v="6"/>
    <n v="5"/>
    <n v="2"/>
    <x v="8"/>
    <n v="3"/>
    <n v="0"/>
    <n v="0"/>
    <x v="2"/>
    <x v="1"/>
    <s v="Active"/>
    <x v="3"/>
  </r>
  <r>
    <n v="21"/>
    <x v="1"/>
    <s v="Travel Rarely"/>
    <n v="546"/>
    <x v="1"/>
    <n v="5"/>
    <n v="1"/>
    <s v="Medical"/>
    <n v="1"/>
    <x v="1152"/>
    <n v="3"/>
    <x v="1"/>
    <n v="97"/>
    <n v="3"/>
    <n v="1"/>
    <x v="1"/>
    <n v="4"/>
    <s v="Single"/>
    <n v="3117"/>
    <n v="26009"/>
    <n v="1"/>
    <s v="Y"/>
    <s v="No"/>
    <n v="18"/>
    <n v="3"/>
    <n v="3"/>
    <n v="80"/>
    <n v="0"/>
    <n v="3"/>
    <n v="2"/>
    <n v="3"/>
    <x v="4"/>
    <n v="2"/>
    <n v="2"/>
    <n v="2"/>
    <x v="2"/>
    <x v="1"/>
    <s v="Active"/>
    <x v="2"/>
  </r>
  <r>
    <n v="18"/>
    <x v="0"/>
    <s v="Travel Frequently"/>
    <n v="544"/>
    <x v="0"/>
    <n v="3"/>
    <n v="2"/>
    <s v="Medical"/>
    <n v="1"/>
    <x v="1153"/>
    <n v="2"/>
    <x v="0"/>
    <n v="70"/>
    <n v="3"/>
    <n v="1"/>
    <x v="6"/>
    <n v="4"/>
    <s v="Single"/>
    <n v="1569"/>
    <n v="18420"/>
    <n v="1"/>
    <s v="Y"/>
    <s v="Yes"/>
    <n v="12"/>
    <n v="3"/>
    <n v="3"/>
    <n v="80"/>
    <n v="0"/>
    <n v="0"/>
    <n v="2"/>
    <n v="4"/>
    <x v="2"/>
    <n v="0"/>
    <n v="0"/>
    <n v="0"/>
    <x v="2"/>
    <x v="1"/>
    <s v="Resigned"/>
    <x v="1"/>
  </r>
  <r>
    <n v="47"/>
    <x v="1"/>
    <s v="Travel Rarely"/>
    <n v="1176"/>
    <x v="2"/>
    <n v="26"/>
    <n v="4"/>
    <s v="Life Sciences"/>
    <n v="1"/>
    <x v="1154"/>
    <n v="4"/>
    <x v="0"/>
    <n v="98"/>
    <n v="3"/>
    <n v="5"/>
    <x v="5"/>
    <n v="3"/>
    <s v="Married"/>
    <n v="19658"/>
    <n v="5220"/>
    <n v="3"/>
    <s v="Y"/>
    <s v="No"/>
    <n v="11"/>
    <n v="3"/>
    <n v="3"/>
    <n v="80"/>
    <n v="1"/>
    <n v="27"/>
    <n v="2"/>
    <n v="3"/>
    <x v="8"/>
    <n v="2"/>
    <n v="1"/>
    <n v="0"/>
    <x v="0"/>
    <x v="2"/>
    <s v="Active"/>
    <x v="3"/>
  </r>
  <r>
    <n v="39"/>
    <x v="1"/>
    <s v="Travel Rarely"/>
    <n v="170"/>
    <x v="1"/>
    <n v="3"/>
    <n v="2"/>
    <s v="Medical"/>
    <n v="1"/>
    <x v="1155"/>
    <n v="3"/>
    <x v="1"/>
    <n v="76"/>
    <n v="2"/>
    <n v="2"/>
    <x v="2"/>
    <n v="3"/>
    <s v="Divorced"/>
    <n v="3069"/>
    <n v="10302"/>
    <n v="0"/>
    <s v="Y"/>
    <s v="No"/>
    <n v="15"/>
    <n v="3"/>
    <n v="4"/>
    <n v="80"/>
    <n v="1"/>
    <n v="11"/>
    <n v="3"/>
    <n v="3"/>
    <x v="1"/>
    <n v="8"/>
    <n v="0"/>
    <n v="7"/>
    <x v="1"/>
    <x v="1"/>
    <s v="Active"/>
    <x v="0"/>
  </r>
  <r>
    <n v="40"/>
    <x v="1"/>
    <s v="Travel Rarely"/>
    <n v="884"/>
    <x v="1"/>
    <n v="15"/>
    <n v="3"/>
    <s v="Life Sciences"/>
    <n v="1"/>
    <x v="1156"/>
    <n v="1"/>
    <x v="0"/>
    <n v="80"/>
    <n v="2"/>
    <n v="3"/>
    <x v="3"/>
    <n v="3"/>
    <s v="Married"/>
    <n v="10435"/>
    <n v="25800"/>
    <n v="1"/>
    <s v="Y"/>
    <s v="No"/>
    <n v="13"/>
    <n v="3"/>
    <n v="4"/>
    <n v="80"/>
    <n v="2"/>
    <n v="18"/>
    <n v="2"/>
    <n v="3"/>
    <x v="29"/>
    <n v="15"/>
    <n v="14"/>
    <n v="12"/>
    <x v="1"/>
    <x v="2"/>
    <s v="Active"/>
    <x v="0"/>
  </r>
  <r>
    <n v="35"/>
    <x v="1"/>
    <s v="Non Travel"/>
    <n v="208"/>
    <x v="1"/>
    <n v="8"/>
    <n v="4"/>
    <s v="Life Sciences"/>
    <n v="1"/>
    <x v="1157"/>
    <n v="3"/>
    <x v="0"/>
    <n v="52"/>
    <n v="3"/>
    <n v="2"/>
    <x v="4"/>
    <n v="3"/>
    <s v="Married"/>
    <n v="4148"/>
    <n v="12250"/>
    <n v="1"/>
    <s v="Y"/>
    <s v="No"/>
    <n v="12"/>
    <n v="3"/>
    <n v="4"/>
    <n v="80"/>
    <n v="1"/>
    <n v="15"/>
    <n v="5"/>
    <n v="3"/>
    <x v="13"/>
    <n v="11"/>
    <n v="2"/>
    <n v="9"/>
    <x v="1"/>
    <x v="1"/>
    <s v="Active"/>
    <x v="0"/>
  </r>
  <r>
    <n v="37"/>
    <x v="1"/>
    <s v="Travel Rarely"/>
    <n v="671"/>
    <x v="1"/>
    <n v="19"/>
    <n v="3"/>
    <s v="Life Sciences"/>
    <n v="1"/>
    <x v="1158"/>
    <n v="3"/>
    <x v="1"/>
    <n v="85"/>
    <n v="3"/>
    <n v="2"/>
    <x v="3"/>
    <n v="3"/>
    <s v="Married"/>
    <n v="5768"/>
    <n v="26493"/>
    <n v="3"/>
    <s v="Y"/>
    <s v="No"/>
    <n v="17"/>
    <n v="3"/>
    <n v="1"/>
    <n v="80"/>
    <n v="3"/>
    <n v="9"/>
    <n v="2"/>
    <n v="2"/>
    <x v="9"/>
    <n v="3"/>
    <n v="0"/>
    <n v="2"/>
    <x v="1"/>
    <x v="0"/>
    <s v="Active"/>
    <x v="4"/>
  </r>
  <r>
    <n v="39"/>
    <x v="1"/>
    <s v="Travel Frequently"/>
    <n v="711"/>
    <x v="1"/>
    <n v="4"/>
    <n v="3"/>
    <s v="Medical"/>
    <n v="1"/>
    <x v="1159"/>
    <n v="1"/>
    <x v="0"/>
    <n v="81"/>
    <n v="3"/>
    <n v="2"/>
    <x v="3"/>
    <n v="3"/>
    <s v="Single"/>
    <n v="5042"/>
    <n v="3140"/>
    <n v="0"/>
    <s v="Y"/>
    <s v="No"/>
    <n v="13"/>
    <n v="3"/>
    <n v="4"/>
    <n v="80"/>
    <n v="0"/>
    <n v="10"/>
    <n v="2"/>
    <n v="1"/>
    <x v="7"/>
    <n v="2"/>
    <n v="3"/>
    <n v="8"/>
    <x v="1"/>
    <x v="0"/>
    <s v="Active"/>
    <x v="0"/>
  </r>
  <r>
    <n v="45"/>
    <x v="1"/>
    <s v="Travel Rarely"/>
    <n v="1329"/>
    <x v="1"/>
    <n v="2"/>
    <n v="2"/>
    <s v="Other"/>
    <n v="1"/>
    <x v="1160"/>
    <n v="4"/>
    <x v="0"/>
    <n v="59"/>
    <n v="2"/>
    <n v="2"/>
    <x v="3"/>
    <n v="4"/>
    <s v="Divorced"/>
    <n v="5770"/>
    <n v="5388"/>
    <n v="1"/>
    <s v="Y"/>
    <s v="No"/>
    <n v="19"/>
    <n v="3"/>
    <n v="1"/>
    <n v="80"/>
    <n v="2"/>
    <n v="10"/>
    <n v="3"/>
    <n v="3"/>
    <x v="1"/>
    <n v="7"/>
    <n v="3"/>
    <n v="9"/>
    <x v="0"/>
    <x v="0"/>
    <s v="Active"/>
    <x v="0"/>
  </r>
  <r>
    <n v="38"/>
    <x v="1"/>
    <s v="Travel Rarely"/>
    <n v="397"/>
    <x v="1"/>
    <n v="2"/>
    <n v="2"/>
    <s v="Medical"/>
    <n v="1"/>
    <x v="1161"/>
    <n v="4"/>
    <x v="0"/>
    <n v="54"/>
    <n v="2"/>
    <n v="3"/>
    <x v="3"/>
    <n v="3"/>
    <s v="Married"/>
    <n v="7756"/>
    <n v="14199"/>
    <n v="3"/>
    <s v="Y"/>
    <s v="Yes"/>
    <n v="19"/>
    <n v="3"/>
    <n v="4"/>
    <n v="80"/>
    <n v="1"/>
    <n v="10"/>
    <n v="6"/>
    <n v="4"/>
    <x v="8"/>
    <n v="4"/>
    <n v="0"/>
    <n v="2"/>
    <x v="1"/>
    <x v="0"/>
    <s v="Active"/>
    <x v="3"/>
  </r>
  <r>
    <n v="35"/>
    <x v="0"/>
    <s v="Travel Rarely"/>
    <n v="737"/>
    <x v="0"/>
    <n v="10"/>
    <n v="3"/>
    <s v="Medical"/>
    <n v="1"/>
    <x v="1162"/>
    <n v="4"/>
    <x v="1"/>
    <n v="55"/>
    <n v="2"/>
    <n v="3"/>
    <x v="0"/>
    <n v="1"/>
    <s v="Married"/>
    <n v="10306"/>
    <n v="21530"/>
    <n v="9"/>
    <s v="Y"/>
    <s v="No"/>
    <n v="17"/>
    <n v="3"/>
    <n v="3"/>
    <n v="80"/>
    <n v="0"/>
    <n v="15"/>
    <n v="3"/>
    <n v="3"/>
    <x v="20"/>
    <n v="12"/>
    <n v="6"/>
    <n v="0"/>
    <x v="1"/>
    <x v="2"/>
    <s v="Resigned"/>
    <x v="0"/>
  </r>
  <r>
    <n v="37"/>
    <x v="1"/>
    <s v="Travel Rarely"/>
    <n v="1470"/>
    <x v="1"/>
    <n v="10"/>
    <n v="3"/>
    <s v="Medical"/>
    <n v="1"/>
    <x v="1163"/>
    <n v="2"/>
    <x v="0"/>
    <n v="71"/>
    <n v="3"/>
    <n v="1"/>
    <x v="1"/>
    <n v="2"/>
    <s v="Married"/>
    <n v="3936"/>
    <n v="9953"/>
    <n v="1"/>
    <s v="Y"/>
    <s v="No"/>
    <n v="11"/>
    <n v="3"/>
    <n v="1"/>
    <n v="80"/>
    <n v="1"/>
    <n v="8"/>
    <n v="2"/>
    <n v="1"/>
    <x v="3"/>
    <n v="4"/>
    <n v="7"/>
    <n v="7"/>
    <x v="1"/>
    <x v="1"/>
    <s v="Active"/>
    <x v="0"/>
  </r>
  <r>
    <n v="40"/>
    <x v="1"/>
    <s v="Travel Rarely"/>
    <n v="448"/>
    <x v="1"/>
    <n v="16"/>
    <n v="3"/>
    <s v="Life Sciences"/>
    <n v="1"/>
    <x v="1164"/>
    <n v="3"/>
    <x v="0"/>
    <n v="84"/>
    <n v="3"/>
    <n v="3"/>
    <x v="3"/>
    <n v="4"/>
    <s v="Single"/>
    <n v="7945"/>
    <n v="19948"/>
    <n v="6"/>
    <s v="Y"/>
    <s v="Yes"/>
    <n v="15"/>
    <n v="3"/>
    <n v="4"/>
    <n v="80"/>
    <n v="0"/>
    <n v="18"/>
    <n v="2"/>
    <n v="2"/>
    <x v="9"/>
    <n v="2"/>
    <n v="3"/>
    <n v="3"/>
    <x v="1"/>
    <x v="0"/>
    <s v="Active"/>
    <x v="4"/>
  </r>
  <r>
    <n v="44"/>
    <x v="1"/>
    <s v="Travel Frequently"/>
    <n v="602"/>
    <x v="2"/>
    <n v="1"/>
    <n v="5"/>
    <s v="Human Resources"/>
    <n v="1"/>
    <x v="1165"/>
    <n v="1"/>
    <x v="1"/>
    <n v="37"/>
    <n v="3"/>
    <n v="2"/>
    <x v="8"/>
    <n v="4"/>
    <s v="Married"/>
    <n v="5743"/>
    <n v="10503"/>
    <n v="4"/>
    <s v="Y"/>
    <s v="Yes"/>
    <n v="11"/>
    <n v="3"/>
    <n v="3"/>
    <n v="80"/>
    <n v="0"/>
    <n v="14"/>
    <n v="3"/>
    <n v="3"/>
    <x v="1"/>
    <n v="7"/>
    <n v="0"/>
    <n v="2"/>
    <x v="0"/>
    <x v="0"/>
    <s v="Active"/>
    <x v="0"/>
  </r>
  <r>
    <n v="48"/>
    <x v="1"/>
    <s v="Travel Frequently"/>
    <n v="365"/>
    <x v="1"/>
    <n v="4"/>
    <n v="5"/>
    <s v="Medical"/>
    <n v="1"/>
    <x v="1166"/>
    <n v="3"/>
    <x v="1"/>
    <n v="89"/>
    <n v="2"/>
    <n v="4"/>
    <x v="5"/>
    <n v="4"/>
    <s v="Married"/>
    <n v="15202"/>
    <n v="5602"/>
    <n v="2"/>
    <s v="Y"/>
    <s v="No"/>
    <n v="25"/>
    <n v="4"/>
    <n v="2"/>
    <n v="80"/>
    <n v="1"/>
    <n v="23"/>
    <n v="3"/>
    <n v="3"/>
    <x v="4"/>
    <n v="2"/>
    <n v="2"/>
    <n v="2"/>
    <x v="0"/>
    <x v="2"/>
    <s v="Active"/>
    <x v="2"/>
  </r>
  <r>
    <n v="35"/>
    <x v="0"/>
    <s v="Travel Rarely"/>
    <n v="763"/>
    <x v="0"/>
    <n v="15"/>
    <n v="2"/>
    <s v="Medical"/>
    <n v="1"/>
    <x v="1167"/>
    <n v="1"/>
    <x v="1"/>
    <n v="59"/>
    <n v="1"/>
    <n v="2"/>
    <x v="0"/>
    <n v="4"/>
    <s v="Divorced"/>
    <n v="5440"/>
    <n v="22098"/>
    <n v="6"/>
    <s v="Y"/>
    <s v="Yes"/>
    <n v="14"/>
    <n v="3"/>
    <n v="4"/>
    <n v="80"/>
    <n v="2"/>
    <n v="7"/>
    <n v="2"/>
    <n v="2"/>
    <x v="4"/>
    <n v="2"/>
    <n v="2"/>
    <n v="2"/>
    <x v="1"/>
    <x v="0"/>
    <s v="Resigned"/>
    <x v="2"/>
  </r>
  <r>
    <n v="24"/>
    <x v="1"/>
    <s v="Travel Frequently"/>
    <n v="567"/>
    <x v="1"/>
    <n v="2"/>
    <n v="1"/>
    <s v="Technical Degree"/>
    <n v="1"/>
    <x v="1168"/>
    <n v="1"/>
    <x v="0"/>
    <n v="32"/>
    <n v="3"/>
    <n v="1"/>
    <x v="1"/>
    <n v="4"/>
    <s v="Single"/>
    <n v="3760"/>
    <n v="17218"/>
    <n v="1"/>
    <s v="Y"/>
    <s v="Yes"/>
    <n v="13"/>
    <n v="3"/>
    <n v="3"/>
    <n v="80"/>
    <n v="0"/>
    <n v="6"/>
    <n v="2"/>
    <n v="3"/>
    <x v="0"/>
    <n v="3"/>
    <n v="1"/>
    <n v="3"/>
    <x v="2"/>
    <x v="1"/>
    <s v="Active"/>
    <x v="0"/>
  </r>
  <r>
    <n v="27"/>
    <x v="1"/>
    <s v="Travel Rarely"/>
    <n v="486"/>
    <x v="1"/>
    <n v="8"/>
    <n v="3"/>
    <s v="Medical"/>
    <n v="1"/>
    <x v="1169"/>
    <n v="2"/>
    <x v="0"/>
    <n v="86"/>
    <n v="4"/>
    <n v="1"/>
    <x v="1"/>
    <n v="3"/>
    <s v="Married"/>
    <n v="3517"/>
    <n v="22490"/>
    <n v="7"/>
    <s v="Y"/>
    <s v="No"/>
    <n v="17"/>
    <n v="3"/>
    <n v="1"/>
    <n v="80"/>
    <n v="0"/>
    <n v="5"/>
    <n v="0"/>
    <n v="3"/>
    <x v="11"/>
    <n v="2"/>
    <n v="0"/>
    <n v="2"/>
    <x v="2"/>
    <x v="1"/>
    <s v="Active"/>
    <x v="5"/>
  </r>
  <r>
    <n v="27"/>
    <x v="1"/>
    <s v="Travel Frequently"/>
    <n v="591"/>
    <x v="1"/>
    <n v="2"/>
    <n v="3"/>
    <s v="Medical"/>
    <n v="1"/>
    <x v="1170"/>
    <n v="4"/>
    <x v="1"/>
    <n v="87"/>
    <n v="3"/>
    <n v="1"/>
    <x v="1"/>
    <n v="4"/>
    <s v="Single"/>
    <n v="2580"/>
    <n v="6297"/>
    <n v="2"/>
    <s v="Y"/>
    <s v="No"/>
    <n v="13"/>
    <n v="3"/>
    <n v="3"/>
    <n v="80"/>
    <n v="0"/>
    <n v="6"/>
    <n v="0"/>
    <n v="2"/>
    <x v="9"/>
    <n v="2"/>
    <n v="1"/>
    <n v="2"/>
    <x v="2"/>
    <x v="1"/>
    <s v="Active"/>
    <x v="4"/>
  </r>
  <r>
    <n v="40"/>
    <x v="0"/>
    <s v="Travel Rarely"/>
    <n v="1329"/>
    <x v="1"/>
    <n v="7"/>
    <n v="3"/>
    <s v="Life Sciences"/>
    <n v="1"/>
    <x v="1171"/>
    <n v="1"/>
    <x v="1"/>
    <n v="73"/>
    <n v="3"/>
    <n v="1"/>
    <x v="2"/>
    <n v="1"/>
    <s v="Single"/>
    <n v="2166"/>
    <n v="3339"/>
    <n v="3"/>
    <s v="Y"/>
    <s v="Yes"/>
    <n v="14"/>
    <n v="3"/>
    <n v="2"/>
    <n v="80"/>
    <n v="0"/>
    <n v="10"/>
    <n v="3"/>
    <n v="1"/>
    <x v="9"/>
    <n v="2"/>
    <n v="0"/>
    <n v="3"/>
    <x v="1"/>
    <x v="1"/>
    <s v="Resigned"/>
    <x v="4"/>
  </r>
  <r>
    <n v="29"/>
    <x v="1"/>
    <s v="Travel Rarely"/>
    <n v="469"/>
    <x v="0"/>
    <n v="10"/>
    <n v="3"/>
    <s v="Medical"/>
    <n v="1"/>
    <x v="1172"/>
    <n v="3"/>
    <x v="1"/>
    <n v="42"/>
    <n v="2"/>
    <n v="2"/>
    <x v="0"/>
    <n v="3"/>
    <s v="Single"/>
    <n v="5869"/>
    <n v="23413"/>
    <n v="9"/>
    <s v="Y"/>
    <s v="No"/>
    <n v="11"/>
    <n v="3"/>
    <n v="3"/>
    <n v="80"/>
    <n v="0"/>
    <n v="8"/>
    <n v="2"/>
    <n v="3"/>
    <x v="8"/>
    <n v="2"/>
    <n v="1"/>
    <n v="4"/>
    <x v="2"/>
    <x v="0"/>
    <s v="Active"/>
    <x v="3"/>
  </r>
  <r>
    <n v="36"/>
    <x v="1"/>
    <s v="Travel Rarely"/>
    <n v="711"/>
    <x v="1"/>
    <n v="5"/>
    <n v="4"/>
    <s v="Life Sciences"/>
    <n v="1"/>
    <x v="1173"/>
    <n v="2"/>
    <x v="0"/>
    <n v="42"/>
    <n v="3"/>
    <n v="3"/>
    <x v="4"/>
    <n v="1"/>
    <s v="Married"/>
    <n v="8008"/>
    <n v="22792"/>
    <n v="4"/>
    <s v="Y"/>
    <s v="No"/>
    <n v="12"/>
    <n v="3"/>
    <n v="3"/>
    <n v="80"/>
    <n v="2"/>
    <n v="9"/>
    <n v="6"/>
    <n v="3"/>
    <x v="11"/>
    <n v="2"/>
    <n v="0"/>
    <n v="2"/>
    <x v="1"/>
    <x v="0"/>
    <s v="Active"/>
    <x v="5"/>
  </r>
  <r>
    <n v="25"/>
    <x v="1"/>
    <s v="Travel Frequently"/>
    <n v="772"/>
    <x v="1"/>
    <n v="2"/>
    <n v="1"/>
    <s v="Life Sciences"/>
    <n v="1"/>
    <x v="1174"/>
    <n v="4"/>
    <x v="1"/>
    <n v="77"/>
    <n v="4"/>
    <n v="2"/>
    <x v="3"/>
    <n v="3"/>
    <s v="Divorced"/>
    <n v="5206"/>
    <n v="4973"/>
    <n v="1"/>
    <s v="Y"/>
    <s v="No"/>
    <n v="17"/>
    <n v="3"/>
    <n v="3"/>
    <n v="80"/>
    <n v="2"/>
    <n v="7"/>
    <n v="6"/>
    <n v="3"/>
    <x v="5"/>
    <n v="7"/>
    <n v="0"/>
    <n v="7"/>
    <x v="2"/>
    <x v="0"/>
    <s v="Active"/>
    <x v="0"/>
  </r>
  <r>
    <n v="39"/>
    <x v="1"/>
    <s v="Travel Rarely"/>
    <n v="492"/>
    <x v="1"/>
    <n v="12"/>
    <n v="3"/>
    <s v="Medical"/>
    <n v="1"/>
    <x v="1175"/>
    <n v="4"/>
    <x v="1"/>
    <n v="66"/>
    <n v="3"/>
    <n v="2"/>
    <x v="3"/>
    <n v="2"/>
    <s v="Married"/>
    <n v="5295"/>
    <n v="7693"/>
    <n v="4"/>
    <s v="Y"/>
    <s v="No"/>
    <n v="21"/>
    <n v="4"/>
    <n v="3"/>
    <n v="80"/>
    <n v="0"/>
    <n v="7"/>
    <n v="3"/>
    <n v="3"/>
    <x v="8"/>
    <n v="4"/>
    <n v="1"/>
    <n v="0"/>
    <x v="1"/>
    <x v="0"/>
    <s v="Active"/>
    <x v="3"/>
  </r>
  <r>
    <n v="49"/>
    <x v="1"/>
    <s v="Travel Rarely"/>
    <n v="301"/>
    <x v="1"/>
    <n v="22"/>
    <n v="4"/>
    <s v="Other"/>
    <n v="1"/>
    <x v="1176"/>
    <n v="1"/>
    <x v="0"/>
    <n v="72"/>
    <n v="3"/>
    <n v="4"/>
    <x v="7"/>
    <n v="2"/>
    <s v="Married"/>
    <n v="16413"/>
    <n v="3498"/>
    <n v="3"/>
    <s v="Y"/>
    <s v="No"/>
    <n v="16"/>
    <n v="3"/>
    <n v="2"/>
    <n v="80"/>
    <n v="2"/>
    <n v="27"/>
    <n v="2"/>
    <n v="3"/>
    <x v="9"/>
    <n v="2"/>
    <n v="1"/>
    <n v="2"/>
    <x v="0"/>
    <x v="2"/>
    <s v="Active"/>
    <x v="4"/>
  </r>
  <r>
    <n v="50"/>
    <x v="1"/>
    <s v="Travel Rarely"/>
    <n v="813"/>
    <x v="1"/>
    <n v="17"/>
    <n v="5"/>
    <s v="Life Sciences"/>
    <n v="1"/>
    <x v="1177"/>
    <n v="4"/>
    <x v="0"/>
    <n v="50"/>
    <n v="2"/>
    <n v="3"/>
    <x v="7"/>
    <n v="1"/>
    <s v="Divorced"/>
    <n v="13269"/>
    <n v="21981"/>
    <n v="5"/>
    <s v="Y"/>
    <s v="No"/>
    <n v="15"/>
    <n v="3"/>
    <n v="3"/>
    <n v="80"/>
    <n v="3"/>
    <n v="19"/>
    <n v="3"/>
    <n v="3"/>
    <x v="13"/>
    <n v="11"/>
    <n v="1"/>
    <n v="11"/>
    <x v="0"/>
    <x v="2"/>
    <s v="Active"/>
    <x v="0"/>
  </r>
  <r>
    <n v="20"/>
    <x v="1"/>
    <s v="Travel Rarely"/>
    <n v="1141"/>
    <x v="0"/>
    <n v="2"/>
    <n v="3"/>
    <s v="Medical"/>
    <n v="1"/>
    <x v="1178"/>
    <n v="3"/>
    <x v="0"/>
    <n v="31"/>
    <n v="3"/>
    <n v="1"/>
    <x v="6"/>
    <n v="3"/>
    <s v="Single"/>
    <n v="2783"/>
    <n v="13251"/>
    <n v="1"/>
    <s v="Y"/>
    <s v="No"/>
    <n v="19"/>
    <n v="3"/>
    <n v="1"/>
    <n v="80"/>
    <n v="0"/>
    <n v="2"/>
    <n v="3"/>
    <n v="3"/>
    <x v="4"/>
    <n v="2"/>
    <n v="2"/>
    <n v="2"/>
    <x v="2"/>
    <x v="1"/>
    <s v="Active"/>
    <x v="2"/>
  </r>
  <r>
    <n v="34"/>
    <x v="1"/>
    <s v="Travel Rarely"/>
    <n v="1130"/>
    <x v="1"/>
    <n v="3"/>
    <n v="3"/>
    <s v="Life Sciences"/>
    <n v="1"/>
    <x v="1179"/>
    <n v="4"/>
    <x v="0"/>
    <n v="66"/>
    <n v="3"/>
    <n v="2"/>
    <x v="1"/>
    <n v="2"/>
    <s v="Divorced"/>
    <n v="5433"/>
    <n v="19332"/>
    <n v="1"/>
    <s v="Y"/>
    <s v="No"/>
    <n v="12"/>
    <n v="3"/>
    <n v="3"/>
    <n v="80"/>
    <n v="1"/>
    <n v="11"/>
    <n v="2"/>
    <n v="3"/>
    <x v="19"/>
    <n v="8"/>
    <n v="7"/>
    <n v="9"/>
    <x v="1"/>
    <x v="0"/>
    <s v="Active"/>
    <x v="0"/>
  </r>
  <r>
    <n v="36"/>
    <x v="1"/>
    <s v="Travel Rarely"/>
    <n v="311"/>
    <x v="1"/>
    <n v="7"/>
    <n v="3"/>
    <s v="Life Sciences"/>
    <n v="1"/>
    <x v="1180"/>
    <n v="1"/>
    <x v="1"/>
    <n v="77"/>
    <n v="3"/>
    <n v="1"/>
    <x v="2"/>
    <n v="2"/>
    <s v="Single"/>
    <n v="2013"/>
    <n v="10950"/>
    <n v="2"/>
    <s v="Y"/>
    <s v="No"/>
    <n v="11"/>
    <n v="3"/>
    <n v="3"/>
    <n v="80"/>
    <n v="0"/>
    <n v="15"/>
    <n v="4"/>
    <n v="3"/>
    <x v="9"/>
    <n v="3"/>
    <n v="1"/>
    <n v="3"/>
    <x v="1"/>
    <x v="1"/>
    <s v="Active"/>
    <x v="4"/>
  </r>
  <r>
    <n v="49"/>
    <x v="1"/>
    <s v="Travel Rarely"/>
    <n v="465"/>
    <x v="1"/>
    <n v="6"/>
    <n v="1"/>
    <s v="Life Sciences"/>
    <n v="1"/>
    <x v="1181"/>
    <n v="3"/>
    <x v="0"/>
    <n v="41"/>
    <n v="2"/>
    <n v="4"/>
    <x v="4"/>
    <n v="3"/>
    <s v="Married"/>
    <n v="13966"/>
    <n v="11652"/>
    <n v="2"/>
    <s v="Y"/>
    <s v="Yes"/>
    <n v="19"/>
    <n v="3"/>
    <n v="2"/>
    <n v="80"/>
    <n v="1"/>
    <n v="30"/>
    <n v="3"/>
    <n v="3"/>
    <x v="15"/>
    <n v="11"/>
    <n v="2"/>
    <n v="12"/>
    <x v="0"/>
    <x v="2"/>
    <s v="Active"/>
    <x v="0"/>
  </r>
  <r>
    <n v="36"/>
    <x v="1"/>
    <s v="Non Travel"/>
    <n v="894"/>
    <x v="1"/>
    <n v="1"/>
    <n v="4"/>
    <s v="Medical"/>
    <n v="1"/>
    <x v="1182"/>
    <n v="4"/>
    <x v="0"/>
    <n v="33"/>
    <n v="2"/>
    <n v="2"/>
    <x v="3"/>
    <n v="3"/>
    <s v="Married"/>
    <n v="4374"/>
    <n v="15411"/>
    <n v="0"/>
    <s v="Y"/>
    <s v="No"/>
    <n v="15"/>
    <n v="3"/>
    <n v="3"/>
    <n v="80"/>
    <n v="0"/>
    <n v="4"/>
    <n v="6"/>
    <n v="3"/>
    <x v="11"/>
    <n v="2"/>
    <n v="1"/>
    <n v="2"/>
    <x v="1"/>
    <x v="1"/>
    <s v="Active"/>
    <x v="5"/>
  </r>
  <r>
    <n v="36"/>
    <x v="1"/>
    <s v="Travel Rarely"/>
    <n v="1040"/>
    <x v="1"/>
    <n v="3"/>
    <n v="2"/>
    <s v="Life Sciences"/>
    <n v="1"/>
    <x v="1183"/>
    <n v="4"/>
    <x v="1"/>
    <n v="79"/>
    <n v="4"/>
    <n v="2"/>
    <x v="4"/>
    <n v="1"/>
    <s v="Divorced"/>
    <n v="6842"/>
    <n v="26308"/>
    <n v="6"/>
    <s v="Y"/>
    <s v="No"/>
    <n v="20"/>
    <n v="4"/>
    <n v="1"/>
    <n v="80"/>
    <n v="1"/>
    <n v="13"/>
    <n v="3"/>
    <n v="3"/>
    <x v="8"/>
    <n v="4"/>
    <n v="0"/>
    <n v="4"/>
    <x v="1"/>
    <x v="0"/>
    <s v="Active"/>
    <x v="3"/>
  </r>
  <r>
    <n v="54"/>
    <x v="1"/>
    <s v="Travel Rarely"/>
    <n v="584"/>
    <x v="1"/>
    <n v="22"/>
    <n v="5"/>
    <s v="Medical"/>
    <n v="1"/>
    <x v="1184"/>
    <n v="2"/>
    <x v="0"/>
    <n v="91"/>
    <n v="3"/>
    <n v="4"/>
    <x v="5"/>
    <n v="3"/>
    <s v="Married"/>
    <n v="17426"/>
    <n v="18685"/>
    <n v="3"/>
    <s v="Y"/>
    <s v="No"/>
    <n v="25"/>
    <n v="4"/>
    <n v="3"/>
    <n v="80"/>
    <n v="1"/>
    <n v="36"/>
    <n v="6"/>
    <n v="3"/>
    <x v="1"/>
    <n v="8"/>
    <n v="4"/>
    <n v="7"/>
    <x v="0"/>
    <x v="2"/>
    <s v="Active"/>
    <x v="0"/>
  </r>
  <r>
    <n v="43"/>
    <x v="1"/>
    <s v="Travel Rarely"/>
    <n v="1291"/>
    <x v="1"/>
    <n v="15"/>
    <n v="2"/>
    <s v="Life Sciences"/>
    <n v="1"/>
    <x v="1185"/>
    <n v="3"/>
    <x v="1"/>
    <n v="65"/>
    <n v="2"/>
    <n v="4"/>
    <x v="7"/>
    <n v="3"/>
    <s v="Married"/>
    <n v="17603"/>
    <n v="3525"/>
    <n v="1"/>
    <s v="Y"/>
    <s v="No"/>
    <n v="24"/>
    <n v="4"/>
    <n v="1"/>
    <n v="80"/>
    <n v="1"/>
    <n v="14"/>
    <n v="3"/>
    <n v="3"/>
    <x v="13"/>
    <n v="10"/>
    <n v="6"/>
    <n v="11"/>
    <x v="0"/>
    <x v="2"/>
    <s v="Active"/>
    <x v="0"/>
  </r>
  <r>
    <n v="35"/>
    <x v="0"/>
    <s v="Travel Frequently"/>
    <n v="880"/>
    <x v="0"/>
    <n v="12"/>
    <n v="4"/>
    <s v="Other"/>
    <n v="1"/>
    <x v="1186"/>
    <n v="4"/>
    <x v="1"/>
    <n v="36"/>
    <n v="3"/>
    <n v="2"/>
    <x v="0"/>
    <n v="4"/>
    <s v="Single"/>
    <n v="4581"/>
    <n v="10414"/>
    <n v="3"/>
    <s v="Y"/>
    <s v="Yes"/>
    <n v="24"/>
    <n v="4"/>
    <n v="1"/>
    <n v="80"/>
    <n v="0"/>
    <n v="13"/>
    <n v="2"/>
    <n v="4"/>
    <x v="19"/>
    <n v="9"/>
    <n v="6"/>
    <n v="7"/>
    <x v="1"/>
    <x v="1"/>
    <s v="Resigned"/>
    <x v="0"/>
  </r>
  <r>
    <n v="38"/>
    <x v="1"/>
    <s v="Travel Frequently"/>
    <n v="1189"/>
    <x v="1"/>
    <n v="1"/>
    <n v="3"/>
    <s v="Life Sciences"/>
    <n v="1"/>
    <x v="1187"/>
    <n v="4"/>
    <x v="1"/>
    <n v="90"/>
    <n v="3"/>
    <n v="2"/>
    <x v="1"/>
    <n v="4"/>
    <s v="Married"/>
    <n v="4735"/>
    <n v="9867"/>
    <n v="7"/>
    <s v="Y"/>
    <s v="No"/>
    <n v="15"/>
    <n v="3"/>
    <n v="4"/>
    <n v="80"/>
    <n v="2"/>
    <n v="19"/>
    <n v="4"/>
    <n v="4"/>
    <x v="20"/>
    <n v="11"/>
    <n v="2"/>
    <n v="9"/>
    <x v="1"/>
    <x v="1"/>
    <s v="Active"/>
    <x v="0"/>
  </r>
  <r>
    <n v="29"/>
    <x v="1"/>
    <s v="Travel Rarely"/>
    <n v="991"/>
    <x v="0"/>
    <n v="5"/>
    <n v="3"/>
    <s v="Medical"/>
    <n v="1"/>
    <x v="1188"/>
    <n v="1"/>
    <x v="1"/>
    <n v="43"/>
    <n v="2"/>
    <n v="2"/>
    <x v="0"/>
    <n v="2"/>
    <s v="Divorced"/>
    <n v="4187"/>
    <n v="3356"/>
    <n v="1"/>
    <s v="Y"/>
    <s v="Yes"/>
    <n v="13"/>
    <n v="3"/>
    <n v="2"/>
    <n v="80"/>
    <n v="1"/>
    <n v="10"/>
    <n v="3"/>
    <n v="2"/>
    <x v="1"/>
    <n v="0"/>
    <n v="0"/>
    <n v="9"/>
    <x v="2"/>
    <x v="1"/>
    <s v="Active"/>
    <x v="0"/>
  </r>
  <r>
    <n v="33"/>
    <x v="1"/>
    <s v="Travel Rarely"/>
    <n v="392"/>
    <x v="0"/>
    <n v="2"/>
    <n v="4"/>
    <s v="Medical"/>
    <n v="1"/>
    <x v="1189"/>
    <n v="4"/>
    <x v="1"/>
    <n v="93"/>
    <n v="3"/>
    <n v="2"/>
    <x v="0"/>
    <n v="4"/>
    <s v="Divorced"/>
    <n v="5505"/>
    <n v="3921"/>
    <n v="1"/>
    <s v="Y"/>
    <s v="No"/>
    <n v="14"/>
    <n v="3"/>
    <n v="3"/>
    <n v="80"/>
    <n v="2"/>
    <n v="6"/>
    <n v="5"/>
    <n v="3"/>
    <x v="0"/>
    <n v="2"/>
    <n v="0"/>
    <n v="4"/>
    <x v="1"/>
    <x v="0"/>
    <s v="Active"/>
    <x v="0"/>
  </r>
  <r>
    <n v="32"/>
    <x v="1"/>
    <s v="Travel Rarely"/>
    <n v="977"/>
    <x v="1"/>
    <n v="2"/>
    <n v="3"/>
    <s v="Medical"/>
    <n v="1"/>
    <x v="1190"/>
    <n v="4"/>
    <x v="1"/>
    <n v="45"/>
    <n v="3"/>
    <n v="2"/>
    <x v="1"/>
    <n v="2"/>
    <s v="Divorced"/>
    <n v="5470"/>
    <n v="25518"/>
    <n v="0"/>
    <s v="Y"/>
    <s v="No"/>
    <n v="13"/>
    <n v="3"/>
    <n v="3"/>
    <n v="80"/>
    <n v="2"/>
    <n v="10"/>
    <n v="4"/>
    <n v="2"/>
    <x v="7"/>
    <n v="5"/>
    <n v="1"/>
    <n v="6"/>
    <x v="1"/>
    <x v="0"/>
    <s v="Active"/>
    <x v="0"/>
  </r>
  <r>
    <n v="31"/>
    <x v="1"/>
    <s v="Travel Rarely"/>
    <n v="1112"/>
    <x v="0"/>
    <n v="5"/>
    <n v="4"/>
    <s v="Life Sciences"/>
    <n v="1"/>
    <x v="1191"/>
    <n v="1"/>
    <x v="0"/>
    <n v="67"/>
    <n v="3"/>
    <n v="2"/>
    <x v="0"/>
    <n v="4"/>
    <s v="Married"/>
    <n v="5476"/>
    <n v="22589"/>
    <n v="1"/>
    <s v="Y"/>
    <s v="No"/>
    <n v="11"/>
    <n v="3"/>
    <n v="1"/>
    <n v="80"/>
    <n v="2"/>
    <n v="10"/>
    <n v="2"/>
    <n v="3"/>
    <x v="1"/>
    <n v="0"/>
    <n v="0"/>
    <n v="2"/>
    <x v="1"/>
    <x v="0"/>
    <s v="Active"/>
    <x v="0"/>
  </r>
  <r>
    <n v="49"/>
    <x v="1"/>
    <s v="Travel Rarely"/>
    <n v="464"/>
    <x v="1"/>
    <n v="16"/>
    <n v="3"/>
    <s v="Medical"/>
    <n v="1"/>
    <x v="1192"/>
    <n v="4"/>
    <x v="0"/>
    <n v="74"/>
    <n v="3"/>
    <n v="1"/>
    <x v="2"/>
    <n v="1"/>
    <s v="Divorced"/>
    <n v="2587"/>
    <n v="24941"/>
    <n v="4"/>
    <s v="Y"/>
    <s v="Yes"/>
    <n v="16"/>
    <n v="3"/>
    <n v="2"/>
    <n v="80"/>
    <n v="1"/>
    <n v="17"/>
    <n v="2"/>
    <n v="2"/>
    <x v="4"/>
    <n v="2"/>
    <n v="2"/>
    <n v="2"/>
    <x v="0"/>
    <x v="1"/>
    <s v="Active"/>
    <x v="2"/>
  </r>
  <r>
    <n v="38"/>
    <x v="1"/>
    <s v="Travel Frequently"/>
    <n v="148"/>
    <x v="1"/>
    <n v="2"/>
    <n v="3"/>
    <s v="Medical"/>
    <n v="1"/>
    <x v="1193"/>
    <n v="4"/>
    <x v="0"/>
    <n v="42"/>
    <n v="2"/>
    <n v="1"/>
    <x v="2"/>
    <n v="2"/>
    <s v="Single"/>
    <n v="2440"/>
    <n v="23826"/>
    <n v="1"/>
    <s v="Y"/>
    <s v="No"/>
    <n v="22"/>
    <n v="4"/>
    <n v="2"/>
    <n v="80"/>
    <n v="0"/>
    <n v="4"/>
    <n v="3"/>
    <n v="3"/>
    <x v="9"/>
    <n v="3"/>
    <n v="3"/>
    <n v="3"/>
    <x v="1"/>
    <x v="1"/>
    <s v="Active"/>
    <x v="4"/>
  </r>
  <r>
    <n v="47"/>
    <x v="1"/>
    <s v="Travel Rarely"/>
    <n v="1225"/>
    <x v="0"/>
    <n v="2"/>
    <n v="4"/>
    <s v="Life Sciences"/>
    <n v="1"/>
    <x v="1194"/>
    <n v="2"/>
    <x v="0"/>
    <n v="47"/>
    <n v="4"/>
    <n v="4"/>
    <x v="5"/>
    <n v="2"/>
    <s v="Divorced"/>
    <n v="15972"/>
    <n v="21086"/>
    <n v="6"/>
    <s v="Y"/>
    <s v="No"/>
    <n v="14"/>
    <n v="3"/>
    <n v="3"/>
    <n v="80"/>
    <n v="3"/>
    <n v="29"/>
    <n v="2"/>
    <n v="3"/>
    <x v="11"/>
    <n v="2"/>
    <n v="1"/>
    <n v="2"/>
    <x v="0"/>
    <x v="2"/>
    <s v="Active"/>
    <x v="5"/>
  </r>
  <r>
    <n v="49"/>
    <x v="1"/>
    <s v="Travel Rarely"/>
    <n v="809"/>
    <x v="1"/>
    <n v="1"/>
    <n v="3"/>
    <s v="Life Sciences"/>
    <n v="1"/>
    <x v="1195"/>
    <n v="3"/>
    <x v="1"/>
    <n v="36"/>
    <n v="3"/>
    <n v="4"/>
    <x v="5"/>
    <n v="3"/>
    <s v="Single"/>
    <n v="15379"/>
    <n v="22384"/>
    <n v="4"/>
    <s v="Y"/>
    <s v="No"/>
    <n v="14"/>
    <n v="3"/>
    <n v="1"/>
    <n v="80"/>
    <n v="0"/>
    <n v="23"/>
    <n v="2"/>
    <n v="3"/>
    <x v="3"/>
    <n v="7"/>
    <n v="0"/>
    <n v="0"/>
    <x v="0"/>
    <x v="2"/>
    <s v="Active"/>
    <x v="0"/>
  </r>
  <r>
    <n v="41"/>
    <x v="1"/>
    <s v="Travel Rarely"/>
    <n v="1206"/>
    <x v="0"/>
    <n v="23"/>
    <n v="2"/>
    <s v="Life Sciences"/>
    <n v="1"/>
    <x v="1196"/>
    <n v="4"/>
    <x v="1"/>
    <n v="80"/>
    <n v="3"/>
    <n v="3"/>
    <x v="0"/>
    <n v="3"/>
    <s v="Single"/>
    <n v="7082"/>
    <n v="11591"/>
    <n v="3"/>
    <s v="Y"/>
    <s v="Yes"/>
    <n v="16"/>
    <n v="3"/>
    <n v="4"/>
    <n v="80"/>
    <n v="0"/>
    <n v="21"/>
    <n v="2"/>
    <n v="3"/>
    <x v="4"/>
    <n v="0"/>
    <n v="0"/>
    <n v="2"/>
    <x v="0"/>
    <x v="0"/>
    <s v="Active"/>
    <x v="2"/>
  </r>
  <r>
    <n v="20"/>
    <x v="1"/>
    <s v="Travel Rarely"/>
    <n v="727"/>
    <x v="0"/>
    <n v="9"/>
    <n v="1"/>
    <s v="Life Sciences"/>
    <n v="1"/>
    <x v="1197"/>
    <n v="4"/>
    <x v="1"/>
    <n v="54"/>
    <n v="3"/>
    <n v="1"/>
    <x v="6"/>
    <n v="1"/>
    <s v="Single"/>
    <n v="2728"/>
    <n v="21082"/>
    <n v="1"/>
    <s v="Y"/>
    <s v="No"/>
    <n v="11"/>
    <n v="3"/>
    <n v="1"/>
    <n v="80"/>
    <n v="0"/>
    <n v="2"/>
    <n v="3"/>
    <n v="3"/>
    <x v="4"/>
    <n v="2"/>
    <n v="0"/>
    <n v="2"/>
    <x v="2"/>
    <x v="1"/>
    <s v="Active"/>
    <x v="2"/>
  </r>
  <r>
    <n v="33"/>
    <x v="1"/>
    <s v="Non Travel"/>
    <n v="530"/>
    <x v="0"/>
    <n v="16"/>
    <n v="3"/>
    <s v="Life Sciences"/>
    <n v="1"/>
    <x v="1198"/>
    <n v="3"/>
    <x v="0"/>
    <n v="36"/>
    <n v="3"/>
    <n v="2"/>
    <x v="0"/>
    <n v="4"/>
    <s v="Divorced"/>
    <n v="5368"/>
    <n v="16130"/>
    <n v="1"/>
    <s v="Y"/>
    <s v="Yes"/>
    <n v="25"/>
    <n v="4"/>
    <n v="3"/>
    <n v="80"/>
    <n v="1"/>
    <n v="7"/>
    <n v="2"/>
    <n v="3"/>
    <x v="0"/>
    <n v="5"/>
    <n v="1"/>
    <n v="2"/>
    <x v="1"/>
    <x v="0"/>
    <s v="Active"/>
    <x v="0"/>
  </r>
  <r>
    <n v="36"/>
    <x v="1"/>
    <s v="Travel Rarely"/>
    <n v="1351"/>
    <x v="1"/>
    <n v="26"/>
    <n v="4"/>
    <s v="Life Sciences"/>
    <n v="1"/>
    <x v="1199"/>
    <n v="1"/>
    <x v="1"/>
    <n v="80"/>
    <n v="3"/>
    <n v="2"/>
    <x v="4"/>
    <n v="3"/>
    <s v="Married"/>
    <n v="5347"/>
    <n v="7419"/>
    <n v="6"/>
    <s v="Y"/>
    <s v="No"/>
    <n v="14"/>
    <n v="3"/>
    <n v="2"/>
    <n v="80"/>
    <n v="2"/>
    <n v="10"/>
    <n v="2"/>
    <n v="2"/>
    <x v="11"/>
    <n v="2"/>
    <n v="0"/>
    <n v="2"/>
    <x v="1"/>
    <x v="0"/>
    <s v="Active"/>
    <x v="5"/>
  </r>
  <r>
    <n v="44"/>
    <x v="1"/>
    <s v="Travel Rarely"/>
    <n v="528"/>
    <x v="2"/>
    <n v="1"/>
    <n v="3"/>
    <s v="Life Sciences"/>
    <n v="1"/>
    <x v="1200"/>
    <n v="3"/>
    <x v="0"/>
    <n v="44"/>
    <n v="3"/>
    <n v="1"/>
    <x v="8"/>
    <n v="4"/>
    <s v="Divorced"/>
    <n v="3195"/>
    <n v="4167"/>
    <n v="4"/>
    <s v="Y"/>
    <s v="Yes"/>
    <n v="18"/>
    <n v="3"/>
    <n v="1"/>
    <n v="80"/>
    <n v="3"/>
    <n v="8"/>
    <n v="2"/>
    <n v="3"/>
    <x v="4"/>
    <n v="2"/>
    <n v="2"/>
    <n v="2"/>
    <x v="0"/>
    <x v="1"/>
    <s v="Active"/>
    <x v="2"/>
  </r>
  <r>
    <n v="23"/>
    <x v="0"/>
    <s v="Travel Rarely"/>
    <n v="1320"/>
    <x v="1"/>
    <n v="8"/>
    <n v="1"/>
    <s v="Medical"/>
    <n v="1"/>
    <x v="1201"/>
    <n v="4"/>
    <x v="1"/>
    <n v="93"/>
    <n v="2"/>
    <n v="1"/>
    <x v="2"/>
    <n v="3"/>
    <s v="Single"/>
    <n v="3989"/>
    <n v="20586"/>
    <n v="1"/>
    <s v="Y"/>
    <s v="Yes"/>
    <n v="11"/>
    <n v="3"/>
    <n v="1"/>
    <n v="80"/>
    <n v="0"/>
    <n v="5"/>
    <n v="2"/>
    <n v="3"/>
    <x v="8"/>
    <n v="4"/>
    <n v="1"/>
    <n v="2"/>
    <x v="2"/>
    <x v="1"/>
    <s v="Resigned"/>
    <x v="3"/>
  </r>
  <r>
    <n v="38"/>
    <x v="1"/>
    <s v="Travel Rarely"/>
    <n v="1495"/>
    <x v="1"/>
    <n v="4"/>
    <n v="2"/>
    <s v="Medical"/>
    <n v="1"/>
    <x v="1202"/>
    <n v="4"/>
    <x v="0"/>
    <n v="87"/>
    <n v="3"/>
    <n v="1"/>
    <x v="2"/>
    <n v="3"/>
    <s v="Married"/>
    <n v="3306"/>
    <n v="26176"/>
    <n v="7"/>
    <s v="Y"/>
    <s v="No"/>
    <n v="19"/>
    <n v="3"/>
    <n v="4"/>
    <n v="80"/>
    <n v="1"/>
    <n v="7"/>
    <n v="5"/>
    <n v="2"/>
    <x v="2"/>
    <n v="0"/>
    <n v="0"/>
    <n v="0"/>
    <x v="1"/>
    <x v="1"/>
    <s v="Active"/>
    <x v="1"/>
  </r>
  <r>
    <n v="53"/>
    <x v="1"/>
    <s v="Travel Rarely"/>
    <n v="1395"/>
    <x v="1"/>
    <n v="24"/>
    <n v="4"/>
    <s v="Medical"/>
    <n v="1"/>
    <x v="1203"/>
    <n v="2"/>
    <x v="1"/>
    <n v="48"/>
    <n v="4"/>
    <n v="3"/>
    <x v="4"/>
    <n v="4"/>
    <s v="Married"/>
    <n v="7005"/>
    <n v="3458"/>
    <n v="3"/>
    <s v="Y"/>
    <s v="No"/>
    <n v="15"/>
    <n v="3"/>
    <n v="3"/>
    <n v="80"/>
    <n v="0"/>
    <n v="11"/>
    <n v="2"/>
    <n v="3"/>
    <x v="9"/>
    <n v="3"/>
    <n v="1"/>
    <n v="2"/>
    <x v="0"/>
    <x v="0"/>
    <s v="Active"/>
    <x v="4"/>
  </r>
  <r>
    <n v="48"/>
    <x v="0"/>
    <s v="Travel Frequently"/>
    <n v="708"/>
    <x v="0"/>
    <n v="7"/>
    <n v="2"/>
    <s v="Medical"/>
    <n v="1"/>
    <x v="1204"/>
    <n v="4"/>
    <x v="0"/>
    <n v="95"/>
    <n v="3"/>
    <n v="1"/>
    <x v="6"/>
    <n v="3"/>
    <s v="Married"/>
    <n v="2655"/>
    <n v="11740"/>
    <n v="2"/>
    <s v="Y"/>
    <s v="Yes"/>
    <n v="11"/>
    <n v="3"/>
    <n v="3"/>
    <n v="80"/>
    <n v="2"/>
    <n v="19"/>
    <n v="3"/>
    <n v="3"/>
    <x v="7"/>
    <n v="7"/>
    <n v="7"/>
    <n v="7"/>
    <x v="0"/>
    <x v="1"/>
    <s v="Resigned"/>
    <x v="0"/>
  </r>
  <r>
    <n v="32"/>
    <x v="0"/>
    <s v="Travel Rarely"/>
    <n v="1259"/>
    <x v="1"/>
    <n v="2"/>
    <n v="4"/>
    <s v="Life Sciences"/>
    <n v="1"/>
    <x v="1205"/>
    <n v="4"/>
    <x v="1"/>
    <n v="95"/>
    <n v="3"/>
    <n v="1"/>
    <x v="2"/>
    <n v="2"/>
    <s v="Single"/>
    <n v="1393"/>
    <n v="24852"/>
    <n v="1"/>
    <s v="Y"/>
    <s v="No"/>
    <n v="12"/>
    <n v="3"/>
    <n v="1"/>
    <n v="80"/>
    <n v="0"/>
    <n v="1"/>
    <n v="2"/>
    <n v="3"/>
    <x v="6"/>
    <n v="0"/>
    <n v="0"/>
    <n v="0"/>
    <x v="1"/>
    <x v="1"/>
    <s v="Resigned"/>
    <x v="1"/>
  </r>
  <r>
    <n v="26"/>
    <x v="1"/>
    <s v="Non Travel"/>
    <n v="786"/>
    <x v="1"/>
    <n v="7"/>
    <n v="3"/>
    <s v="Medical"/>
    <n v="1"/>
    <x v="1206"/>
    <n v="4"/>
    <x v="1"/>
    <n v="76"/>
    <n v="3"/>
    <n v="1"/>
    <x v="2"/>
    <n v="4"/>
    <s v="Single"/>
    <n v="2570"/>
    <n v="11925"/>
    <n v="1"/>
    <s v="Y"/>
    <s v="No"/>
    <n v="20"/>
    <n v="4"/>
    <n v="3"/>
    <n v="80"/>
    <n v="0"/>
    <n v="7"/>
    <n v="5"/>
    <n v="3"/>
    <x v="5"/>
    <n v="7"/>
    <n v="5"/>
    <n v="7"/>
    <x v="2"/>
    <x v="1"/>
    <s v="Active"/>
    <x v="0"/>
  </r>
  <r>
    <n v="55"/>
    <x v="1"/>
    <s v="Travel Rarely"/>
    <n v="1441"/>
    <x v="1"/>
    <n v="22"/>
    <n v="3"/>
    <s v="Technical Degree"/>
    <n v="1"/>
    <x v="1207"/>
    <n v="1"/>
    <x v="1"/>
    <n v="94"/>
    <n v="2"/>
    <n v="1"/>
    <x v="1"/>
    <n v="2"/>
    <s v="Divorced"/>
    <n v="3537"/>
    <n v="23737"/>
    <n v="5"/>
    <s v="Y"/>
    <s v="No"/>
    <n v="12"/>
    <n v="3"/>
    <n v="4"/>
    <n v="80"/>
    <n v="1"/>
    <n v="8"/>
    <n v="1"/>
    <n v="3"/>
    <x v="9"/>
    <n v="2"/>
    <n v="1"/>
    <n v="2"/>
    <x v="0"/>
    <x v="1"/>
    <s v="Active"/>
    <x v="4"/>
  </r>
  <r>
    <n v="34"/>
    <x v="1"/>
    <s v="Travel Rarely"/>
    <n v="1157"/>
    <x v="1"/>
    <n v="5"/>
    <n v="2"/>
    <s v="Medical"/>
    <n v="1"/>
    <x v="1208"/>
    <n v="2"/>
    <x v="1"/>
    <n v="57"/>
    <n v="2"/>
    <n v="2"/>
    <x v="2"/>
    <n v="4"/>
    <s v="Married"/>
    <n v="3986"/>
    <n v="11912"/>
    <n v="1"/>
    <s v="Y"/>
    <s v="No"/>
    <n v="14"/>
    <n v="3"/>
    <n v="3"/>
    <n v="80"/>
    <n v="1"/>
    <n v="15"/>
    <n v="3"/>
    <n v="4"/>
    <x v="15"/>
    <n v="10"/>
    <n v="4"/>
    <n v="13"/>
    <x v="1"/>
    <x v="1"/>
    <s v="Active"/>
    <x v="0"/>
  </r>
  <r>
    <n v="60"/>
    <x v="1"/>
    <s v="Travel Rarely"/>
    <n v="370"/>
    <x v="1"/>
    <n v="1"/>
    <n v="4"/>
    <s v="Medical"/>
    <n v="1"/>
    <x v="1209"/>
    <n v="3"/>
    <x v="1"/>
    <n v="92"/>
    <n v="1"/>
    <n v="3"/>
    <x v="4"/>
    <n v="4"/>
    <s v="Divorced"/>
    <n v="10883"/>
    <n v="20467"/>
    <n v="3"/>
    <s v="Y"/>
    <s v="No"/>
    <n v="20"/>
    <n v="4"/>
    <n v="3"/>
    <n v="80"/>
    <n v="1"/>
    <n v="19"/>
    <n v="2"/>
    <n v="4"/>
    <x v="6"/>
    <n v="0"/>
    <n v="0"/>
    <n v="0"/>
    <x v="0"/>
    <x v="2"/>
    <s v="Active"/>
    <x v="1"/>
  </r>
  <r>
    <n v="33"/>
    <x v="1"/>
    <s v="Travel Rarely"/>
    <n v="267"/>
    <x v="1"/>
    <n v="21"/>
    <n v="3"/>
    <s v="Medical"/>
    <n v="1"/>
    <x v="1210"/>
    <n v="2"/>
    <x v="1"/>
    <n v="79"/>
    <n v="4"/>
    <n v="1"/>
    <x v="2"/>
    <n v="2"/>
    <s v="Married"/>
    <n v="2028"/>
    <n v="13637"/>
    <n v="1"/>
    <s v="Y"/>
    <s v="No"/>
    <n v="18"/>
    <n v="3"/>
    <n v="4"/>
    <n v="80"/>
    <n v="3"/>
    <n v="14"/>
    <n v="6"/>
    <n v="3"/>
    <x v="13"/>
    <n v="11"/>
    <n v="2"/>
    <n v="13"/>
    <x v="1"/>
    <x v="1"/>
    <s v="Active"/>
    <x v="0"/>
  </r>
  <r>
    <n v="37"/>
    <x v="1"/>
    <s v="Travel Frequently"/>
    <n v="1278"/>
    <x v="0"/>
    <n v="1"/>
    <n v="4"/>
    <s v="Medical"/>
    <n v="1"/>
    <x v="1211"/>
    <n v="3"/>
    <x v="1"/>
    <n v="31"/>
    <n v="1"/>
    <n v="2"/>
    <x v="0"/>
    <n v="4"/>
    <s v="Divorced"/>
    <n v="9525"/>
    <n v="7677"/>
    <n v="1"/>
    <s v="Y"/>
    <s v="No"/>
    <n v="14"/>
    <n v="3"/>
    <n v="3"/>
    <n v="80"/>
    <n v="2"/>
    <n v="6"/>
    <n v="2"/>
    <n v="2"/>
    <x v="0"/>
    <n v="3"/>
    <n v="1"/>
    <n v="3"/>
    <x v="1"/>
    <x v="0"/>
    <s v="Active"/>
    <x v="0"/>
  </r>
  <r>
    <n v="34"/>
    <x v="1"/>
    <s v="Travel Rarely"/>
    <n v="678"/>
    <x v="1"/>
    <n v="19"/>
    <n v="3"/>
    <s v="Life Sciences"/>
    <n v="1"/>
    <x v="1212"/>
    <n v="2"/>
    <x v="0"/>
    <n v="35"/>
    <n v="2"/>
    <n v="1"/>
    <x v="1"/>
    <n v="4"/>
    <s v="Married"/>
    <n v="2929"/>
    <n v="20338"/>
    <n v="1"/>
    <s v="Y"/>
    <s v="No"/>
    <n v="12"/>
    <n v="3"/>
    <n v="2"/>
    <n v="80"/>
    <n v="0"/>
    <n v="10"/>
    <n v="3"/>
    <n v="3"/>
    <x v="1"/>
    <n v="9"/>
    <n v="8"/>
    <n v="7"/>
    <x v="1"/>
    <x v="1"/>
    <s v="Active"/>
    <x v="0"/>
  </r>
  <r>
    <n v="23"/>
    <x v="0"/>
    <s v="Travel Rarely"/>
    <n v="427"/>
    <x v="0"/>
    <n v="7"/>
    <n v="3"/>
    <s v="Life Sciences"/>
    <n v="1"/>
    <x v="1213"/>
    <n v="3"/>
    <x v="1"/>
    <n v="99"/>
    <n v="3"/>
    <n v="1"/>
    <x v="6"/>
    <n v="4"/>
    <s v="Divorced"/>
    <n v="2275"/>
    <n v="25103"/>
    <n v="1"/>
    <s v="Y"/>
    <s v="Yes"/>
    <n v="21"/>
    <n v="4"/>
    <n v="2"/>
    <n v="80"/>
    <n v="1"/>
    <n v="3"/>
    <n v="2"/>
    <n v="3"/>
    <x v="11"/>
    <n v="2"/>
    <n v="0"/>
    <n v="2"/>
    <x v="2"/>
    <x v="1"/>
    <s v="Resigned"/>
    <x v="5"/>
  </r>
  <r>
    <n v="44"/>
    <x v="1"/>
    <s v="Travel Rarely"/>
    <n v="921"/>
    <x v="1"/>
    <n v="2"/>
    <n v="3"/>
    <s v="Life Sciences"/>
    <n v="1"/>
    <x v="1214"/>
    <n v="3"/>
    <x v="0"/>
    <n v="96"/>
    <n v="4"/>
    <n v="3"/>
    <x v="4"/>
    <n v="4"/>
    <s v="Married"/>
    <n v="7879"/>
    <n v="14810"/>
    <n v="1"/>
    <s v="Y"/>
    <s v="Yes"/>
    <n v="19"/>
    <n v="3"/>
    <n v="2"/>
    <n v="80"/>
    <n v="1"/>
    <n v="9"/>
    <n v="2"/>
    <n v="3"/>
    <x v="3"/>
    <n v="7"/>
    <n v="6"/>
    <n v="7"/>
    <x v="0"/>
    <x v="0"/>
    <s v="Active"/>
    <x v="0"/>
  </r>
  <r>
    <n v="35"/>
    <x v="1"/>
    <s v="Travel Frequently"/>
    <n v="146"/>
    <x v="1"/>
    <n v="2"/>
    <n v="4"/>
    <s v="Medical"/>
    <n v="1"/>
    <x v="1215"/>
    <n v="1"/>
    <x v="1"/>
    <n v="79"/>
    <n v="2"/>
    <n v="1"/>
    <x v="1"/>
    <n v="4"/>
    <s v="Single"/>
    <n v="4930"/>
    <n v="13970"/>
    <n v="0"/>
    <s v="Y"/>
    <s v="Yes"/>
    <n v="14"/>
    <n v="3"/>
    <n v="3"/>
    <n v="80"/>
    <n v="0"/>
    <n v="6"/>
    <n v="2"/>
    <n v="4"/>
    <x v="8"/>
    <n v="4"/>
    <n v="1"/>
    <n v="4"/>
    <x v="1"/>
    <x v="1"/>
    <s v="Active"/>
    <x v="3"/>
  </r>
  <r>
    <n v="43"/>
    <x v="1"/>
    <s v="Travel Rarely"/>
    <n v="1179"/>
    <x v="0"/>
    <n v="2"/>
    <n v="3"/>
    <s v="Medical"/>
    <n v="1"/>
    <x v="1216"/>
    <n v="4"/>
    <x v="1"/>
    <n v="73"/>
    <n v="3"/>
    <n v="2"/>
    <x v="0"/>
    <n v="4"/>
    <s v="Married"/>
    <n v="7847"/>
    <n v="6069"/>
    <n v="1"/>
    <s v="Y"/>
    <s v="Yes"/>
    <n v="17"/>
    <n v="3"/>
    <n v="1"/>
    <n v="80"/>
    <n v="1"/>
    <n v="10"/>
    <n v="3"/>
    <n v="3"/>
    <x v="1"/>
    <n v="9"/>
    <n v="8"/>
    <n v="8"/>
    <x v="0"/>
    <x v="0"/>
    <s v="Active"/>
    <x v="0"/>
  </r>
  <r>
    <n v="24"/>
    <x v="1"/>
    <s v="Travel Rarely"/>
    <n v="581"/>
    <x v="1"/>
    <n v="9"/>
    <n v="3"/>
    <s v="Medical"/>
    <n v="1"/>
    <x v="1217"/>
    <n v="3"/>
    <x v="1"/>
    <n v="62"/>
    <n v="4"/>
    <n v="1"/>
    <x v="1"/>
    <n v="3"/>
    <s v="Married"/>
    <n v="4401"/>
    <n v="17616"/>
    <n v="1"/>
    <s v="Y"/>
    <s v="No"/>
    <n v="16"/>
    <n v="3"/>
    <n v="4"/>
    <n v="80"/>
    <n v="1"/>
    <n v="5"/>
    <n v="1"/>
    <n v="3"/>
    <x v="8"/>
    <n v="3"/>
    <n v="0"/>
    <n v="4"/>
    <x v="2"/>
    <x v="1"/>
    <s v="Active"/>
    <x v="3"/>
  </r>
  <r>
    <n v="41"/>
    <x v="1"/>
    <s v="Travel Rarely"/>
    <n v="918"/>
    <x v="0"/>
    <n v="6"/>
    <n v="3"/>
    <s v="Marketing"/>
    <n v="1"/>
    <x v="1218"/>
    <n v="4"/>
    <x v="1"/>
    <n v="35"/>
    <n v="3"/>
    <n v="3"/>
    <x v="0"/>
    <n v="3"/>
    <s v="Single"/>
    <n v="9241"/>
    <n v="15869"/>
    <n v="1"/>
    <s v="Y"/>
    <s v="No"/>
    <n v="12"/>
    <n v="3"/>
    <n v="2"/>
    <n v="80"/>
    <n v="0"/>
    <n v="10"/>
    <n v="3"/>
    <n v="3"/>
    <x v="1"/>
    <n v="8"/>
    <n v="8"/>
    <n v="7"/>
    <x v="0"/>
    <x v="0"/>
    <s v="Active"/>
    <x v="0"/>
  </r>
  <r>
    <n v="29"/>
    <x v="1"/>
    <s v="Travel Rarely"/>
    <n v="1082"/>
    <x v="1"/>
    <n v="9"/>
    <n v="4"/>
    <s v="Medical"/>
    <n v="1"/>
    <x v="1219"/>
    <n v="4"/>
    <x v="0"/>
    <n v="43"/>
    <n v="3"/>
    <n v="1"/>
    <x v="2"/>
    <n v="3"/>
    <s v="Married"/>
    <n v="2974"/>
    <n v="25412"/>
    <n v="9"/>
    <s v="Y"/>
    <s v="No"/>
    <n v="17"/>
    <n v="3"/>
    <n v="3"/>
    <n v="80"/>
    <n v="1"/>
    <n v="9"/>
    <n v="2"/>
    <n v="3"/>
    <x v="8"/>
    <n v="3"/>
    <n v="1"/>
    <n v="2"/>
    <x v="2"/>
    <x v="1"/>
    <s v="Active"/>
    <x v="3"/>
  </r>
  <r>
    <n v="36"/>
    <x v="1"/>
    <s v="Travel Rarely"/>
    <n v="530"/>
    <x v="0"/>
    <n v="2"/>
    <n v="4"/>
    <s v="Life Sciences"/>
    <n v="1"/>
    <x v="1220"/>
    <n v="3"/>
    <x v="0"/>
    <n v="51"/>
    <n v="3"/>
    <n v="2"/>
    <x v="6"/>
    <n v="4"/>
    <s v="Single"/>
    <n v="4502"/>
    <n v="7439"/>
    <n v="3"/>
    <s v="Y"/>
    <s v="No"/>
    <n v="15"/>
    <n v="3"/>
    <n v="3"/>
    <n v="80"/>
    <n v="0"/>
    <n v="17"/>
    <n v="2"/>
    <n v="2"/>
    <x v="20"/>
    <n v="7"/>
    <n v="6"/>
    <n v="7"/>
    <x v="1"/>
    <x v="1"/>
    <s v="Active"/>
    <x v="0"/>
  </r>
  <r>
    <n v="45"/>
    <x v="1"/>
    <s v="Non Travel"/>
    <n v="1238"/>
    <x v="1"/>
    <n v="1"/>
    <n v="1"/>
    <s v="Life Sciences"/>
    <n v="1"/>
    <x v="1221"/>
    <n v="3"/>
    <x v="1"/>
    <n v="74"/>
    <n v="2"/>
    <n v="3"/>
    <x v="4"/>
    <n v="3"/>
    <s v="Married"/>
    <n v="10748"/>
    <n v="3395"/>
    <n v="3"/>
    <s v="Y"/>
    <s v="No"/>
    <n v="23"/>
    <n v="4"/>
    <n v="4"/>
    <n v="80"/>
    <n v="1"/>
    <n v="25"/>
    <n v="3"/>
    <n v="2"/>
    <x v="36"/>
    <n v="15"/>
    <n v="14"/>
    <n v="4"/>
    <x v="0"/>
    <x v="2"/>
    <s v="Active"/>
    <x v="0"/>
  </r>
  <r>
    <n v="24"/>
    <x v="0"/>
    <s v="Travel Rarely"/>
    <n v="240"/>
    <x v="2"/>
    <n v="22"/>
    <n v="1"/>
    <s v="Human Resources"/>
    <n v="1"/>
    <x v="1222"/>
    <n v="4"/>
    <x v="1"/>
    <n v="58"/>
    <n v="1"/>
    <n v="1"/>
    <x v="8"/>
    <n v="3"/>
    <s v="Married"/>
    <n v="1555"/>
    <n v="11585"/>
    <n v="1"/>
    <s v="Y"/>
    <s v="No"/>
    <n v="11"/>
    <n v="3"/>
    <n v="3"/>
    <n v="80"/>
    <n v="1"/>
    <n v="1"/>
    <n v="2"/>
    <n v="3"/>
    <x v="6"/>
    <n v="0"/>
    <n v="0"/>
    <n v="0"/>
    <x v="2"/>
    <x v="1"/>
    <s v="Resigned"/>
    <x v="1"/>
  </r>
  <r>
    <n v="47"/>
    <x v="0"/>
    <s v="Travel Frequently"/>
    <n v="1093"/>
    <x v="0"/>
    <n v="9"/>
    <n v="3"/>
    <s v="Life Sciences"/>
    <n v="1"/>
    <x v="1223"/>
    <n v="3"/>
    <x v="1"/>
    <n v="82"/>
    <n v="1"/>
    <n v="4"/>
    <x v="0"/>
    <n v="3"/>
    <s v="Married"/>
    <n v="12936"/>
    <n v="24164"/>
    <n v="7"/>
    <s v="Y"/>
    <s v="No"/>
    <n v="11"/>
    <n v="3"/>
    <n v="3"/>
    <n v="80"/>
    <n v="0"/>
    <n v="25"/>
    <n v="3"/>
    <n v="1"/>
    <x v="36"/>
    <n v="5"/>
    <n v="14"/>
    <n v="10"/>
    <x v="0"/>
    <x v="2"/>
    <s v="Resigned"/>
    <x v="0"/>
  </r>
  <r>
    <n v="26"/>
    <x v="1"/>
    <s v="Travel Rarely"/>
    <n v="390"/>
    <x v="1"/>
    <n v="17"/>
    <n v="4"/>
    <s v="Medical"/>
    <n v="1"/>
    <x v="1224"/>
    <n v="4"/>
    <x v="1"/>
    <n v="62"/>
    <n v="1"/>
    <n v="1"/>
    <x v="2"/>
    <n v="3"/>
    <s v="Married"/>
    <n v="2305"/>
    <n v="6217"/>
    <n v="1"/>
    <s v="Y"/>
    <s v="No"/>
    <n v="15"/>
    <n v="3"/>
    <n v="3"/>
    <n v="80"/>
    <n v="3"/>
    <n v="3"/>
    <n v="3"/>
    <n v="4"/>
    <x v="11"/>
    <n v="2"/>
    <n v="0"/>
    <n v="2"/>
    <x v="2"/>
    <x v="1"/>
    <s v="Active"/>
    <x v="5"/>
  </r>
  <r>
    <n v="45"/>
    <x v="1"/>
    <s v="Travel Rarely"/>
    <n v="1005"/>
    <x v="1"/>
    <n v="28"/>
    <n v="2"/>
    <s v="Technical Degree"/>
    <n v="1"/>
    <x v="1225"/>
    <n v="4"/>
    <x v="0"/>
    <n v="48"/>
    <n v="2"/>
    <n v="4"/>
    <x v="7"/>
    <n v="2"/>
    <s v="Single"/>
    <n v="16704"/>
    <n v="17119"/>
    <n v="1"/>
    <s v="Y"/>
    <s v="No"/>
    <n v="11"/>
    <n v="3"/>
    <n v="3"/>
    <n v="80"/>
    <n v="0"/>
    <n v="21"/>
    <n v="2"/>
    <n v="3"/>
    <x v="17"/>
    <n v="6"/>
    <n v="8"/>
    <n v="6"/>
    <x v="0"/>
    <x v="2"/>
    <s v="Active"/>
    <x v="0"/>
  </r>
  <r>
    <n v="32"/>
    <x v="1"/>
    <s v="Travel Frequently"/>
    <n v="585"/>
    <x v="1"/>
    <n v="10"/>
    <n v="3"/>
    <s v="Life Sciences"/>
    <n v="1"/>
    <x v="1226"/>
    <n v="1"/>
    <x v="1"/>
    <n v="56"/>
    <n v="3"/>
    <n v="1"/>
    <x v="1"/>
    <n v="3"/>
    <s v="Married"/>
    <n v="3433"/>
    <n v="17360"/>
    <n v="6"/>
    <s v="Y"/>
    <s v="No"/>
    <n v="13"/>
    <n v="3"/>
    <n v="1"/>
    <n v="80"/>
    <n v="1"/>
    <n v="10"/>
    <n v="3"/>
    <n v="2"/>
    <x v="8"/>
    <n v="2"/>
    <n v="1"/>
    <n v="3"/>
    <x v="1"/>
    <x v="1"/>
    <s v="Active"/>
    <x v="3"/>
  </r>
  <r>
    <n v="31"/>
    <x v="1"/>
    <s v="Travel Rarely"/>
    <n v="741"/>
    <x v="1"/>
    <n v="2"/>
    <n v="4"/>
    <s v="Life Sciences"/>
    <n v="1"/>
    <x v="1227"/>
    <n v="2"/>
    <x v="1"/>
    <n v="69"/>
    <n v="3"/>
    <n v="1"/>
    <x v="2"/>
    <n v="3"/>
    <s v="Married"/>
    <n v="3477"/>
    <n v="18103"/>
    <n v="1"/>
    <s v="Y"/>
    <s v="No"/>
    <n v="14"/>
    <n v="3"/>
    <n v="4"/>
    <n v="80"/>
    <n v="1"/>
    <n v="6"/>
    <n v="2"/>
    <n v="4"/>
    <x v="8"/>
    <n v="2"/>
    <n v="0"/>
    <n v="3"/>
    <x v="1"/>
    <x v="1"/>
    <s v="Active"/>
    <x v="3"/>
  </r>
  <r>
    <n v="41"/>
    <x v="1"/>
    <s v="Non Travel"/>
    <n v="552"/>
    <x v="2"/>
    <n v="4"/>
    <n v="3"/>
    <s v="Human Resources"/>
    <n v="1"/>
    <x v="1228"/>
    <n v="3"/>
    <x v="1"/>
    <n v="60"/>
    <n v="1"/>
    <n v="2"/>
    <x v="8"/>
    <n v="2"/>
    <s v="Married"/>
    <n v="6430"/>
    <n v="20794"/>
    <n v="6"/>
    <s v="Y"/>
    <s v="No"/>
    <n v="19"/>
    <n v="3"/>
    <n v="2"/>
    <n v="80"/>
    <n v="1"/>
    <n v="10"/>
    <n v="4"/>
    <n v="3"/>
    <x v="11"/>
    <n v="2"/>
    <n v="1"/>
    <n v="2"/>
    <x v="0"/>
    <x v="0"/>
    <s v="Active"/>
    <x v="5"/>
  </r>
  <r>
    <n v="40"/>
    <x v="1"/>
    <s v="Travel Rarely"/>
    <n v="369"/>
    <x v="1"/>
    <n v="8"/>
    <n v="2"/>
    <s v="Life Sciences"/>
    <n v="1"/>
    <x v="1229"/>
    <n v="2"/>
    <x v="0"/>
    <n v="92"/>
    <n v="3"/>
    <n v="2"/>
    <x v="3"/>
    <n v="1"/>
    <s v="Married"/>
    <n v="6516"/>
    <n v="5041"/>
    <n v="2"/>
    <s v="Y"/>
    <s v="Yes"/>
    <n v="16"/>
    <n v="3"/>
    <n v="2"/>
    <n v="80"/>
    <n v="1"/>
    <n v="18"/>
    <n v="3"/>
    <n v="3"/>
    <x v="6"/>
    <n v="0"/>
    <n v="0"/>
    <n v="0"/>
    <x v="1"/>
    <x v="0"/>
    <s v="Active"/>
    <x v="1"/>
  </r>
  <r>
    <n v="24"/>
    <x v="1"/>
    <s v="Travel Rarely"/>
    <n v="506"/>
    <x v="1"/>
    <n v="29"/>
    <n v="1"/>
    <s v="Medical"/>
    <n v="1"/>
    <x v="1230"/>
    <n v="2"/>
    <x v="1"/>
    <n v="91"/>
    <n v="3"/>
    <n v="1"/>
    <x v="2"/>
    <n v="1"/>
    <s v="Divorced"/>
    <n v="3907"/>
    <n v="3622"/>
    <n v="1"/>
    <s v="Y"/>
    <s v="No"/>
    <n v="13"/>
    <n v="3"/>
    <n v="2"/>
    <n v="80"/>
    <n v="3"/>
    <n v="6"/>
    <n v="2"/>
    <n v="4"/>
    <x v="0"/>
    <n v="2"/>
    <n v="1"/>
    <n v="2"/>
    <x v="2"/>
    <x v="1"/>
    <s v="Active"/>
    <x v="0"/>
  </r>
  <r>
    <n v="46"/>
    <x v="1"/>
    <s v="Travel Rarely"/>
    <n v="717"/>
    <x v="1"/>
    <n v="13"/>
    <n v="4"/>
    <s v="Life Sciences"/>
    <n v="1"/>
    <x v="1231"/>
    <n v="3"/>
    <x v="1"/>
    <n v="34"/>
    <n v="3"/>
    <n v="2"/>
    <x v="4"/>
    <n v="2"/>
    <s v="Single"/>
    <n v="5562"/>
    <n v="9697"/>
    <n v="6"/>
    <s v="Y"/>
    <s v="No"/>
    <n v="14"/>
    <n v="3"/>
    <n v="4"/>
    <n v="80"/>
    <n v="0"/>
    <n v="19"/>
    <n v="3"/>
    <n v="3"/>
    <x v="1"/>
    <n v="7"/>
    <n v="0"/>
    <n v="9"/>
    <x v="0"/>
    <x v="0"/>
    <s v="Active"/>
    <x v="0"/>
  </r>
  <r>
    <n v="35"/>
    <x v="1"/>
    <s v="Travel Rarely"/>
    <n v="1370"/>
    <x v="1"/>
    <n v="27"/>
    <n v="4"/>
    <s v="Life Sciences"/>
    <n v="1"/>
    <x v="1232"/>
    <n v="4"/>
    <x v="1"/>
    <n v="49"/>
    <n v="3"/>
    <n v="2"/>
    <x v="3"/>
    <n v="3"/>
    <s v="Married"/>
    <n v="6883"/>
    <n v="5151"/>
    <n v="2"/>
    <s v="Y"/>
    <s v="No"/>
    <n v="16"/>
    <n v="3"/>
    <n v="2"/>
    <n v="80"/>
    <n v="1"/>
    <n v="17"/>
    <n v="3"/>
    <n v="3"/>
    <x v="5"/>
    <n v="7"/>
    <n v="0"/>
    <n v="7"/>
    <x v="1"/>
    <x v="0"/>
    <s v="Active"/>
    <x v="0"/>
  </r>
  <r>
    <n v="30"/>
    <x v="1"/>
    <s v="Travel Rarely"/>
    <n v="793"/>
    <x v="1"/>
    <n v="16"/>
    <n v="1"/>
    <s v="Life Sciences"/>
    <n v="1"/>
    <x v="1233"/>
    <n v="2"/>
    <x v="1"/>
    <n v="33"/>
    <n v="3"/>
    <n v="1"/>
    <x v="1"/>
    <n v="4"/>
    <s v="Married"/>
    <n v="2862"/>
    <n v="3811"/>
    <n v="1"/>
    <s v="Y"/>
    <s v="No"/>
    <n v="12"/>
    <n v="3"/>
    <n v="2"/>
    <n v="80"/>
    <n v="1"/>
    <n v="10"/>
    <n v="2"/>
    <n v="2"/>
    <x v="1"/>
    <n v="0"/>
    <n v="0"/>
    <n v="8"/>
    <x v="1"/>
    <x v="1"/>
    <s v="Active"/>
    <x v="0"/>
  </r>
  <r>
    <n v="47"/>
    <x v="1"/>
    <s v="Non Travel"/>
    <n v="543"/>
    <x v="0"/>
    <n v="2"/>
    <n v="4"/>
    <s v="Marketing"/>
    <n v="1"/>
    <x v="1234"/>
    <n v="3"/>
    <x v="1"/>
    <n v="87"/>
    <n v="3"/>
    <n v="2"/>
    <x v="0"/>
    <n v="2"/>
    <s v="Married"/>
    <n v="4978"/>
    <n v="3536"/>
    <n v="7"/>
    <s v="Y"/>
    <s v="No"/>
    <n v="11"/>
    <n v="3"/>
    <n v="4"/>
    <n v="80"/>
    <n v="1"/>
    <n v="4"/>
    <n v="3"/>
    <n v="1"/>
    <x v="6"/>
    <n v="0"/>
    <n v="0"/>
    <n v="0"/>
    <x v="0"/>
    <x v="1"/>
    <s v="Active"/>
    <x v="1"/>
  </r>
  <r>
    <n v="46"/>
    <x v="1"/>
    <s v="Travel Rarely"/>
    <n v="1277"/>
    <x v="0"/>
    <n v="2"/>
    <n v="3"/>
    <s v="Life Sciences"/>
    <n v="1"/>
    <x v="1235"/>
    <n v="3"/>
    <x v="1"/>
    <n v="74"/>
    <n v="3"/>
    <n v="3"/>
    <x v="0"/>
    <n v="4"/>
    <s v="Divorced"/>
    <n v="10368"/>
    <n v="5596"/>
    <n v="4"/>
    <s v="Y"/>
    <s v="Yes"/>
    <n v="12"/>
    <n v="3"/>
    <n v="2"/>
    <n v="80"/>
    <n v="1"/>
    <n v="13"/>
    <n v="5"/>
    <n v="2"/>
    <x v="1"/>
    <n v="6"/>
    <n v="0"/>
    <n v="3"/>
    <x v="0"/>
    <x v="2"/>
    <s v="Active"/>
    <x v="0"/>
  </r>
  <r>
    <n v="36"/>
    <x v="0"/>
    <s v="Travel Rarely"/>
    <n v="1456"/>
    <x v="0"/>
    <n v="13"/>
    <n v="5"/>
    <s v="Marketing"/>
    <n v="1"/>
    <x v="1236"/>
    <n v="2"/>
    <x v="1"/>
    <n v="96"/>
    <n v="2"/>
    <n v="2"/>
    <x v="0"/>
    <n v="1"/>
    <s v="Divorced"/>
    <n v="6134"/>
    <n v="8658"/>
    <n v="5"/>
    <s v="Y"/>
    <s v="Yes"/>
    <n v="13"/>
    <n v="3"/>
    <n v="2"/>
    <n v="80"/>
    <n v="3"/>
    <n v="16"/>
    <n v="3"/>
    <n v="3"/>
    <x v="4"/>
    <n v="2"/>
    <n v="2"/>
    <n v="2"/>
    <x v="1"/>
    <x v="0"/>
    <s v="Resigned"/>
    <x v="2"/>
  </r>
  <r>
    <n v="32"/>
    <x v="0"/>
    <s v="Travel Rarely"/>
    <n v="964"/>
    <x v="0"/>
    <n v="1"/>
    <n v="2"/>
    <s v="Life Sciences"/>
    <n v="1"/>
    <x v="1237"/>
    <n v="1"/>
    <x v="1"/>
    <n v="34"/>
    <n v="1"/>
    <n v="2"/>
    <x v="0"/>
    <n v="2"/>
    <s v="Single"/>
    <n v="6735"/>
    <n v="12147"/>
    <n v="6"/>
    <s v="Y"/>
    <s v="No"/>
    <n v="15"/>
    <n v="3"/>
    <n v="2"/>
    <n v="80"/>
    <n v="0"/>
    <n v="10"/>
    <n v="2"/>
    <n v="3"/>
    <x v="2"/>
    <n v="0"/>
    <n v="0"/>
    <n v="0"/>
    <x v="1"/>
    <x v="0"/>
    <s v="Resigned"/>
    <x v="1"/>
  </r>
  <r>
    <n v="23"/>
    <x v="1"/>
    <s v="Travel Rarely"/>
    <n v="160"/>
    <x v="1"/>
    <n v="4"/>
    <n v="1"/>
    <s v="Medical"/>
    <n v="1"/>
    <x v="1238"/>
    <n v="3"/>
    <x v="0"/>
    <n v="51"/>
    <n v="3"/>
    <n v="1"/>
    <x v="2"/>
    <n v="2"/>
    <s v="Single"/>
    <n v="3295"/>
    <n v="12862"/>
    <n v="1"/>
    <s v="Y"/>
    <s v="No"/>
    <n v="13"/>
    <n v="3"/>
    <n v="3"/>
    <n v="80"/>
    <n v="0"/>
    <n v="3"/>
    <n v="3"/>
    <n v="1"/>
    <x v="11"/>
    <n v="2"/>
    <n v="1"/>
    <n v="2"/>
    <x v="2"/>
    <x v="1"/>
    <s v="Active"/>
    <x v="5"/>
  </r>
  <r>
    <n v="31"/>
    <x v="1"/>
    <s v="Travel Frequently"/>
    <n v="163"/>
    <x v="1"/>
    <n v="24"/>
    <n v="1"/>
    <s v="Technical Degree"/>
    <n v="1"/>
    <x v="1239"/>
    <n v="4"/>
    <x v="0"/>
    <n v="30"/>
    <n v="3"/>
    <n v="2"/>
    <x v="3"/>
    <n v="4"/>
    <s v="Single"/>
    <n v="5238"/>
    <n v="6670"/>
    <n v="2"/>
    <s v="Y"/>
    <s v="No"/>
    <n v="20"/>
    <n v="4"/>
    <n v="4"/>
    <n v="80"/>
    <n v="0"/>
    <n v="9"/>
    <n v="3"/>
    <n v="2"/>
    <x v="8"/>
    <n v="4"/>
    <n v="1"/>
    <n v="4"/>
    <x v="1"/>
    <x v="0"/>
    <s v="Active"/>
    <x v="3"/>
  </r>
  <r>
    <n v="39"/>
    <x v="1"/>
    <s v="Non Travel"/>
    <n v="792"/>
    <x v="1"/>
    <n v="1"/>
    <n v="3"/>
    <s v="Life Sciences"/>
    <n v="1"/>
    <x v="1240"/>
    <n v="4"/>
    <x v="1"/>
    <n v="77"/>
    <n v="3"/>
    <n v="2"/>
    <x v="2"/>
    <n v="4"/>
    <s v="Married"/>
    <n v="6472"/>
    <n v="8989"/>
    <n v="1"/>
    <s v="Y"/>
    <s v="Yes"/>
    <n v="15"/>
    <n v="3"/>
    <n v="4"/>
    <n v="80"/>
    <n v="1"/>
    <n v="9"/>
    <n v="2"/>
    <n v="3"/>
    <x v="7"/>
    <n v="8"/>
    <n v="5"/>
    <n v="8"/>
    <x v="1"/>
    <x v="0"/>
    <s v="Active"/>
    <x v="0"/>
  </r>
  <r>
    <n v="32"/>
    <x v="1"/>
    <s v="Travel Rarely"/>
    <n v="371"/>
    <x v="0"/>
    <n v="19"/>
    <n v="3"/>
    <s v="Life Sciences"/>
    <n v="1"/>
    <x v="1241"/>
    <n v="4"/>
    <x v="1"/>
    <n v="80"/>
    <n v="1"/>
    <n v="3"/>
    <x v="0"/>
    <n v="3"/>
    <s v="Married"/>
    <n v="9610"/>
    <n v="3840"/>
    <n v="3"/>
    <s v="Y"/>
    <s v="No"/>
    <n v="13"/>
    <n v="3"/>
    <n v="3"/>
    <n v="80"/>
    <n v="1"/>
    <n v="10"/>
    <n v="2"/>
    <n v="1"/>
    <x v="9"/>
    <n v="3"/>
    <n v="0"/>
    <n v="2"/>
    <x v="1"/>
    <x v="0"/>
    <s v="Active"/>
    <x v="4"/>
  </r>
  <r>
    <n v="40"/>
    <x v="1"/>
    <s v="Travel Rarely"/>
    <n v="611"/>
    <x v="0"/>
    <n v="7"/>
    <n v="4"/>
    <s v="Medical"/>
    <n v="1"/>
    <x v="1242"/>
    <n v="2"/>
    <x v="1"/>
    <n v="88"/>
    <n v="3"/>
    <n v="5"/>
    <x v="5"/>
    <n v="2"/>
    <s v="Single"/>
    <n v="19833"/>
    <n v="4349"/>
    <n v="1"/>
    <s v="Y"/>
    <s v="No"/>
    <n v="14"/>
    <n v="3"/>
    <n v="2"/>
    <n v="80"/>
    <n v="0"/>
    <n v="21"/>
    <n v="3"/>
    <n v="2"/>
    <x v="17"/>
    <n v="8"/>
    <n v="12"/>
    <n v="8"/>
    <x v="1"/>
    <x v="2"/>
    <s v="Active"/>
    <x v="0"/>
  </r>
  <r>
    <n v="45"/>
    <x v="1"/>
    <s v="Travel Rarely"/>
    <n v="176"/>
    <x v="2"/>
    <n v="4"/>
    <n v="3"/>
    <s v="Life Sciences"/>
    <n v="1"/>
    <x v="1243"/>
    <n v="3"/>
    <x v="0"/>
    <n v="56"/>
    <n v="1"/>
    <n v="3"/>
    <x v="8"/>
    <n v="3"/>
    <s v="Married"/>
    <n v="9756"/>
    <n v="6595"/>
    <n v="4"/>
    <s v="Y"/>
    <s v="No"/>
    <n v="21"/>
    <n v="4"/>
    <n v="3"/>
    <n v="80"/>
    <n v="2"/>
    <n v="9"/>
    <n v="2"/>
    <n v="4"/>
    <x v="8"/>
    <n v="0"/>
    <n v="0"/>
    <n v="3"/>
    <x v="0"/>
    <x v="0"/>
    <s v="Active"/>
    <x v="3"/>
  </r>
  <r>
    <n v="30"/>
    <x v="1"/>
    <s v="Travel Frequently"/>
    <n v="1312"/>
    <x v="1"/>
    <n v="2"/>
    <n v="4"/>
    <s v="Technical Degree"/>
    <n v="1"/>
    <x v="1244"/>
    <n v="4"/>
    <x v="0"/>
    <n v="78"/>
    <n v="2"/>
    <n v="1"/>
    <x v="1"/>
    <n v="1"/>
    <s v="Single"/>
    <n v="4968"/>
    <n v="26427"/>
    <n v="0"/>
    <s v="Y"/>
    <s v="No"/>
    <n v="16"/>
    <n v="3"/>
    <n v="4"/>
    <n v="80"/>
    <n v="0"/>
    <n v="10"/>
    <n v="2"/>
    <n v="3"/>
    <x v="7"/>
    <n v="7"/>
    <n v="0"/>
    <n v="7"/>
    <x v="1"/>
    <x v="1"/>
    <s v="Active"/>
    <x v="0"/>
  </r>
  <r>
    <n v="24"/>
    <x v="1"/>
    <s v="Travel Frequently"/>
    <n v="897"/>
    <x v="2"/>
    <n v="10"/>
    <n v="3"/>
    <s v="Medical"/>
    <n v="1"/>
    <x v="1245"/>
    <n v="1"/>
    <x v="1"/>
    <n v="59"/>
    <n v="3"/>
    <n v="1"/>
    <x v="8"/>
    <n v="4"/>
    <s v="Married"/>
    <n v="2145"/>
    <n v="2097"/>
    <n v="0"/>
    <s v="Y"/>
    <s v="No"/>
    <n v="14"/>
    <n v="3"/>
    <n v="4"/>
    <n v="80"/>
    <n v="1"/>
    <n v="3"/>
    <n v="2"/>
    <n v="3"/>
    <x v="4"/>
    <n v="2"/>
    <n v="2"/>
    <n v="1"/>
    <x v="2"/>
    <x v="1"/>
    <s v="Active"/>
    <x v="2"/>
  </r>
  <r>
    <n v="30"/>
    <x v="0"/>
    <s v="Travel Frequently"/>
    <n v="600"/>
    <x v="2"/>
    <n v="8"/>
    <n v="3"/>
    <s v="Human Resources"/>
    <n v="1"/>
    <x v="1246"/>
    <n v="3"/>
    <x v="0"/>
    <n v="66"/>
    <n v="2"/>
    <n v="1"/>
    <x v="8"/>
    <n v="4"/>
    <s v="Divorced"/>
    <n v="2180"/>
    <n v="9732"/>
    <n v="6"/>
    <s v="Y"/>
    <s v="No"/>
    <n v="11"/>
    <n v="3"/>
    <n v="3"/>
    <n v="80"/>
    <n v="1"/>
    <n v="6"/>
    <n v="0"/>
    <n v="2"/>
    <x v="9"/>
    <n v="2"/>
    <n v="1"/>
    <n v="2"/>
    <x v="1"/>
    <x v="1"/>
    <s v="Resigned"/>
    <x v="4"/>
  </r>
  <r>
    <n v="31"/>
    <x v="1"/>
    <s v="Travel Rarely"/>
    <n v="1003"/>
    <x v="0"/>
    <n v="5"/>
    <n v="3"/>
    <s v="Technical Degree"/>
    <n v="1"/>
    <x v="1247"/>
    <n v="1"/>
    <x v="1"/>
    <n v="51"/>
    <n v="3"/>
    <n v="2"/>
    <x v="0"/>
    <n v="3"/>
    <s v="Married"/>
    <n v="8346"/>
    <n v="20943"/>
    <n v="1"/>
    <s v="Y"/>
    <s v="No"/>
    <n v="19"/>
    <n v="3"/>
    <n v="3"/>
    <n v="80"/>
    <n v="1"/>
    <n v="6"/>
    <n v="3"/>
    <n v="3"/>
    <x v="8"/>
    <n v="2"/>
    <n v="0"/>
    <n v="2"/>
    <x v="1"/>
    <x v="0"/>
    <s v="Active"/>
    <x v="3"/>
  </r>
  <r>
    <n v="27"/>
    <x v="1"/>
    <s v="Travel Rarely"/>
    <n v="1054"/>
    <x v="1"/>
    <n v="8"/>
    <n v="3"/>
    <s v="Medical"/>
    <n v="1"/>
    <x v="1248"/>
    <n v="3"/>
    <x v="0"/>
    <n v="67"/>
    <n v="3"/>
    <n v="1"/>
    <x v="1"/>
    <n v="4"/>
    <s v="Single"/>
    <n v="3445"/>
    <n v="6152"/>
    <n v="1"/>
    <s v="Y"/>
    <s v="No"/>
    <n v="11"/>
    <n v="3"/>
    <n v="3"/>
    <n v="80"/>
    <n v="0"/>
    <n v="6"/>
    <n v="5"/>
    <n v="2"/>
    <x v="0"/>
    <n v="2"/>
    <n v="1"/>
    <n v="4"/>
    <x v="2"/>
    <x v="1"/>
    <s v="Active"/>
    <x v="0"/>
  </r>
  <r>
    <n v="29"/>
    <x v="0"/>
    <s v="Travel Rarely"/>
    <n v="428"/>
    <x v="0"/>
    <n v="9"/>
    <n v="3"/>
    <s v="Marketing"/>
    <n v="1"/>
    <x v="1249"/>
    <n v="2"/>
    <x v="0"/>
    <n v="52"/>
    <n v="1"/>
    <n v="1"/>
    <x v="6"/>
    <n v="2"/>
    <s v="Single"/>
    <n v="2760"/>
    <n v="14630"/>
    <n v="1"/>
    <s v="Y"/>
    <s v="No"/>
    <n v="13"/>
    <n v="3"/>
    <n v="3"/>
    <n v="80"/>
    <n v="0"/>
    <n v="2"/>
    <n v="3"/>
    <n v="3"/>
    <x v="4"/>
    <n v="2"/>
    <n v="2"/>
    <n v="2"/>
    <x v="2"/>
    <x v="1"/>
    <s v="Resigned"/>
    <x v="2"/>
  </r>
  <r>
    <n v="29"/>
    <x v="1"/>
    <s v="Travel Frequently"/>
    <n v="461"/>
    <x v="1"/>
    <n v="1"/>
    <n v="3"/>
    <s v="Life Sciences"/>
    <n v="1"/>
    <x v="1250"/>
    <n v="4"/>
    <x v="1"/>
    <n v="70"/>
    <n v="4"/>
    <n v="2"/>
    <x v="4"/>
    <n v="3"/>
    <s v="Single"/>
    <n v="6294"/>
    <n v="23060"/>
    <n v="8"/>
    <s v="Y"/>
    <s v="Yes"/>
    <n v="12"/>
    <n v="3"/>
    <n v="4"/>
    <n v="80"/>
    <n v="0"/>
    <n v="10"/>
    <n v="5"/>
    <n v="4"/>
    <x v="11"/>
    <n v="2"/>
    <n v="0"/>
    <n v="2"/>
    <x v="2"/>
    <x v="0"/>
    <s v="Active"/>
    <x v="5"/>
  </r>
  <r>
    <n v="30"/>
    <x v="1"/>
    <s v="Travel Rarely"/>
    <n v="979"/>
    <x v="0"/>
    <n v="15"/>
    <n v="2"/>
    <s v="Marketing"/>
    <n v="1"/>
    <x v="1251"/>
    <n v="3"/>
    <x v="1"/>
    <n v="94"/>
    <n v="2"/>
    <n v="3"/>
    <x v="0"/>
    <n v="1"/>
    <s v="Divorced"/>
    <n v="7140"/>
    <n v="3088"/>
    <n v="2"/>
    <s v="Y"/>
    <s v="No"/>
    <n v="11"/>
    <n v="3"/>
    <n v="1"/>
    <n v="80"/>
    <n v="1"/>
    <n v="12"/>
    <n v="2"/>
    <n v="3"/>
    <x v="5"/>
    <n v="7"/>
    <n v="1"/>
    <n v="7"/>
    <x v="1"/>
    <x v="0"/>
    <s v="Active"/>
    <x v="0"/>
  </r>
  <r>
    <n v="34"/>
    <x v="1"/>
    <s v="Travel Rarely"/>
    <n v="181"/>
    <x v="1"/>
    <n v="2"/>
    <n v="4"/>
    <s v="Medical"/>
    <n v="1"/>
    <x v="1252"/>
    <n v="4"/>
    <x v="1"/>
    <n v="97"/>
    <n v="4"/>
    <n v="1"/>
    <x v="1"/>
    <n v="4"/>
    <s v="Married"/>
    <n v="2932"/>
    <n v="5586"/>
    <n v="0"/>
    <s v="Y"/>
    <s v="Yes"/>
    <n v="14"/>
    <n v="3"/>
    <n v="1"/>
    <n v="80"/>
    <n v="3"/>
    <n v="6"/>
    <n v="3"/>
    <n v="3"/>
    <x v="8"/>
    <n v="0"/>
    <n v="1"/>
    <n v="2"/>
    <x v="1"/>
    <x v="1"/>
    <s v="Active"/>
    <x v="3"/>
  </r>
  <r>
    <n v="33"/>
    <x v="1"/>
    <s v="Non Travel"/>
    <n v="1283"/>
    <x v="0"/>
    <n v="2"/>
    <n v="3"/>
    <s v="Marketing"/>
    <n v="1"/>
    <x v="1253"/>
    <n v="4"/>
    <x v="0"/>
    <n v="62"/>
    <n v="3"/>
    <n v="2"/>
    <x v="0"/>
    <n v="2"/>
    <s v="Single"/>
    <n v="5147"/>
    <n v="10697"/>
    <n v="8"/>
    <s v="Y"/>
    <s v="No"/>
    <n v="15"/>
    <n v="3"/>
    <n v="4"/>
    <n v="80"/>
    <n v="0"/>
    <n v="13"/>
    <n v="2"/>
    <n v="2"/>
    <x v="19"/>
    <n v="7"/>
    <n v="1"/>
    <n v="7"/>
    <x v="1"/>
    <x v="0"/>
    <s v="Active"/>
    <x v="0"/>
  </r>
  <r>
    <n v="49"/>
    <x v="1"/>
    <s v="Travel Rarely"/>
    <n v="1313"/>
    <x v="0"/>
    <n v="11"/>
    <n v="4"/>
    <s v="Marketing"/>
    <n v="1"/>
    <x v="1254"/>
    <n v="4"/>
    <x v="0"/>
    <n v="80"/>
    <n v="3"/>
    <n v="2"/>
    <x v="0"/>
    <n v="4"/>
    <s v="Single"/>
    <n v="4507"/>
    <n v="8191"/>
    <n v="3"/>
    <s v="Y"/>
    <s v="No"/>
    <n v="12"/>
    <n v="3"/>
    <n v="3"/>
    <n v="80"/>
    <n v="0"/>
    <n v="8"/>
    <n v="1"/>
    <n v="4"/>
    <x v="8"/>
    <n v="1"/>
    <n v="0"/>
    <n v="4"/>
    <x v="0"/>
    <x v="1"/>
    <s v="Active"/>
    <x v="3"/>
  </r>
  <r>
    <n v="33"/>
    <x v="0"/>
    <s v="Travel Rarely"/>
    <n v="211"/>
    <x v="0"/>
    <n v="16"/>
    <n v="3"/>
    <s v="Life Sciences"/>
    <n v="1"/>
    <x v="1255"/>
    <n v="1"/>
    <x v="0"/>
    <n v="74"/>
    <n v="3"/>
    <n v="3"/>
    <x v="0"/>
    <n v="1"/>
    <s v="Single"/>
    <n v="8564"/>
    <n v="10092"/>
    <n v="2"/>
    <s v="Y"/>
    <s v="Yes"/>
    <n v="20"/>
    <n v="4"/>
    <n v="3"/>
    <n v="80"/>
    <n v="0"/>
    <n v="11"/>
    <n v="2"/>
    <n v="2"/>
    <x v="2"/>
    <n v="0"/>
    <n v="0"/>
    <n v="0"/>
    <x v="1"/>
    <x v="0"/>
    <s v="Resigned"/>
    <x v="1"/>
  </r>
  <r>
    <n v="38"/>
    <x v="1"/>
    <s v="Travel Frequently"/>
    <n v="594"/>
    <x v="1"/>
    <n v="2"/>
    <n v="2"/>
    <s v="Medical"/>
    <n v="1"/>
    <x v="1256"/>
    <n v="3"/>
    <x v="0"/>
    <n v="75"/>
    <n v="2"/>
    <n v="1"/>
    <x v="2"/>
    <n v="2"/>
    <s v="Married"/>
    <n v="2468"/>
    <n v="15963"/>
    <n v="4"/>
    <s v="Y"/>
    <s v="No"/>
    <n v="14"/>
    <n v="3"/>
    <n v="2"/>
    <n v="80"/>
    <n v="1"/>
    <n v="9"/>
    <n v="4"/>
    <n v="2"/>
    <x v="0"/>
    <n v="1"/>
    <n v="0"/>
    <n v="5"/>
    <x v="1"/>
    <x v="1"/>
    <s v="Active"/>
    <x v="0"/>
  </r>
  <r>
    <n v="31"/>
    <x v="0"/>
    <s v="Travel Rarely"/>
    <n v="1079"/>
    <x v="0"/>
    <n v="16"/>
    <n v="4"/>
    <s v="Marketing"/>
    <n v="1"/>
    <x v="1257"/>
    <n v="1"/>
    <x v="1"/>
    <n v="70"/>
    <n v="3"/>
    <n v="3"/>
    <x v="0"/>
    <n v="3"/>
    <s v="Married"/>
    <n v="8161"/>
    <n v="19002"/>
    <n v="2"/>
    <s v="Y"/>
    <s v="No"/>
    <n v="13"/>
    <n v="3"/>
    <n v="1"/>
    <n v="80"/>
    <n v="3"/>
    <n v="10"/>
    <n v="2"/>
    <n v="3"/>
    <x v="6"/>
    <n v="0"/>
    <n v="0"/>
    <n v="0"/>
    <x v="1"/>
    <x v="0"/>
    <s v="Resigned"/>
    <x v="1"/>
  </r>
  <r>
    <n v="29"/>
    <x v="1"/>
    <s v="Travel Rarely"/>
    <n v="590"/>
    <x v="1"/>
    <n v="4"/>
    <n v="3"/>
    <s v="Technical Degree"/>
    <n v="1"/>
    <x v="1258"/>
    <n v="4"/>
    <x v="0"/>
    <n v="91"/>
    <n v="2"/>
    <n v="1"/>
    <x v="1"/>
    <n v="1"/>
    <s v="Divorced"/>
    <n v="2109"/>
    <n v="10007"/>
    <n v="1"/>
    <s v="Y"/>
    <s v="No"/>
    <n v="13"/>
    <n v="3"/>
    <n v="3"/>
    <n v="80"/>
    <n v="1"/>
    <n v="1"/>
    <n v="2"/>
    <n v="3"/>
    <x v="6"/>
    <n v="0"/>
    <n v="0"/>
    <n v="0"/>
    <x v="2"/>
    <x v="1"/>
    <s v="Active"/>
    <x v="1"/>
  </r>
  <r>
    <n v="30"/>
    <x v="1"/>
    <s v="Travel Rarely"/>
    <n v="305"/>
    <x v="1"/>
    <n v="16"/>
    <n v="3"/>
    <s v="Life Sciences"/>
    <n v="1"/>
    <x v="1259"/>
    <n v="3"/>
    <x v="1"/>
    <n v="58"/>
    <n v="4"/>
    <n v="2"/>
    <x v="4"/>
    <n v="3"/>
    <s v="Married"/>
    <n v="5294"/>
    <n v="9128"/>
    <n v="3"/>
    <s v="Y"/>
    <s v="No"/>
    <n v="16"/>
    <n v="3"/>
    <n v="3"/>
    <n v="80"/>
    <n v="1"/>
    <n v="10"/>
    <n v="3"/>
    <n v="3"/>
    <x v="5"/>
    <n v="0"/>
    <n v="1"/>
    <n v="7"/>
    <x v="1"/>
    <x v="0"/>
    <s v="Active"/>
    <x v="0"/>
  </r>
  <r>
    <n v="32"/>
    <x v="1"/>
    <s v="Non Travel"/>
    <n v="953"/>
    <x v="1"/>
    <n v="5"/>
    <n v="4"/>
    <s v="Technical Degree"/>
    <n v="1"/>
    <x v="1260"/>
    <n v="2"/>
    <x v="1"/>
    <n v="65"/>
    <n v="3"/>
    <n v="1"/>
    <x v="1"/>
    <n v="2"/>
    <s v="Single"/>
    <n v="2718"/>
    <n v="17674"/>
    <n v="2"/>
    <s v="Y"/>
    <s v="No"/>
    <n v="14"/>
    <n v="3"/>
    <n v="2"/>
    <n v="80"/>
    <n v="0"/>
    <n v="12"/>
    <n v="3"/>
    <n v="3"/>
    <x v="5"/>
    <n v="7"/>
    <n v="0"/>
    <n v="7"/>
    <x v="1"/>
    <x v="1"/>
    <s v="Active"/>
    <x v="0"/>
  </r>
  <r>
    <n v="38"/>
    <x v="1"/>
    <s v="Travel Rarely"/>
    <n v="833"/>
    <x v="1"/>
    <n v="18"/>
    <n v="3"/>
    <s v="Medical"/>
    <n v="1"/>
    <x v="1261"/>
    <n v="2"/>
    <x v="1"/>
    <n v="60"/>
    <n v="1"/>
    <n v="2"/>
    <x v="4"/>
    <n v="4"/>
    <s v="Married"/>
    <n v="5811"/>
    <n v="24539"/>
    <n v="3"/>
    <s v="Y"/>
    <s v="Yes"/>
    <n v="16"/>
    <n v="3"/>
    <n v="3"/>
    <n v="80"/>
    <n v="1"/>
    <n v="15"/>
    <n v="2"/>
    <n v="3"/>
    <x v="6"/>
    <n v="0"/>
    <n v="1"/>
    <n v="0"/>
    <x v="1"/>
    <x v="0"/>
    <s v="Active"/>
    <x v="1"/>
  </r>
  <r>
    <n v="43"/>
    <x v="0"/>
    <s v="Travel Frequently"/>
    <n v="807"/>
    <x v="1"/>
    <n v="17"/>
    <n v="3"/>
    <s v="Technical Degree"/>
    <n v="1"/>
    <x v="1262"/>
    <n v="3"/>
    <x v="1"/>
    <n v="38"/>
    <n v="2"/>
    <n v="1"/>
    <x v="1"/>
    <n v="3"/>
    <s v="Married"/>
    <n v="2437"/>
    <n v="15587"/>
    <n v="9"/>
    <s v="Y"/>
    <s v="Yes"/>
    <n v="16"/>
    <n v="3"/>
    <n v="4"/>
    <n v="80"/>
    <n v="1"/>
    <n v="6"/>
    <n v="4"/>
    <n v="3"/>
    <x v="6"/>
    <n v="0"/>
    <n v="0"/>
    <n v="0"/>
    <x v="0"/>
    <x v="1"/>
    <s v="Resigned"/>
    <x v="1"/>
  </r>
  <r>
    <n v="42"/>
    <x v="1"/>
    <s v="Travel Rarely"/>
    <n v="855"/>
    <x v="1"/>
    <n v="12"/>
    <n v="3"/>
    <s v="Medical"/>
    <n v="1"/>
    <x v="1263"/>
    <n v="2"/>
    <x v="1"/>
    <n v="57"/>
    <n v="3"/>
    <n v="1"/>
    <x v="2"/>
    <n v="2"/>
    <s v="Divorced"/>
    <n v="2766"/>
    <n v="8952"/>
    <n v="8"/>
    <s v="Y"/>
    <s v="No"/>
    <n v="22"/>
    <n v="4"/>
    <n v="2"/>
    <n v="80"/>
    <n v="3"/>
    <n v="7"/>
    <n v="6"/>
    <n v="2"/>
    <x v="8"/>
    <n v="3"/>
    <n v="0"/>
    <n v="4"/>
    <x v="0"/>
    <x v="1"/>
    <s v="Active"/>
    <x v="3"/>
  </r>
  <r>
    <n v="55"/>
    <x v="1"/>
    <s v="Travel Rarely"/>
    <n v="478"/>
    <x v="1"/>
    <n v="2"/>
    <n v="3"/>
    <s v="Medical"/>
    <n v="1"/>
    <x v="1264"/>
    <n v="3"/>
    <x v="1"/>
    <n v="60"/>
    <n v="2"/>
    <n v="5"/>
    <x v="7"/>
    <n v="1"/>
    <s v="Married"/>
    <n v="19038"/>
    <n v="19805"/>
    <n v="8"/>
    <s v="Y"/>
    <s v="No"/>
    <n v="12"/>
    <n v="3"/>
    <n v="2"/>
    <n v="80"/>
    <n v="3"/>
    <n v="34"/>
    <n v="2"/>
    <n v="3"/>
    <x v="6"/>
    <n v="0"/>
    <n v="0"/>
    <n v="0"/>
    <x v="0"/>
    <x v="2"/>
    <s v="Active"/>
    <x v="1"/>
  </r>
  <r>
    <n v="33"/>
    <x v="1"/>
    <s v="Non Travel"/>
    <n v="775"/>
    <x v="1"/>
    <n v="4"/>
    <n v="3"/>
    <s v="Technical Degree"/>
    <n v="1"/>
    <x v="1265"/>
    <n v="4"/>
    <x v="1"/>
    <n v="90"/>
    <n v="3"/>
    <n v="2"/>
    <x v="1"/>
    <n v="2"/>
    <s v="Divorced"/>
    <n v="3055"/>
    <n v="6194"/>
    <n v="5"/>
    <s v="Y"/>
    <s v="No"/>
    <n v="15"/>
    <n v="3"/>
    <n v="4"/>
    <n v="80"/>
    <n v="2"/>
    <n v="11"/>
    <n v="2"/>
    <n v="2"/>
    <x v="7"/>
    <n v="8"/>
    <n v="1"/>
    <n v="7"/>
    <x v="1"/>
    <x v="1"/>
    <s v="Active"/>
    <x v="0"/>
  </r>
  <r>
    <n v="41"/>
    <x v="1"/>
    <s v="Travel Rarely"/>
    <n v="548"/>
    <x v="1"/>
    <n v="9"/>
    <n v="4"/>
    <s v="Life Sciences"/>
    <n v="1"/>
    <x v="1266"/>
    <n v="3"/>
    <x v="1"/>
    <n v="94"/>
    <n v="3"/>
    <n v="1"/>
    <x v="2"/>
    <n v="1"/>
    <s v="Divorced"/>
    <n v="2289"/>
    <n v="20520"/>
    <n v="1"/>
    <s v="Y"/>
    <s v="No"/>
    <n v="20"/>
    <n v="4"/>
    <n v="2"/>
    <n v="80"/>
    <n v="2"/>
    <n v="5"/>
    <n v="2"/>
    <n v="3"/>
    <x v="8"/>
    <n v="3"/>
    <n v="0"/>
    <n v="4"/>
    <x v="0"/>
    <x v="1"/>
    <s v="Active"/>
    <x v="3"/>
  </r>
  <r>
    <n v="34"/>
    <x v="1"/>
    <s v="Non Travel"/>
    <n v="1375"/>
    <x v="0"/>
    <n v="10"/>
    <n v="3"/>
    <s v="Life Sciences"/>
    <n v="1"/>
    <x v="1267"/>
    <n v="4"/>
    <x v="1"/>
    <n v="87"/>
    <n v="3"/>
    <n v="2"/>
    <x v="0"/>
    <n v="3"/>
    <s v="Divorced"/>
    <n v="4001"/>
    <n v="12313"/>
    <n v="1"/>
    <s v="Y"/>
    <s v="Yes"/>
    <n v="14"/>
    <n v="3"/>
    <n v="3"/>
    <n v="80"/>
    <n v="1"/>
    <n v="15"/>
    <n v="3"/>
    <n v="3"/>
    <x v="15"/>
    <n v="14"/>
    <n v="0"/>
    <n v="7"/>
    <x v="1"/>
    <x v="1"/>
    <s v="Active"/>
    <x v="0"/>
  </r>
  <r>
    <n v="53"/>
    <x v="1"/>
    <s v="Non Travel"/>
    <n v="661"/>
    <x v="1"/>
    <n v="1"/>
    <n v="4"/>
    <s v="Medical"/>
    <n v="1"/>
    <x v="1268"/>
    <n v="1"/>
    <x v="0"/>
    <n v="60"/>
    <n v="2"/>
    <n v="4"/>
    <x v="3"/>
    <n v="3"/>
    <s v="Married"/>
    <n v="12965"/>
    <n v="22308"/>
    <n v="4"/>
    <s v="Y"/>
    <s v="Yes"/>
    <n v="20"/>
    <n v="4"/>
    <n v="4"/>
    <n v="80"/>
    <n v="3"/>
    <n v="27"/>
    <n v="2"/>
    <n v="2"/>
    <x v="11"/>
    <n v="2"/>
    <n v="0"/>
    <n v="2"/>
    <x v="0"/>
    <x v="2"/>
    <s v="Active"/>
    <x v="5"/>
  </r>
  <r>
    <n v="43"/>
    <x v="1"/>
    <s v="Travel Rarely"/>
    <n v="244"/>
    <x v="2"/>
    <n v="2"/>
    <n v="3"/>
    <s v="Life Sciences"/>
    <n v="1"/>
    <x v="1269"/>
    <n v="2"/>
    <x v="1"/>
    <n v="97"/>
    <n v="3"/>
    <n v="1"/>
    <x v="8"/>
    <n v="4"/>
    <s v="Single"/>
    <n v="3539"/>
    <n v="5033"/>
    <n v="0"/>
    <s v="Y"/>
    <s v="No"/>
    <n v="13"/>
    <n v="3"/>
    <n v="2"/>
    <n v="80"/>
    <n v="0"/>
    <n v="10"/>
    <n v="5"/>
    <n v="3"/>
    <x v="7"/>
    <n v="7"/>
    <n v="1"/>
    <n v="8"/>
    <x v="0"/>
    <x v="1"/>
    <s v="Active"/>
    <x v="0"/>
  </r>
  <r>
    <n v="34"/>
    <x v="1"/>
    <s v="Travel Rarely"/>
    <n v="511"/>
    <x v="0"/>
    <n v="3"/>
    <n v="2"/>
    <s v="Life Sciences"/>
    <n v="1"/>
    <x v="1270"/>
    <n v="4"/>
    <x v="0"/>
    <n v="32"/>
    <n v="1"/>
    <n v="2"/>
    <x v="0"/>
    <n v="4"/>
    <s v="Single"/>
    <n v="6029"/>
    <n v="25353"/>
    <n v="5"/>
    <s v="Y"/>
    <s v="No"/>
    <n v="12"/>
    <n v="3"/>
    <n v="1"/>
    <n v="80"/>
    <n v="0"/>
    <n v="6"/>
    <n v="3"/>
    <n v="3"/>
    <x v="4"/>
    <n v="2"/>
    <n v="2"/>
    <n v="2"/>
    <x v="1"/>
    <x v="0"/>
    <s v="Active"/>
    <x v="2"/>
  </r>
  <r>
    <n v="21"/>
    <x v="0"/>
    <s v="Travel Rarely"/>
    <n v="337"/>
    <x v="0"/>
    <n v="7"/>
    <n v="1"/>
    <s v="Marketing"/>
    <n v="1"/>
    <x v="1271"/>
    <n v="2"/>
    <x v="1"/>
    <n v="31"/>
    <n v="3"/>
    <n v="1"/>
    <x v="6"/>
    <n v="2"/>
    <s v="Single"/>
    <n v="2679"/>
    <n v="4567"/>
    <n v="1"/>
    <s v="Y"/>
    <s v="No"/>
    <n v="13"/>
    <n v="3"/>
    <n v="2"/>
    <n v="80"/>
    <n v="0"/>
    <n v="1"/>
    <n v="3"/>
    <n v="3"/>
    <x v="6"/>
    <n v="0"/>
    <n v="1"/>
    <n v="0"/>
    <x v="2"/>
    <x v="1"/>
    <s v="Resigned"/>
    <x v="1"/>
  </r>
  <r>
    <n v="38"/>
    <x v="1"/>
    <s v="Travel Rarely"/>
    <n v="1153"/>
    <x v="1"/>
    <n v="6"/>
    <n v="2"/>
    <s v="Other"/>
    <n v="1"/>
    <x v="1272"/>
    <n v="4"/>
    <x v="0"/>
    <n v="40"/>
    <n v="2"/>
    <n v="1"/>
    <x v="2"/>
    <n v="3"/>
    <s v="Married"/>
    <n v="3702"/>
    <n v="16376"/>
    <n v="1"/>
    <s v="Y"/>
    <s v="No"/>
    <n v="11"/>
    <n v="3"/>
    <n v="2"/>
    <n v="80"/>
    <n v="1"/>
    <n v="5"/>
    <n v="3"/>
    <n v="3"/>
    <x v="8"/>
    <n v="4"/>
    <n v="0"/>
    <n v="4"/>
    <x v="1"/>
    <x v="1"/>
    <s v="Active"/>
    <x v="3"/>
  </r>
  <r>
    <n v="22"/>
    <x v="0"/>
    <s v="Travel Rarely"/>
    <n v="1294"/>
    <x v="1"/>
    <n v="8"/>
    <n v="1"/>
    <s v="Medical"/>
    <n v="1"/>
    <x v="1273"/>
    <n v="3"/>
    <x v="0"/>
    <n v="79"/>
    <n v="3"/>
    <n v="1"/>
    <x v="2"/>
    <n v="1"/>
    <s v="Married"/>
    <n v="2398"/>
    <n v="15999"/>
    <n v="1"/>
    <s v="Y"/>
    <s v="Yes"/>
    <n v="17"/>
    <n v="3"/>
    <n v="3"/>
    <n v="80"/>
    <n v="0"/>
    <n v="1"/>
    <n v="6"/>
    <n v="3"/>
    <x v="6"/>
    <n v="0"/>
    <n v="0"/>
    <n v="0"/>
    <x v="2"/>
    <x v="1"/>
    <s v="Resigned"/>
    <x v="1"/>
  </r>
  <r>
    <n v="31"/>
    <x v="1"/>
    <s v="Travel Rarely"/>
    <n v="196"/>
    <x v="0"/>
    <n v="29"/>
    <n v="4"/>
    <s v="Marketing"/>
    <n v="1"/>
    <x v="1274"/>
    <n v="1"/>
    <x v="0"/>
    <n v="91"/>
    <n v="2"/>
    <n v="2"/>
    <x v="0"/>
    <n v="4"/>
    <s v="Married"/>
    <n v="5468"/>
    <n v="13402"/>
    <n v="1"/>
    <s v="Y"/>
    <s v="No"/>
    <n v="14"/>
    <n v="3"/>
    <n v="1"/>
    <n v="80"/>
    <n v="2"/>
    <n v="13"/>
    <n v="3"/>
    <n v="3"/>
    <x v="12"/>
    <n v="7"/>
    <n v="5"/>
    <n v="7"/>
    <x v="1"/>
    <x v="0"/>
    <s v="Active"/>
    <x v="0"/>
  </r>
  <r>
    <n v="51"/>
    <x v="1"/>
    <s v="Travel Rarely"/>
    <n v="942"/>
    <x v="1"/>
    <n v="3"/>
    <n v="3"/>
    <s v="Technical Degree"/>
    <n v="1"/>
    <x v="1275"/>
    <n v="1"/>
    <x v="0"/>
    <n v="53"/>
    <n v="3"/>
    <n v="3"/>
    <x v="5"/>
    <n v="3"/>
    <s v="Married"/>
    <n v="13116"/>
    <n v="22984"/>
    <n v="2"/>
    <s v="Y"/>
    <s v="No"/>
    <n v="11"/>
    <n v="3"/>
    <n v="4"/>
    <n v="80"/>
    <n v="0"/>
    <n v="15"/>
    <n v="2"/>
    <n v="3"/>
    <x v="4"/>
    <n v="2"/>
    <n v="2"/>
    <n v="2"/>
    <x v="0"/>
    <x v="2"/>
    <s v="Active"/>
    <x v="2"/>
  </r>
  <r>
    <n v="37"/>
    <x v="1"/>
    <s v="Travel Rarely"/>
    <n v="589"/>
    <x v="0"/>
    <n v="9"/>
    <n v="2"/>
    <s v="Marketing"/>
    <n v="1"/>
    <x v="1276"/>
    <n v="2"/>
    <x v="1"/>
    <n v="46"/>
    <n v="2"/>
    <n v="2"/>
    <x v="0"/>
    <n v="2"/>
    <s v="Married"/>
    <n v="4189"/>
    <n v="8800"/>
    <n v="1"/>
    <s v="Y"/>
    <s v="No"/>
    <n v="14"/>
    <n v="3"/>
    <n v="1"/>
    <n v="80"/>
    <n v="2"/>
    <n v="5"/>
    <n v="2"/>
    <n v="3"/>
    <x v="8"/>
    <n v="2"/>
    <n v="0"/>
    <n v="3"/>
    <x v="1"/>
    <x v="1"/>
    <s v="Active"/>
    <x v="3"/>
  </r>
  <r>
    <n v="46"/>
    <x v="1"/>
    <s v="Travel Rarely"/>
    <n v="734"/>
    <x v="1"/>
    <n v="2"/>
    <n v="4"/>
    <s v="Medical"/>
    <n v="1"/>
    <x v="1277"/>
    <n v="3"/>
    <x v="1"/>
    <n v="46"/>
    <n v="3"/>
    <n v="5"/>
    <x v="7"/>
    <n v="4"/>
    <s v="Divorced"/>
    <n v="19328"/>
    <n v="14218"/>
    <n v="7"/>
    <s v="Y"/>
    <s v="Yes"/>
    <n v="17"/>
    <n v="3"/>
    <n v="3"/>
    <n v="80"/>
    <n v="1"/>
    <n v="24"/>
    <n v="3"/>
    <n v="3"/>
    <x v="4"/>
    <n v="1"/>
    <n v="2"/>
    <n v="2"/>
    <x v="0"/>
    <x v="2"/>
    <s v="Active"/>
    <x v="2"/>
  </r>
  <r>
    <n v="36"/>
    <x v="1"/>
    <s v="Travel Rarely"/>
    <n v="1383"/>
    <x v="1"/>
    <n v="10"/>
    <n v="3"/>
    <s v="Life Sciences"/>
    <n v="1"/>
    <x v="1278"/>
    <n v="4"/>
    <x v="1"/>
    <n v="90"/>
    <n v="3"/>
    <n v="3"/>
    <x v="4"/>
    <n v="1"/>
    <s v="Married"/>
    <n v="8321"/>
    <n v="25949"/>
    <n v="7"/>
    <s v="Y"/>
    <s v="Yes"/>
    <n v="13"/>
    <n v="3"/>
    <n v="4"/>
    <n v="80"/>
    <n v="1"/>
    <n v="15"/>
    <n v="1"/>
    <n v="3"/>
    <x v="12"/>
    <n v="8"/>
    <n v="5"/>
    <n v="7"/>
    <x v="1"/>
    <x v="0"/>
    <s v="Active"/>
    <x v="0"/>
  </r>
  <r>
    <n v="44"/>
    <x v="0"/>
    <s v="Travel Frequently"/>
    <n v="429"/>
    <x v="1"/>
    <n v="1"/>
    <n v="2"/>
    <s v="Medical"/>
    <n v="1"/>
    <x v="1279"/>
    <n v="3"/>
    <x v="1"/>
    <n v="99"/>
    <n v="3"/>
    <n v="1"/>
    <x v="1"/>
    <n v="2"/>
    <s v="Divorced"/>
    <n v="2342"/>
    <n v="11092"/>
    <n v="1"/>
    <s v="Y"/>
    <s v="Yes"/>
    <n v="12"/>
    <n v="3"/>
    <n v="3"/>
    <n v="80"/>
    <n v="3"/>
    <n v="6"/>
    <n v="2"/>
    <n v="2"/>
    <x v="8"/>
    <n v="3"/>
    <n v="2"/>
    <n v="3"/>
    <x v="0"/>
    <x v="1"/>
    <s v="Resigned"/>
    <x v="3"/>
  </r>
  <r>
    <n v="37"/>
    <x v="1"/>
    <s v="Travel Rarely"/>
    <n v="1239"/>
    <x v="2"/>
    <n v="8"/>
    <n v="2"/>
    <s v="Other"/>
    <n v="1"/>
    <x v="1280"/>
    <n v="3"/>
    <x v="1"/>
    <n v="89"/>
    <n v="3"/>
    <n v="2"/>
    <x v="8"/>
    <n v="2"/>
    <s v="Divorced"/>
    <n v="4071"/>
    <n v="12832"/>
    <n v="2"/>
    <s v="Y"/>
    <s v="No"/>
    <n v="13"/>
    <n v="3"/>
    <n v="3"/>
    <n v="80"/>
    <n v="0"/>
    <n v="19"/>
    <n v="4"/>
    <n v="2"/>
    <x v="1"/>
    <n v="0"/>
    <n v="4"/>
    <n v="7"/>
    <x v="1"/>
    <x v="1"/>
    <s v="Active"/>
    <x v="0"/>
  </r>
  <r>
    <n v="35"/>
    <x v="0"/>
    <s v="Travel Rarely"/>
    <n v="303"/>
    <x v="0"/>
    <n v="27"/>
    <n v="3"/>
    <s v="Life Sciences"/>
    <n v="1"/>
    <x v="1281"/>
    <n v="3"/>
    <x v="1"/>
    <n v="84"/>
    <n v="3"/>
    <n v="2"/>
    <x v="0"/>
    <n v="4"/>
    <s v="Single"/>
    <n v="5813"/>
    <n v="13492"/>
    <n v="1"/>
    <s v="Y"/>
    <s v="Yes"/>
    <n v="18"/>
    <n v="3"/>
    <n v="4"/>
    <n v="80"/>
    <n v="0"/>
    <n v="10"/>
    <n v="2"/>
    <n v="3"/>
    <x v="1"/>
    <n v="7"/>
    <n v="7"/>
    <n v="7"/>
    <x v="1"/>
    <x v="0"/>
    <s v="Resigned"/>
    <x v="0"/>
  </r>
  <r>
    <n v="33"/>
    <x v="1"/>
    <s v="Travel Rarely"/>
    <n v="867"/>
    <x v="1"/>
    <n v="8"/>
    <n v="4"/>
    <s v="Life Sciences"/>
    <n v="1"/>
    <x v="1282"/>
    <n v="4"/>
    <x v="1"/>
    <n v="90"/>
    <n v="4"/>
    <n v="1"/>
    <x v="1"/>
    <n v="1"/>
    <s v="Married"/>
    <n v="3143"/>
    <n v="6076"/>
    <n v="6"/>
    <s v="Y"/>
    <s v="No"/>
    <n v="19"/>
    <n v="3"/>
    <n v="2"/>
    <n v="80"/>
    <n v="1"/>
    <n v="14"/>
    <n v="1"/>
    <n v="3"/>
    <x v="1"/>
    <n v="8"/>
    <n v="7"/>
    <n v="6"/>
    <x v="1"/>
    <x v="1"/>
    <s v="Active"/>
    <x v="0"/>
  </r>
  <r>
    <n v="28"/>
    <x v="1"/>
    <s v="Travel Rarely"/>
    <n v="1181"/>
    <x v="1"/>
    <n v="1"/>
    <n v="3"/>
    <s v="Life Sciences"/>
    <n v="1"/>
    <x v="1283"/>
    <n v="3"/>
    <x v="1"/>
    <n v="82"/>
    <n v="3"/>
    <n v="1"/>
    <x v="1"/>
    <n v="4"/>
    <s v="Married"/>
    <n v="2044"/>
    <n v="5531"/>
    <n v="1"/>
    <s v="Y"/>
    <s v="No"/>
    <n v="11"/>
    <n v="3"/>
    <n v="3"/>
    <n v="80"/>
    <n v="1"/>
    <n v="5"/>
    <n v="6"/>
    <n v="4"/>
    <x v="8"/>
    <n v="3"/>
    <n v="0"/>
    <n v="3"/>
    <x v="2"/>
    <x v="1"/>
    <s v="Active"/>
    <x v="3"/>
  </r>
  <r>
    <n v="39"/>
    <x v="1"/>
    <s v="Travel Rarely"/>
    <n v="1253"/>
    <x v="1"/>
    <n v="10"/>
    <n v="1"/>
    <s v="Medical"/>
    <n v="1"/>
    <x v="1284"/>
    <n v="3"/>
    <x v="1"/>
    <n v="65"/>
    <n v="3"/>
    <n v="3"/>
    <x v="7"/>
    <n v="3"/>
    <s v="Single"/>
    <n v="13464"/>
    <n v="7914"/>
    <n v="7"/>
    <s v="Y"/>
    <s v="No"/>
    <n v="21"/>
    <n v="4"/>
    <n v="3"/>
    <n v="80"/>
    <n v="0"/>
    <n v="9"/>
    <n v="3"/>
    <n v="3"/>
    <x v="9"/>
    <n v="3"/>
    <n v="2"/>
    <n v="2"/>
    <x v="1"/>
    <x v="2"/>
    <s v="Active"/>
    <x v="4"/>
  </r>
  <r>
    <n v="46"/>
    <x v="1"/>
    <s v="Non Travel"/>
    <n v="849"/>
    <x v="0"/>
    <n v="26"/>
    <n v="2"/>
    <s v="Life Sciences"/>
    <n v="1"/>
    <x v="1285"/>
    <n v="2"/>
    <x v="1"/>
    <n v="98"/>
    <n v="2"/>
    <n v="2"/>
    <x v="0"/>
    <n v="2"/>
    <s v="Single"/>
    <n v="7991"/>
    <n v="25166"/>
    <n v="8"/>
    <s v="Y"/>
    <s v="No"/>
    <n v="15"/>
    <n v="3"/>
    <n v="3"/>
    <n v="80"/>
    <n v="0"/>
    <n v="6"/>
    <n v="3"/>
    <n v="3"/>
    <x v="4"/>
    <n v="2"/>
    <n v="2"/>
    <n v="2"/>
    <x v="0"/>
    <x v="0"/>
    <s v="Active"/>
    <x v="2"/>
  </r>
  <r>
    <n v="40"/>
    <x v="1"/>
    <s v="Travel Rarely"/>
    <n v="616"/>
    <x v="1"/>
    <n v="2"/>
    <n v="2"/>
    <s v="Life Sciences"/>
    <n v="1"/>
    <x v="1286"/>
    <n v="3"/>
    <x v="0"/>
    <n v="99"/>
    <n v="3"/>
    <n v="1"/>
    <x v="2"/>
    <n v="1"/>
    <s v="Married"/>
    <n v="3377"/>
    <n v="25605"/>
    <n v="4"/>
    <s v="Y"/>
    <s v="No"/>
    <n v="17"/>
    <n v="3"/>
    <n v="4"/>
    <n v="80"/>
    <n v="1"/>
    <n v="7"/>
    <n v="5"/>
    <n v="2"/>
    <x v="9"/>
    <n v="3"/>
    <n v="0"/>
    <n v="2"/>
    <x v="1"/>
    <x v="1"/>
    <s v="Active"/>
    <x v="4"/>
  </r>
  <r>
    <n v="42"/>
    <x v="1"/>
    <s v="Travel Rarely"/>
    <n v="1128"/>
    <x v="1"/>
    <n v="13"/>
    <n v="3"/>
    <s v="Medical"/>
    <n v="1"/>
    <x v="1287"/>
    <n v="2"/>
    <x v="1"/>
    <n v="95"/>
    <n v="4"/>
    <n v="2"/>
    <x v="4"/>
    <n v="1"/>
    <s v="Married"/>
    <n v="5538"/>
    <n v="5696"/>
    <n v="5"/>
    <s v="Y"/>
    <s v="No"/>
    <n v="18"/>
    <n v="3"/>
    <n v="3"/>
    <n v="80"/>
    <n v="2"/>
    <n v="10"/>
    <n v="2"/>
    <n v="2"/>
    <x v="2"/>
    <n v="0"/>
    <n v="0"/>
    <n v="0"/>
    <x v="0"/>
    <x v="0"/>
    <s v="Active"/>
    <x v="1"/>
  </r>
  <r>
    <n v="35"/>
    <x v="1"/>
    <s v="Non Travel"/>
    <n v="1180"/>
    <x v="1"/>
    <n v="2"/>
    <n v="2"/>
    <s v="Medical"/>
    <n v="1"/>
    <x v="1288"/>
    <n v="2"/>
    <x v="1"/>
    <n v="90"/>
    <n v="3"/>
    <n v="2"/>
    <x v="3"/>
    <n v="4"/>
    <s v="Divorced"/>
    <n v="5762"/>
    <n v="24442"/>
    <n v="2"/>
    <s v="Y"/>
    <s v="No"/>
    <n v="14"/>
    <n v="3"/>
    <n v="3"/>
    <n v="80"/>
    <n v="1"/>
    <n v="15"/>
    <n v="6"/>
    <n v="3"/>
    <x v="5"/>
    <n v="7"/>
    <n v="1"/>
    <n v="7"/>
    <x v="1"/>
    <x v="0"/>
    <s v="Active"/>
    <x v="0"/>
  </r>
  <r>
    <n v="38"/>
    <x v="1"/>
    <s v="Non Travel"/>
    <n v="1336"/>
    <x v="2"/>
    <n v="2"/>
    <n v="3"/>
    <s v="Human Resources"/>
    <n v="1"/>
    <x v="1289"/>
    <n v="1"/>
    <x v="1"/>
    <n v="100"/>
    <n v="3"/>
    <n v="1"/>
    <x v="8"/>
    <n v="2"/>
    <s v="Divorced"/>
    <n v="2592"/>
    <n v="7129"/>
    <n v="5"/>
    <s v="Y"/>
    <s v="No"/>
    <n v="13"/>
    <n v="3"/>
    <n v="4"/>
    <n v="80"/>
    <n v="3"/>
    <n v="13"/>
    <n v="3"/>
    <n v="3"/>
    <x v="19"/>
    <n v="10"/>
    <n v="3"/>
    <n v="8"/>
    <x v="1"/>
    <x v="1"/>
    <s v="Active"/>
    <x v="0"/>
  </r>
  <r>
    <n v="34"/>
    <x v="0"/>
    <s v="Travel Frequently"/>
    <n v="234"/>
    <x v="1"/>
    <n v="9"/>
    <n v="4"/>
    <s v="Life Sciences"/>
    <n v="1"/>
    <x v="1290"/>
    <n v="4"/>
    <x v="1"/>
    <n v="93"/>
    <n v="3"/>
    <n v="2"/>
    <x v="2"/>
    <n v="1"/>
    <s v="Married"/>
    <n v="5346"/>
    <n v="6208"/>
    <n v="4"/>
    <s v="Y"/>
    <s v="No"/>
    <n v="17"/>
    <n v="3"/>
    <n v="3"/>
    <n v="80"/>
    <n v="1"/>
    <n v="11"/>
    <n v="3"/>
    <n v="2"/>
    <x v="5"/>
    <n v="1"/>
    <n v="0"/>
    <n v="7"/>
    <x v="1"/>
    <x v="0"/>
    <s v="Resigned"/>
    <x v="0"/>
  </r>
  <r>
    <n v="37"/>
    <x v="0"/>
    <s v="Travel Rarely"/>
    <n v="370"/>
    <x v="1"/>
    <n v="10"/>
    <n v="4"/>
    <s v="Medical"/>
    <n v="1"/>
    <x v="1291"/>
    <n v="4"/>
    <x v="1"/>
    <n v="58"/>
    <n v="3"/>
    <n v="2"/>
    <x v="3"/>
    <n v="1"/>
    <s v="Single"/>
    <n v="4213"/>
    <n v="4992"/>
    <n v="1"/>
    <s v="Y"/>
    <s v="No"/>
    <n v="15"/>
    <n v="3"/>
    <n v="2"/>
    <n v="80"/>
    <n v="0"/>
    <n v="10"/>
    <n v="4"/>
    <n v="1"/>
    <x v="1"/>
    <n v="3"/>
    <n v="0"/>
    <n v="8"/>
    <x v="1"/>
    <x v="1"/>
    <s v="Resigned"/>
    <x v="0"/>
  </r>
  <r>
    <n v="39"/>
    <x v="1"/>
    <s v="Travel Frequently"/>
    <n v="766"/>
    <x v="0"/>
    <n v="20"/>
    <n v="3"/>
    <s v="Life Sciences"/>
    <n v="1"/>
    <x v="1292"/>
    <n v="3"/>
    <x v="1"/>
    <n v="83"/>
    <n v="3"/>
    <n v="2"/>
    <x v="0"/>
    <n v="4"/>
    <s v="Divorced"/>
    <n v="4127"/>
    <n v="19188"/>
    <n v="2"/>
    <s v="Y"/>
    <s v="No"/>
    <n v="18"/>
    <n v="3"/>
    <n v="4"/>
    <n v="80"/>
    <n v="1"/>
    <n v="7"/>
    <n v="6"/>
    <n v="3"/>
    <x v="4"/>
    <n v="1"/>
    <n v="2"/>
    <n v="2"/>
    <x v="1"/>
    <x v="1"/>
    <s v="Active"/>
    <x v="2"/>
  </r>
  <r>
    <n v="43"/>
    <x v="1"/>
    <s v="Non Travel"/>
    <n v="343"/>
    <x v="1"/>
    <n v="9"/>
    <n v="3"/>
    <s v="Life Sciences"/>
    <n v="1"/>
    <x v="1293"/>
    <n v="1"/>
    <x v="1"/>
    <n v="52"/>
    <n v="3"/>
    <n v="1"/>
    <x v="1"/>
    <n v="3"/>
    <s v="Single"/>
    <n v="2438"/>
    <n v="24978"/>
    <n v="4"/>
    <s v="Y"/>
    <s v="No"/>
    <n v="13"/>
    <n v="3"/>
    <n v="3"/>
    <n v="80"/>
    <n v="0"/>
    <n v="7"/>
    <n v="2"/>
    <n v="2"/>
    <x v="11"/>
    <n v="2"/>
    <n v="1"/>
    <n v="2"/>
    <x v="0"/>
    <x v="1"/>
    <s v="Active"/>
    <x v="5"/>
  </r>
  <r>
    <n v="41"/>
    <x v="1"/>
    <s v="Travel Rarely"/>
    <n v="447"/>
    <x v="1"/>
    <n v="5"/>
    <n v="3"/>
    <s v="Life Sciences"/>
    <n v="1"/>
    <x v="1294"/>
    <n v="2"/>
    <x v="1"/>
    <n v="85"/>
    <n v="4"/>
    <n v="2"/>
    <x v="4"/>
    <n v="2"/>
    <s v="Single"/>
    <n v="6870"/>
    <n v="15530"/>
    <n v="3"/>
    <s v="Y"/>
    <s v="No"/>
    <n v="12"/>
    <n v="3"/>
    <n v="1"/>
    <n v="80"/>
    <n v="0"/>
    <n v="11"/>
    <n v="3"/>
    <n v="1"/>
    <x v="11"/>
    <n v="2"/>
    <n v="1"/>
    <n v="2"/>
    <x v="0"/>
    <x v="0"/>
    <s v="Active"/>
    <x v="5"/>
  </r>
  <r>
    <n v="41"/>
    <x v="1"/>
    <s v="Travel Rarely"/>
    <n v="796"/>
    <x v="0"/>
    <n v="4"/>
    <n v="1"/>
    <s v="Marketing"/>
    <n v="1"/>
    <x v="1295"/>
    <n v="3"/>
    <x v="0"/>
    <n v="81"/>
    <n v="3"/>
    <n v="3"/>
    <x v="0"/>
    <n v="3"/>
    <s v="Divorced"/>
    <n v="10447"/>
    <n v="26458"/>
    <n v="0"/>
    <s v="Y"/>
    <s v="Yes"/>
    <n v="13"/>
    <n v="3"/>
    <n v="4"/>
    <n v="80"/>
    <n v="1"/>
    <n v="23"/>
    <n v="3"/>
    <n v="4"/>
    <x v="14"/>
    <n v="14"/>
    <n v="13"/>
    <n v="5"/>
    <x v="0"/>
    <x v="2"/>
    <s v="Active"/>
    <x v="0"/>
  </r>
  <r>
    <n v="30"/>
    <x v="1"/>
    <s v="Travel Rarely"/>
    <n v="1092"/>
    <x v="1"/>
    <n v="10"/>
    <n v="3"/>
    <s v="Medical"/>
    <n v="1"/>
    <x v="1296"/>
    <n v="1"/>
    <x v="0"/>
    <n v="64"/>
    <n v="3"/>
    <n v="3"/>
    <x v="3"/>
    <n v="3"/>
    <s v="Single"/>
    <n v="9667"/>
    <n v="2739"/>
    <n v="9"/>
    <s v="Y"/>
    <s v="No"/>
    <n v="14"/>
    <n v="3"/>
    <n v="2"/>
    <n v="80"/>
    <n v="0"/>
    <n v="9"/>
    <n v="3"/>
    <n v="3"/>
    <x v="5"/>
    <n v="7"/>
    <n v="0"/>
    <n v="2"/>
    <x v="1"/>
    <x v="0"/>
    <s v="Active"/>
    <x v="0"/>
  </r>
  <r>
    <n v="26"/>
    <x v="0"/>
    <s v="Travel Rarely"/>
    <n v="920"/>
    <x v="2"/>
    <n v="20"/>
    <n v="2"/>
    <s v="Medical"/>
    <n v="1"/>
    <x v="1297"/>
    <n v="4"/>
    <x v="0"/>
    <n v="69"/>
    <n v="3"/>
    <n v="1"/>
    <x v="8"/>
    <n v="2"/>
    <s v="Married"/>
    <n v="2148"/>
    <n v="6889"/>
    <n v="0"/>
    <s v="Y"/>
    <s v="Yes"/>
    <n v="11"/>
    <n v="3"/>
    <n v="3"/>
    <n v="80"/>
    <n v="0"/>
    <n v="6"/>
    <n v="3"/>
    <n v="3"/>
    <x v="8"/>
    <n v="1"/>
    <n v="1"/>
    <n v="4"/>
    <x v="2"/>
    <x v="1"/>
    <s v="Resigned"/>
    <x v="3"/>
  </r>
  <r>
    <n v="46"/>
    <x v="0"/>
    <s v="Travel Rarely"/>
    <n v="261"/>
    <x v="1"/>
    <n v="21"/>
    <n v="2"/>
    <s v="Medical"/>
    <n v="1"/>
    <x v="1298"/>
    <n v="4"/>
    <x v="0"/>
    <n v="66"/>
    <n v="3"/>
    <n v="2"/>
    <x v="4"/>
    <n v="2"/>
    <s v="Married"/>
    <n v="8926"/>
    <n v="10842"/>
    <n v="4"/>
    <s v="Y"/>
    <s v="No"/>
    <n v="22"/>
    <n v="4"/>
    <n v="4"/>
    <n v="80"/>
    <n v="1"/>
    <n v="13"/>
    <n v="2"/>
    <n v="4"/>
    <x v="7"/>
    <n v="7"/>
    <n v="3"/>
    <n v="7"/>
    <x v="0"/>
    <x v="0"/>
    <s v="Resigned"/>
    <x v="0"/>
  </r>
  <r>
    <n v="40"/>
    <x v="1"/>
    <s v="Travel Rarely"/>
    <n v="1194"/>
    <x v="1"/>
    <n v="1"/>
    <n v="3"/>
    <s v="Life Sciences"/>
    <n v="1"/>
    <x v="1299"/>
    <n v="3"/>
    <x v="0"/>
    <n v="52"/>
    <n v="3"/>
    <n v="2"/>
    <x v="4"/>
    <n v="4"/>
    <s v="Divorced"/>
    <n v="6513"/>
    <n v="9060"/>
    <n v="4"/>
    <s v="Y"/>
    <s v="No"/>
    <n v="17"/>
    <n v="3"/>
    <n v="4"/>
    <n v="80"/>
    <n v="1"/>
    <n v="12"/>
    <n v="3"/>
    <n v="3"/>
    <x v="8"/>
    <n v="3"/>
    <n v="0"/>
    <n v="3"/>
    <x v="1"/>
    <x v="0"/>
    <s v="Active"/>
    <x v="3"/>
  </r>
  <r>
    <n v="34"/>
    <x v="1"/>
    <s v="Travel Rarely"/>
    <n v="810"/>
    <x v="0"/>
    <n v="8"/>
    <n v="2"/>
    <s v="Technical Degree"/>
    <n v="1"/>
    <x v="1300"/>
    <n v="2"/>
    <x v="1"/>
    <n v="92"/>
    <n v="4"/>
    <n v="2"/>
    <x v="0"/>
    <n v="3"/>
    <s v="Married"/>
    <n v="6799"/>
    <n v="22128"/>
    <n v="1"/>
    <s v="Y"/>
    <s v="No"/>
    <n v="21"/>
    <n v="4"/>
    <n v="3"/>
    <n v="80"/>
    <n v="2"/>
    <n v="10"/>
    <n v="5"/>
    <n v="3"/>
    <x v="1"/>
    <n v="8"/>
    <n v="4"/>
    <n v="8"/>
    <x v="1"/>
    <x v="0"/>
    <s v="Active"/>
    <x v="0"/>
  </r>
  <r>
    <n v="58"/>
    <x v="1"/>
    <s v="Non Travel"/>
    <n v="350"/>
    <x v="0"/>
    <n v="2"/>
    <n v="3"/>
    <s v="Medical"/>
    <n v="1"/>
    <x v="1301"/>
    <n v="2"/>
    <x v="1"/>
    <n v="52"/>
    <n v="3"/>
    <n v="4"/>
    <x v="5"/>
    <n v="2"/>
    <s v="Divorced"/>
    <n v="16291"/>
    <n v="22577"/>
    <n v="4"/>
    <s v="Y"/>
    <s v="No"/>
    <n v="22"/>
    <n v="4"/>
    <n v="4"/>
    <n v="80"/>
    <n v="1"/>
    <n v="37"/>
    <n v="0"/>
    <n v="2"/>
    <x v="22"/>
    <n v="9"/>
    <n v="14"/>
    <n v="14"/>
    <x v="0"/>
    <x v="2"/>
    <s v="Active"/>
    <x v="0"/>
  </r>
  <r>
    <n v="35"/>
    <x v="1"/>
    <s v="Travel Rarely"/>
    <n v="185"/>
    <x v="1"/>
    <n v="23"/>
    <n v="4"/>
    <s v="Medical"/>
    <n v="1"/>
    <x v="1302"/>
    <n v="2"/>
    <x v="1"/>
    <n v="91"/>
    <n v="1"/>
    <n v="1"/>
    <x v="2"/>
    <n v="3"/>
    <s v="Married"/>
    <n v="2705"/>
    <n v="9696"/>
    <n v="0"/>
    <s v="Y"/>
    <s v="No"/>
    <n v="16"/>
    <n v="3"/>
    <n v="2"/>
    <n v="80"/>
    <n v="1"/>
    <n v="6"/>
    <n v="2"/>
    <n v="4"/>
    <x v="8"/>
    <n v="4"/>
    <n v="0"/>
    <n v="3"/>
    <x v="1"/>
    <x v="1"/>
    <s v="Active"/>
    <x v="3"/>
  </r>
  <r>
    <n v="47"/>
    <x v="1"/>
    <s v="Travel Rarely"/>
    <n v="1001"/>
    <x v="1"/>
    <n v="4"/>
    <n v="3"/>
    <s v="Life Sciences"/>
    <n v="1"/>
    <x v="1303"/>
    <n v="3"/>
    <x v="0"/>
    <n v="92"/>
    <n v="2"/>
    <n v="3"/>
    <x v="3"/>
    <n v="2"/>
    <s v="Divorced"/>
    <n v="10333"/>
    <n v="19271"/>
    <n v="8"/>
    <s v="Y"/>
    <s v="Yes"/>
    <n v="12"/>
    <n v="3"/>
    <n v="3"/>
    <n v="80"/>
    <n v="1"/>
    <n v="28"/>
    <n v="4"/>
    <n v="3"/>
    <x v="14"/>
    <n v="11"/>
    <n v="14"/>
    <n v="10"/>
    <x v="0"/>
    <x v="2"/>
    <s v="Active"/>
    <x v="0"/>
  </r>
  <r>
    <n v="40"/>
    <x v="1"/>
    <s v="Travel Rarely"/>
    <n v="750"/>
    <x v="1"/>
    <n v="12"/>
    <n v="3"/>
    <s v="Life Sciences"/>
    <n v="1"/>
    <x v="1304"/>
    <n v="2"/>
    <x v="0"/>
    <n v="47"/>
    <n v="3"/>
    <n v="2"/>
    <x v="4"/>
    <n v="1"/>
    <s v="Divorced"/>
    <n v="4448"/>
    <n v="10748"/>
    <n v="2"/>
    <s v="Y"/>
    <s v="No"/>
    <n v="12"/>
    <n v="3"/>
    <n v="2"/>
    <n v="80"/>
    <n v="1"/>
    <n v="15"/>
    <n v="3"/>
    <n v="3"/>
    <x v="5"/>
    <n v="4"/>
    <n v="7"/>
    <n v="7"/>
    <x v="1"/>
    <x v="1"/>
    <s v="Active"/>
    <x v="0"/>
  </r>
  <r>
    <n v="54"/>
    <x v="1"/>
    <s v="Travel Rarely"/>
    <n v="431"/>
    <x v="1"/>
    <n v="7"/>
    <n v="4"/>
    <s v="Medical"/>
    <n v="1"/>
    <x v="1305"/>
    <n v="4"/>
    <x v="0"/>
    <n v="68"/>
    <n v="3"/>
    <n v="2"/>
    <x v="1"/>
    <n v="4"/>
    <s v="Married"/>
    <n v="6854"/>
    <n v="15696"/>
    <n v="4"/>
    <s v="Y"/>
    <s v="No"/>
    <n v="15"/>
    <n v="3"/>
    <n v="2"/>
    <n v="80"/>
    <n v="1"/>
    <n v="14"/>
    <n v="2"/>
    <n v="2"/>
    <x v="5"/>
    <n v="1"/>
    <n v="1"/>
    <n v="7"/>
    <x v="0"/>
    <x v="0"/>
    <s v="Active"/>
    <x v="0"/>
  </r>
  <r>
    <n v="31"/>
    <x v="1"/>
    <s v="Travel Frequently"/>
    <n v="1125"/>
    <x v="0"/>
    <n v="7"/>
    <n v="4"/>
    <s v="Marketing"/>
    <n v="1"/>
    <x v="1306"/>
    <n v="1"/>
    <x v="0"/>
    <n v="68"/>
    <n v="3"/>
    <n v="3"/>
    <x v="0"/>
    <n v="1"/>
    <s v="Married"/>
    <n v="9637"/>
    <n v="8277"/>
    <n v="2"/>
    <s v="Y"/>
    <s v="No"/>
    <n v="14"/>
    <n v="3"/>
    <n v="4"/>
    <n v="80"/>
    <n v="2"/>
    <n v="9"/>
    <n v="3"/>
    <n v="3"/>
    <x v="11"/>
    <n v="2"/>
    <n v="2"/>
    <n v="2"/>
    <x v="1"/>
    <x v="0"/>
    <s v="Active"/>
    <x v="5"/>
  </r>
  <r>
    <n v="28"/>
    <x v="1"/>
    <s v="Travel Rarely"/>
    <n v="1217"/>
    <x v="1"/>
    <n v="1"/>
    <n v="3"/>
    <s v="Medical"/>
    <n v="1"/>
    <x v="1307"/>
    <n v="3"/>
    <x v="0"/>
    <n v="67"/>
    <n v="3"/>
    <n v="1"/>
    <x v="1"/>
    <n v="1"/>
    <s v="Married"/>
    <n v="3591"/>
    <n v="12719"/>
    <n v="1"/>
    <s v="Y"/>
    <s v="No"/>
    <n v="25"/>
    <n v="4"/>
    <n v="3"/>
    <n v="80"/>
    <n v="1"/>
    <n v="3"/>
    <n v="3"/>
    <n v="3"/>
    <x v="11"/>
    <n v="2"/>
    <n v="1"/>
    <n v="2"/>
    <x v="2"/>
    <x v="1"/>
    <s v="Active"/>
    <x v="5"/>
  </r>
  <r>
    <n v="38"/>
    <x v="1"/>
    <s v="Travel Rarely"/>
    <n v="723"/>
    <x v="0"/>
    <n v="2"/>
    <n v="4"/>
    <s v="Marketing"/>
    <n v="1"/>
    <x v="1308"/>
    <n v="2"/>
    <x v="0"/>
    <n v="77"/>
    <n v="1"/>
    <n v="2"/>
    <x v="6"/>
    <n v="4"/>
    <s v="Married"/>
    <n v="5405"/>
    <n v="4244"/>
    <n v="2"/>
    <s v="Y"/>
    <s v="Yes"/>
    <n v="20"/>
    <n v="4"/>
    <n v="1"/>
    <n v="80"/>
    <n v="2"/>
    <n v="20"/>
    <n v="4"/>
    <n v="2"/>
    <x v="9"/>
    <n v="2"/>
    <n v="0"/>
    <n v="3"/>
    <x v="1"/>
    <x v="0"/>
    <s v="Active"/>
    <x v="4"/>
  </r>
  <r>
    <n v="26"/>
    <x v="1"/>
    <s v="Travel Rarely"/>
    <n v="572"/>
    <x v="0"/>
    <n v="10"/>
    <n v="3"/>
    <s v="Medical"/>
    <n v="1"/>
    <x v="1309"/>
    <n v="3"/>
    <x v="1"/>
    <n v="46"/>
    <n v="3"/>
    <n v="2"/>
    <x v="0"/>
    <n v="4"/>
    <s v="Single"/>
    <n v="4684"/>
    <n v="9125"/>
    <n v="1"/>
    <s v="Y"/>
    <s v="No"/>
    <n v="13"/>
    <n v="3"/>
    <n v="1"/>
    <n v="80"/>
    <n v="0"/>
    <n v="5"/>
    <n v="4"/>
    <n v="3"/>
    <x v="8"/>
    <n v="3"/>
    <n v="1"/>
    <n v="2"/>
    <x v="2"/>
    <x v="1"/>
    <s v="Active"/>
    <x v="3"/>
  </r>
  <r>
    <n v="58"/>
    <x v="1"/>
    <s v="Travel Frequently"/>
    <n v="1216"/>
    <x v="1"/>
    <n v="15"/>
    <n v="4"/>
    <s v="Life Sciences"/>
    <n v="1"/>
    <x v="1310"/>
    <n v="1"/>
    <x v="1"/>
    <n v="87"/>
    <n v="3"/>
    <n v="4"/>
    <x v="7"/>
    <n v="3"/>
    <s v="Married"/>
    <n v="15787"/>
    <n v="21624"/>
    <n v="2"/>
    <s v="Y"/>
    <s v="Yes"/>
    <n v="14"/>
    <n v="3"/>
    <n v="2"/>
    <n v="80"/>
    <n v="0"/>
    <n v="23"/>
    <n v="3"/>
    <n v="3"/>
    <x v="4"/>
    <n v="2"/>
    <n v="2"/>
    <n v="2"/>
    <x v="0"/>
    <x v="2"/>
    <s v="Active"/>
    <x v="2"/>
  </r>
  <r>
    <n v="18"/>
    <x v="1"/>
    <s v="Non Travel"/>
    <n v="1431"/>
    <x v="1"/>
    <n v="14"/>
    <n v="3"/>
    <s v="Medical"/>
    <n v="1"/>
    <x v="1311"/>
    <n v="2"/>
    <x v="0"/>
    <n v="33"/>
    <n v="3"/>
    <n v="1"/>
    <x v="1"/>
    <n v="3"/>
    <s v="Single"/>
    <n v="1514"/>
    <n v="8018"/>
    <n v="1"/>
    <s v="Y"/>
    <s v="No"/>
    <n v="16"/>
    <n v="3"/>
    <n v="3"/>
    <n v="80"/>
    <n v="0"/>
    <n v="0"/>
    <n v="4"/>
    <n v="1"/>
    <x v="2"/>
    <n v="0"/>
    <n v="0"/>
    <n v="0"/>
    <x v="2"/>
    <x v="1"/>
    <s v="Active"/>
    <x v="1"/>
  </r>
  <r>
    <n v="31"/>
    <x v="0"/>
    <s v="Travel Rarely"/>
    <n v="359"/>
    <x v="2"/>
    <n v="18"/>
    <n v="5"/>
    <s v="Human Resources"/>
    <n v="1"/>
    <x v="1312"/>
    <n v="4"/>
    <x v="1"/>
    <n v="89"/>
    <n v="4"/>
    <n v="1"/>
    <x v="8"/>
    <n v="1"/>
    <s v="Married"/>
    <n v="2956"/>
    <n v="21495"/>
    <n v="0"/>
    <s v="Y"/>
    <s v="No"/>
    <n v="17"/>
    <n v="3"/>
    <n v="3"/>
    <n v="80"/>
    <n v="0"/>
    <n v="2"/>
    <n v="4"/>
    <n v="3"/>
    <x v="6"/>
    <n v="0"/>
    <n v="0"/>
    <n v="0"/>
    <x v="1"/>
    <x v="1"/>
    <s v="Resigned"/>
    <x v="1"/>
  </r>
  <r>
    <n v="29"/>
    <x v="0"/>
    <s v="Travel Rarely"/>
    <n v="350"/>
    <x v="2"/>
    <n v="13"/>
    <n v="3"/>
    <s v="Human Resources"/>
    <n v="1"/>
    <x v="1313"/>
    <n v="1"/>
    <x v="1"/>
    <n v="56"/>
    <n v="2"/>
    <n v="1"/>
    <x v="8"/>
    <n v="1"/>
    <s v="Divorced"/>
    <n v="2335"/>
    <n v="3157"/>
    <n v="4"/>
    <s v="Y"/>
    <s v="Yes"/>
    <n v="15"/>
    <n v="3"/>
    <n v="4"/>
    <n v="80"/>
    <n v="3"/>
    <n v="4"/>
    <n v="3"/>
    <n v="3"/>
    <x v="4"/>
    <n v="2"/>
    <n v="2"/>
    <n v="0"/>
    <x v="2"/>
    <x v="1"/>
    <s v="Resigned"/>
    <x v="2"/>
  </r>
  <r>
    <n v="45"/>
    <x v="1"/>
    <s v="Non Travel"/>
    <n v="589"/>
    <x v="0"/>
    <n v="2"/>
    <n v="4"/>
    <s v="Life Sciences"/>
    <n v="1"/>
    <x v="1314"/>
    <n v="3"/>
    <x v="0"/>
    <n v="67"/>
    <n v="3"/>
    <n v="2"/>
    <x v="0"/>
    <n v="3"/>
    <s v="Married"/>
    <n v="5154"/>
    <n v="19665"/>
    <n v="4"/>
    <s v="Y"/>
    <s v="No"/>
    <n v="22"/>
    <n v="4"/>
    <n v="2"/>
    <n v="80"/>
    <n v="2"/>
    <n v="10"/>
    <n v="3"/>
    <n v="4"/>
    <x v="3"/>
    <n v="7"/>
    <n v="5"/>
    <n v="7"/>
    <x v="0"/>
    <x v="0"/>
    <s v="Active"/>
    <x v="0"/>
  </r>
  <r>
    <n v="36"/>
    <x v="1"/>
    <s v="Travel Rarely"/>
    <n v="430"/>
    <x v="1"/>
    <n v="2"/>
    <n v="4"/>
    <s v="Other"/>
    <n v="1"/>
    <x v="1315"/>
    <n v="4"/>
    <x v="0"/>
    <n v="73"/>
    <n v="3"/>
    <n v="2"/>
    <x v="1"/>
    <n v="2"/>
    <s v="Married"/>
    <n v="6962"/>
    <n v="19573"/>
    <n v="4"/>
    <s v="Y"/>
    <s v="Yes"/>
    <n v="22"/>
    <n v="4"/>
    <n v="4"/>
    <n v="80"/>
    <n v="1"/>
    <n v="15"/>
    <n v="2"/>
    <n v="3"/>
    <x v="6"/>
    <n v="0"/>
    <n v="0"/>
    <n v="0"/>
    <x v="1"/>
    <x v="0"/>
    <s v="Active"/>
    <x v="1"/>
  </r>
  <r>
    <n v="43"/>
    <x v="1"/>
    <s v="Travel Frequently"/>
    <n v="1422"/>
    <x v="0"/>
    <n v="2"/>
    <n v="4"/>
    <s v="Life Sciences"/>
    <n v="1"/>
    <x v="1316"/>
    <n v="1"/>
    <x v="1"/>
    <n v="92"/>
    <n v="3"/>
    <n v="2"/>
    <x v="0"/>
    <n v="4"/>
    <s v="Married"/>
    <n v="5675"/>
    <n v="19246"/>
    <n v="1"/>
    <s v="Y"/>
    <s v="No"/>
    <n v="20"/>
    <n v="4"/>
    <n v="3"/>
    <n v="80"/>
    <n v="1"/>
    <n v="7"/>
    <n v="5"/>
    <n v="3"/>
    <x v="5"/>
    <n v="7"/>
    <n v="7"/>
    <n v="7"/>
    <x v="0"/>
    <x v="0"/>
    <s v="Active"/>
    <x v="0"/>
  </r>
  <r>
    <n v="27"/>
    <x v="1"/>
    <s v="Travel Frequently"/>
    <n v="1297"/>
    <x v="1"/>
    <n v="5"/>
    <n v="2"/>
    <s v="Life Sciences"/>
    <n v="1"/>
    <x v="1317"/>
    <n v="4"/>
    <x v="0"/>
    <n v="53"/>
    <n v="3"/>
    <n v="1"/>
    <x v="2"/>
    <n v="4"/>
    <s v="Single"/>
    <n v="2379"/>
    <n v="19826"/>
    <n v="0"/>
    <s v="Y"/>
    <s v="Yes"/>
    <n v="14"/>
    <n v="3"/>
    <n v="3"/>
    <n v="80"/>
    <n v="0"/>
    <n v="6"/>
    <n v="3"/>
    <n v="2"/>
    <x v="8"/>
    <n v="4"/>
    <n v="0"/>
    <n v="2"/>
    <x v="2"/>
    <x v="1"/>
    <s v="Active"/>
    <x v="3"/>
  </r>
  <r>
    <n v="29"/>
    <x v="1"/>
    <s v="Travel Frequently"/>
    <n v="574"/>
    <x v="1"/>
    <n v="20"/>
    <n v="1"/>
    <s v="Medical"/>
    <n v="1"/>
    <x v="1318"/>
    <n v="4"/>
    <x v="1"/>
    <n v="40"/>
    <n v="3"/>
    <n v="1"/>
    <x v="2"/>
    <n v="4"/>
    <s v="Married"/>
    <n v="3812"/>
    <n v="7003"/>
    <n v="1"/>
    <s v="Y"/>
    <s v="No"/>
    <n v="13"/>
    <n v="3"/>
    <n v="2"/>
    <n v="80"/>
    <n v="0"/>
    <n v="11"/>
    <n v="3"/>
    <n v="4"/>
    <x v="19"/>
    <n v="8"/>
    <n v="3"/>
    <n v="10"/>
    <x v="2"/>
    <x v="1"/>
    <s v="Active"/>
    <x v="0"/>
  </r>
  <r>
    <n v="32"/>
    <x v="1"/>
    <s v="Travel Frequently"/>
    <n v="1318"/>
    <x v="0"/>
    <n v="10"/>
    <n v="4"/>
    <s v="Marketing"/>
    <n v="1"/>
    <x v="1319"/>
    <n v="4"/>
    <x v="1"/>
    <n v="79"/>
    <n v="3"/>
    <n v="2"/>
    <x v="0"/>
    <n v="4"/>
    <s v="Single"/>
    <n v="4648"/>
    <n v="26075"/>
    <n v="8"/>
    <s v="Y"/>
    <s v="No"/>
    <n v="13"/>
    <n v="3"/>
    <n v="3"/>
    <n v="80"/>
    <n v="0"/>
    <n v="4"/>
    <n v="2"/>
    <n v="4"/>
    <x v="2"/>
    <n v="0"/>
    <n v="0"/>
    <n v="0"/>
    <x v="1"/>
    <x v="1"/>
    <s v="Active"/>
    <x v="1"/>
  </r>
  <r>
    <n v="42"/>
    <x v="1"/>
    <s v="Non Travel"/>
    <n v="355"/>
    <x v="1"/>
    <n v="10"/>
    <n v="4"/>
    <s v="Technical Degree"/>
    <n v="1"/>
    <x v="1320"/>
    <n v="3"/>
    <x v="1"/>
    <n v="38"/>
    <n v="3"/>
    <n v="1"/>
    <x v="1"/>
    <n v="3"/>
    <s v="Married"/>
    <n v="2936"/>
    <n v="6161"/>
    <n v="3"/>
    <s v="Y"/>
    <s v="No"/>
    <n v="22"/>
    <n v="4"/>
    <n v="2"/>
    <n v="80"/>
    <n v="2"/>
    <n v="10"/>
    <n v="1"/>
    <n v="2"/>
    <x v="0"/>
    <n v="3"/>
    <n v="3"/>
    <n v="3"/>
    <x v="0"/>
    <x v="1"/>
    <s v="Active"/>
    <x v="0"/>
  </r>
  <r>
    <n v="47"/>
    <x v="1"/>
    <s v="Travel Rarely"/>
    <n v="207"/>
    <x v="1"/>
    <n v="9"/>
    <n v="4"/>
    <s v="Life Sciences"/>
    <n v="1"/>
    <x v="1321"/>
    <n v="2"/>
    <x v="0"/>
    <n v="64"/>
    <n v="3"/>
    <n v="1"/>
    <x v="2"/>
    <n v="3"/>
    <s v="Single"/>
    <n v="2105"/>
    <n v="5411"/>
    <n v="4"/>
    <s v="Y"/>
    <s v="No"/>
    <n v="12"/>
    <n v="3"/>
    <n v="3"/>
    <n v="80"/>
    <n v="0"/>
    <n v="7"/>
    <n v="2"/>
    <n v="3"/>
    <x v="4"/>
    <n v="2"/>
    <n v="2"/>
    <n v="0"/>
    <x v="0"/>
    <x v="1"/>
    <s v="Active"/>
    <x v="2"/>
  </r>
  <r>
    <n v="46"/>
    <x v="1"/>
    <s v="Travel Rarely"/>
    <n v="706"/>
    <x v="1"/>
    <n v="2"/>
    <n v="2"/>
    <s v="Life Sciences"/>
    <n v="1"/>
    <x v="1322"/>
    <n v="4"/>
    <x v="1"/>
    <n v="82"/>
    <n v="3"/>
    <n v="3"/>
    <x v="3"/>
    <n v="4"/>
    <s v="Divorced"/>
    <n v="8578"/>
    <n v="19989"/>
    <n v="3"/>
    <s v="Y"/>
    <s v="No"/>
    <n v="14"/>
    <n v="3"/>
    <n v="3"/>
    <n v="80"/>
    <n v="1"/>
    <n v="12"/>
    <n v="4"/>
    <n v="2"/>
    <x v="7"/>
    <n v="8"/>
    <n v="4"/>
    <n v="7"/>
    <x v="0"/>
    <x v="0"/>
    <s v="Active"/>
    <x v="0"/>
  </r>
  <r>
    <n v="28"/>
    <x v="1"/>
    <s v="Non Travel"/>
    <n v="280"/>
    <x v="2"/>
    <n v="1"/>
    <n v="2"/>
    <s v="Life Sciences"/>
    <n v="1"/>
    <x v="1323"/>
    <n v="3"/>
    <x v="1"/>
    <n v="43"/>
    <n v="3"/>
    <n v="1"/>
    <x v="8"/>
    <n v="4"/>
    <s v="Divorced"/>
    <n v="2706"/>
    <n v="10494"/>
    <n v="1"/>
    <s v="Y"/>
    <s v="No"/>
    <n v="15"/>
    <n v="3"/>
    <n v="2"/>
    <n v="80"/>
    <n v="1"/>
    <n v="3"/>
    <n v="2"/>
    <n v="3"/>
    <x v="11"/>
    <n v="2"/>
    <n v="2"/>
    <n v="2"/>
    <x v="2"/>
    <x v="1"/>
    <s v="Active"/>
    <x v="5"/>
  </r>
  <r>
    <n v="29"/>
    <x v="1"/>
    <s v="Travel Rarely"/>
    <n v="726"/>
    <x v="1"/>
    <n v="29"/>
    <n v="1"/>
    <s v="Life Sciences"/>
    <n v="1"/>
    <x v="1324"/>
    <n v="4"/>
    <x v="1"/>
    <n v="93"/>
    <n v="1"/>
    <n v="2"/>
    <x v="4"/>
    <n v="3"/>
    <s v="Divorced"/>
    <n v="6384"/>
    <n v="21143"/>
    <n v="8"/>
    <s v="Y"/>
    <s v="No"/>
    <n v="17"/>
    <n v="3"/>
    <n v="4"/>
    <n v="80"/>
    <n v="2"/>
    <n v="11"/>
    <n v="3"/>
    <n v="3"/>
    <x v="5"/>
    <n v="0"/>
    <n v="1"/>
    <n v="6"/>
    <x v="2"/>
    <x v="0"/>
    <s v="Active"/>
    <x v="0"/>
  </r>
  <r>
    <n v="42"/>
    <x v="1"/>
    <s v="Travel Rarely"/>
    <n v="1142"/>
    <x v="1"/>
    <n v="8"/>
    <n v="3"/>
    <s v="Life Sciences"/>
    <n v="1"/>
    <x v="1325"/>
    <n v="4"/>
    <x v="1"/>
    <n v="81"/>
    <n v="3"/>
    <n v="1"/>
    <x v="2"/>
    <n v="3"/>
    <s v="Single"/>
    <n v="3968"/>
    <n v="13624"/>
    <n v="4"/>
    <s v="Y"/>
    <s v="No"/>
    <n v="13"/>
    <n v="3"/>
    <n v="4"/>
    <n v="80"/>
    <n v="0"/>
    <n v="8"/>
    <n v="3"/>
    <n v="3"/>
    <x v="2"/>
    <n v="0"/>
    <n v="0"/>
    <n v="0"/>
    <x v="0"/>
    <x v="1"/>
    <s v="Active"/>
    <x v="1"/>
  </r>
  <r>
    <n v="32"/>
    <x v="0"/>
    <s v="Travel Rarely"/>
    <n v="414"/>
    <x v="0"/>
    <n v="2"/>
    <n v="4"/>
    <s v="Marketing"/>
    <n v="1"/>
    <x v="1326"/>
    <n v="3"/>
    <x v="1"/>
    <n v="82"/>
    <n v="2"/>
    <n v="2"/>
    <x v="0"/>
    <n v="2"/>
    <s v="Single"/>
    <n v="9907"/>
    <n v="26186"/>
    <n v="7"/>
    <s v="Y"/>
    <s v="Yes"/>
    <n v="12"/>
    <n v="3"/>
    <n v="3"/>
    <n v="80"/>
    <n v="0"/>
    <n v="7"/>
    <n v="3"/>
    <n v="2"/>
    <x v="4"/>
    <n v="2"/>
    <n v="2"/>
    <n v="2"/>
    <x v="1"/>
    <x v="0"/>
    <s v="Resigned"/>
    <x v="2"/>
  </r>
  <r>
    <n v="46"/>
    <x v="1"/>
    <s v="Travel Rarely"/>
    <n v="1319"/>
    <x v="0"/>
    <n v="3"/>
    <n v="3"/>
    <s v="Technical Degree"/>
    <n v="1"/>
    <x v="1327"/>
    <n v="1"/>
    <x v="0"/>
    <n v="45"/>
    <n v="4"/>
    <n v="4"/>
    <x v="0"/>
    <n v="1"/>
    <s v="Divorced"/>
    <n v="13225"/>
    <n v="7739"/>
    <n v="2"/>
    <s v="Y"/>
    <s v="No"/>
    <n v="12"/>
    <n v="3"/>
    <n v="4"/>
    <n v="80"/>
    <n v="1"/>
    <n v="25"/>
    <n v="5"/>
    <n v="3"/>
    <x v="27"/>
    <n v="17"/>
    <n v="2"/>
    <n v="8"/>
    <x v="0"/>
    <x v="2"/>
    <s v="Active"/>
    <x v="0"/>
  </r>
  <r>
    <n v="27"/>
    <x v="1"/>
    <s v="Travel Rarely"/>
    <n v="728"/>
    <x v="0"/>
    <n v="23"/>
    <n v="1"/>
    <s v="Medical"/>
    <n v="1"/>
    <x v="1328"/>
    <n v="2"/>
    <x v="0"/>
    <n v="36"/>
    <n v="2"/>
    <n v="2"/>
    <x v="6"/>
    <n v="3"/>
    <s v="Married"/>
    <n v="3540"/>
    <n v="7018"/>
    <n v="1"/>
    <s v="Y"/>
    <s v="No"/>
    <n v="21"/>
    <n v="4"/>
    <n v="4"/>
    <n v="80"/>
    <n v="1"/>
    <n v="9"/>
    <n v="5"/>
    <n v="3"/>
    <x v="7"/>
    <n v="8"/>
    <n v="5"/>
    <n v="8"/>
    <x v="2"/>
    <x v="1"/>
    <s v="Active"/>
    <x v="0"/>
  </r>
  <r>
    <n v="29"/>
    <x v="1"/>
    <s v="Travel Rarely"/>
    <n v="352"/>
    <x v="2"/>
    <n v="6"/>
    <n v="1"/>
    <s v="Medical"/>
    <n v="1"/>
    <x v="1329"/>
    <n v="4"/>
    <x v="1"/>
    <n v="87"/>
    <n v="2"/>
    <n v="1"/>
    <x v="8"/>
    <n v="2"/>
    <s v="Married"/>
    <n v="2804"/>
    <n v="15434"/>
    <n v="1"/>
    <s v="Y"/>
    <s v="No"/>
    <n v="11"/>
    <n v="3"/>
    <n v="4"/>
    <n v="80"/>
    <n v="0"/>
    <n v="1"/>
    <n v="3"/>
    <n v="3"/>
    <x v="6"/>
    <n v="0"/>
    <n v="0"/>
    <n v="0"/>
    <x v="2"/>
    <x v="1"/>
    <s v="Active"/>
    <x v="1"/>
  </r>
  <r>
    <n v="43"/>
    <x v="1"/>
    <s v="Travel Rarely"/>
    <n v="823"/>
    <x v="1"/>
    <n v="6"/>
    <n v="3"/>
    <s v="Medical"/>
    <n v="1"/>
    <x v="1330"/>
    <n v="1"/>
    <x v="0"/>
    <n v="81"/>
    <n v="2"/>
    <n v="5"/>
    <x v="5"/>
    <n v="3"/>
    <s v="Married"/>
    <n v="19392"/>
    <n v="22539"/>
    <n v="7"/>
    <s v="Y"/>
    <s v="No"/>
    <n v="13"/>
    <n v="3"/>
    <n v="4"/>
    <n v="80"/>
    <n v="0"/>
    <n v="21"/>
    <n v="2"/>
    <n v="3"/>
    <x v="22"/>
    <n v="12"/>
    <n v="6"/>
    <n v="14"/>
    <x v="0"/>
    <x v="2"/>
    <s v="Active"/>
    <x v="0"/>
  </r>
  <r>
    <n v="48"/>
    <x v="1"/>
    <s v="Travel Rarely"/>
    <n v="1224"/>
    <x v="1"/>
    <n v="10"/>
    <n v="3"/>
    <s v="Life Sciences"/>
    <n v="1"/>
    <x v="1331"/>
    <n v="4"/>
    <x v="1"/>
    <n v="91"/>
    <n v="2"/>
    <n v="5"/>
    <x v="7"/>
    <n v="2"/>
    <s v="Married"/>
    <n v="19665"/>
    <n v="13583"/>
    <n v="4"/>
    <s v="Y"/>
    <s v="No"/>
    <n v="12"/>
    <n v="3"/>
    <n v="4"/>
    <n v="80"/>
    <n v="0"/>
    <n v="29"/>
    <n v="3"/>
    <n v="3"/>
    <x v="14"/>
    <n v="10"/>
    <n v="12"/>
    <n v="9"/>
    <x v="0"/>
    <x v="2"/>
    <s v="Active"/>
    <x v="0"/>
  </r>
  <r>
    <n v="29"/>
    <x v="0"/>
    <s v="Travel Frequently"/>
    <n v="459"/>
    <x v="1"/>
    <n v="24"/>
    <n v="2"/>
    <s v="Life Sciences"/>
    <n v="1"/>
    <x v="1332"/>
    <n v="4"/>
    <x v="1"/>
    <n v="73"/>
    <n v="2"/>
    <n v="1"/>
    <x v="1"/>
    <n v="4"/>
    <s v="Single"/>
    <n v="2439"/>
    <n v="14753"/>
    <n v="1"/>
    <s v="Y"/>
    <s v="Yes"/>
    <n v="24"/>
    <n v="4"/>
    <n v="2"/>
    <n v="80"/>
    <n v="0"/>
    <n v="1"/>
    <n v="3"/>
    <n v="2"/>
    <x v="6"/>
    <n v="0"/>
    <n v="1"/>
    <n v="0"/>
    <x v="2"/>
    <x v="1"/>
    <s v="Resigned"/>
    <x v="1"/>
  </r>
  <r>
    <n v="46"/>
    <x v="0"/>
    <s v="Travel Rarely"/>
    <n v="1254"/>
    <x v="0"/>
    <n v="10"/>
    <n v="3"/>
    <s v="Life Sciences"/>
    <n v="1"/>
    <x v="1333"/>
    <n v="3"/>
    <x v="0"/>
    <n v="64"/>
    <n v="3"/>
    <n v="3"/>
    <x v="0"/>
    <n v="2"/>
    <s v="Married"/>
    <n v="7314"/>
    <n v="14011"/>
    <n v="5"/>
    <s v="Y"/>
    <s v="No"/>
    <n v="21"/>
    <n v="4"/>
    <n v="3"/>
    <n v="80"/>
    <n v="3"/>
    <n v="14"/>
    <n v="2"/>
    <n v="3"/>
    <x v="3"/>
    <n v="7"/>
    <n v="0"/>
    <n v="7"/>
    <x v="0"/>
    <x v="0"/>
    <s v="Resigned"/>
    <x v="0"/>
  </r>
  <r>
    <n v="27"/>
    <x v="1"/>
    <s v="Travel Frequently"/>
    <n v="1131"/>
    <x v="1"/>
    <n v="15"/>
    <n v="3"/>
    <s v="Life Sciences"/>
    <n v="1"/>
    <x v="1334"/>
    <n v="4"/>
    <x v="0"/>
    <n v="77"/>
    <n v="2"/>
    <n v="1"/>
    <x v="1"/>
    <n v="1"/>
    <s v="Married"/>
    <n v="4774"/>
    <n v="23844"/>
    <n v="0"/>
    <s v="Y"/>
    <s v="No"/>
    <n v="19"/>
    <n v="3"/>
    <n v="4"/>
    <n v="80"/>
    <n v="1"/>
    <n v="8"/>
    <n v="2"/>
    <n v="2"/>
    <x v="5"/>
    <n v="6"/>
    <n v="7"/>
    <n v="3"/>
    <x v="2"/>
    <x v="1"/>
    <s v="Active"/>
    <x v="0"/>
  </r>
  <r>
    <n v="39"/>
    <x v="1"/>
    <s v="Travel Rarely"/>
    <n v="835"/>
    <x v="1"/>
    <n v="19"/>
    <n v="4"/>
    <s v="Other"/>
    <n v="1"/>
    <x v="1335"/>
    <n v="4"/>
    <x v="1"/>
    <n v="41"/>
    <n v="3"/>
    <n v="2"/>
    <x v="1"/>
    <n v="4"/>
    <s v="Divorced"/>
    <n v="3902"/>
    <n v="5141"/>
    <n v="8"/>
    <s v="Y"/>
    <s v="No"/>
    <n v="14"/>
    <n v="3"/>
    <n v="2"/>
    <n v="80"/>
    <n v="3"/>
    <n v="7"/>
    <n v="2"/>
    <n v="3"/>
    <x v="4"/>
    <n v="2"/>
    <n v="2"/>
    <n v="2"/>
    <x v="1"/>
    <x v="1"/>
    <s v="Active"/>
    <x v="2"/>
  </r>
  <r>
    <n v="55"/>
    <x v="1"/>
    <s v="Travel Rarely"/>
    <n v="836"/>
    <x v="1"/>
    <n v="2"/>
    <n v="4"/>
    <s v="Technical Degree"/>
    <n v="1"/>
    <x v="1336"/>
    <n v="2"/>
    <x v="1"/>
    <n v="98"/>
    <n v="2"/>
    <n v="1"/>
    <x v="1"/>
    <n v="4"/>
    <s v="Married"/>
    <n v="2662"/>
    <n v="7975"/>
    <n v="8"/>
    <s v="Y"/>
    <s v="No"/>
    <n v="20"/>
    <n v="4"/>
    <n v="2"/>
    <n v="80"/>
    <n v="1"/>
    <n v="19"/>
    <n v="2"/>
    <n v="4"/>
    <x v="8"/>
    <n v="2"/>
    <n v="0"/>
    <n v="4"/>
    <x v="0"/>
    <x v="1"/>
    <s v="Active"/>
    <x v="3"/>
  </r>
  <r>
    <n v="28"/>
    <x v="1"/>
    <s v="Travel Rarely"/>
    <n v="1172"/>
    <x v="0"/>
    <n v="3"/>
    <n v="3"/>
    <s v="Medical"/>
    <n v="1"/>
    <x v="1337"/>
    <n v="2"/>
    <x v="0"/>
    <n v="78"/>
    <n v="3"/>
    <n v="1"/>
    <x v="6"/>
    <n v="2"/>
    <s v="Married"/>
    <n v="2856"/>
    <n v="3692"/>
    <n v="1"/>
    <s v="Y"/>
    <s v="No"/>
    <n v="19"/>
    <n v="3"/>
    <n v="4"/>
    <n v="80"/>
    <n v="1"/>
    <n v="1"/>
    <n v="3"/>
    <n v="3"/>
    <x v="6"/>
    <n v="0"/>
    <n v="0"/>
    <n v="0"/>
    <x v="2"/>
    <x v="1"/>
    <s v="Active"/>
    <x v="1"/>
  </r>
  <r>
    <n v="30"/>
    <x v="0"/>
    <s v="Travel Rarely"/>
    <n v="945"/>
    <x v="0"/>
    <n v="9"/>
    <n v="3"/>
    <s v="Medical"/>
    <n v="1"/>
    <x v="1338"/>
    <n v="2"/>
    <x v="1"/>
    <n v="89"/>
    <n v="3"/>
    <n v="1"/>
    <x v="6"/>
    <n v="4"/>
    <s v="Single"/>
    <n v="1081"/>
    <n v="16019"/>
    <n v="1"/>
    <s v="Y"/>
    <s v="No"/>
    <n v="13"/>
    <n v="3"/>
    <n v="3"/>
    <n v="80"/>
    <n v="0"/>
    <n v="1"/>
    <n v="3"/>
    <n v="2"/>
    <x v="6"/>
    <n v="0"/>
    <n v="0"/>
    <n v="0"/>
    <x v="1"/>
    <x v="1"/>
    <s v="Resigned"/>
    <x v="1"/>
  </r>
  <r>
    <n v="22"/>
    <x v="0"/>
    <s v="Travel Rarely"/>
    <n v="391"/>
    <x v="1"/>
    <n v="7"/>
    <n v="1"/>
    <s v="Life Sciences"/>
    <n v="1"/>
    <x v="1339"/>
    <n v="4"/>
    <x v="1"/>
    <n v="75"/>
    <n v="3"/>
    <n v="1"/>
    <x v="1"/>
    <n v="2"/>
    <s v="Single"/>
    <n v="2472"/>
    <n v="26092"/>
    <n v="1"/>
    <s v="Y"/>
    <s v="Yes"/>
    <n v="23"/>
    <n v="4"/>
    <n v="1"/>
    <n v="80"/>
    <n v="0"/>
    <n v="1"/>
    <n v="2"/>
    <n v="3"/>
    <x v="6"/>
    <n v="0"/>
    <n v="0"/>
    <n v="0"/>
    <x v="2"/>
    <x v="1"/>
    <s v="Resigned"/>
    <x v="1"/>
  </r>
  <r>
    <n v="36"/>
    <x v="1"/>
    <s v="Travel Rarely"/>
    <n v="1266"/>
    <x v="0"/>
    <n v="10"/>
    <n v="4"/>
    <s v="Technical Degree"/>
    <n v="1"/>
    <x v="1340"/>
    <n v="2"/>
    <x v="0"/>
    <n v="63"/>
    <n v="2"/>
    <n v="2"/>
    <x v="0"/>
    <n v="3"/>
    <s v="Married"/>
    <n v="5673"/>
    <n v="6060"/>
    <n v="1"/>
    <s v="Y"/>
    <s v="Yes"/>
    <n v="13"/>
    <n v="3"/>
    <n v="1"/>
    <n v="80"/>
    <n v="1"/>
    <n v="10"/>
    <n v="4"/>
    <n v="3"/>
    <x v="1"/>
    <n v="9"/>
    <n v="1"/>
    <n v="7"/>
    <x v="1"/>
    <x v="0"/>
    <s v="Active"/>
    <x v="0"/>
  </r>
  <r>
    <n v="31"/>
    <x v="1"/>
    <s v="Travel Rarely"/>
    <n v="311"/>
    <x v="1"/>
    <n v="20"/>
    <n v="3"/>
    <s v="Life Sciences"/>
    <n v="1"/>
    <x v="1341"/>
    <n v="2"/>
    <x v="1"/>
    <n v="89"/>
    <n v="3"/>
    <n v="2"/>
    <x v="2"/>
    <n v="3"/>
    <s v="Divorced"/>
    <n v="4197"/>
    <n v="18624"/>
    <n v="1"/>
    <s v="Y"/>
    <s v="No"/>
    <n v="11"/>
    <n v="3"/>
    <n v="1"/>
    <n v="80"/>
    <n v="1"/>
    <n v="10"/>
    <n v="2"/>
    <n v="3"/>
    <x v="1"/>
    <n v="8"/>
    <n v="0"/>
    <n v="2"/>
    <x v="1"/>
    <x v="1"/>
    <s v="Active"/>
    <x v="0"/>
  </r>
  <r>
    <n v="34"/>
    <x v="1"/>
    <s v="Travel Rarely"/>
    <n v="1480"/>
    <x v="0"/>
    <n v="4"/>
    <n v="3"/>
    <s v="Life Sciences"/>
    <n v="1"/>
    <x v="1342"/>
    <n v="3"/>
    <x v="1"/>
    <n v="64"/>
    <n v="3"/>
    <n v="3"/>
    <x v="0"/>
    <n v="4"/>
    <s v="Married"/>
    <n v="9713"/>
    <n v="24444"/>
    <n v="2"/>
    <s v="Y"/>
    <s v="Yes"/>
    <n v="13"/>
    <n v="3"/>
    <n v="4"/>
    <n v="80"/>
    <n v="3"/>
    <n v="9"/>
    <n v="3"/>
    <n v="3"/>
    <x v="8"/>
    <n v="3"/>
    <n v="1"/>
    <n v="0"/>
    <x v="1"/>
    <x v="0"/>
    <s v="Active"/>
    <x v="3"/>
  </r>
  <r>
    <n v="29"/>
    <x v="1"/>
    <s v="Travel Rarely"/>
    <n v="592"/>
    <x v="1"/>
    <n v="7"/>
    <n v="3"/>
    <s v="Life Sciences"/>
    <n v="1"/>
    <x v="1343"/>
    <n v="4"/>
    <x v="1"/>
    <n v="59"/>
    <n v="3"/>
    <n v="1"/>
    <x v="2"/>
    <n v="1"/>
    <s v="Single"/>
    <n v="2062"/>
    <n v="19384"/>
    <n v="3"/>
    <s v="Y"/>
    <s v="No"/>
    <n v="14"/>
    <n v="3"/>
    <n v="2"/>
    <n v="80"/>
    <n v="0"/>
    <n v="11"/>
    <n v="2"/>
    <n v="3"/>
    <x v="11"/>
    <n v="2"/>
    <n v="1"/>
    <n v="2"/>
    <x v="2"/>
    <x v="1"/>
    <s v="Active"/>
    <x v="5"/>
  </r>
  <r>
    <n v="37"/>
    <x v="1"/>
    <s v="Travel Rarely"/>
    <n v="783"/>
    <x v="1"/>
    <n v="7"/>
    <n v="4"/>
    <s v="Medical"/>
    <n v="1"/>
    <x v="1344"/>
    <n v="4"/>
    <x v="1"/>
    <n v="78"/>
    <n v="3"/>
    <n v="2"/>
    <x v="1"/>
    <n v="1"/>
    <s v="Married"/>
    <n v="4284"/>
    <n v="13588"/>
    <n v="5"/>
    <s v="Y"/>
    <s v="Yes"/>
    <n v="22"/>
    <n v="4"/>
    <n v="3"/>
    <n v="80"/>
    <n v="1"/>
    <n v="16"/>
    <n v="2"/>
    <n v="3"/>
    <x v="8"/>
    <n v="3"/>
    <n v="0"/>
    <n v="4"/>
    <x v="1"/>
    <x v="1"/>
    <s v="Active"/>
    <x v="3"/>
  </r>
  <r>
    <n v="35"/>
    <x v="1"/>
    <s v="Travel Rarely"/>
    <n v="219"/>
    <x v="1"/>
    <n v="16"/>
    <n v="2"/>
    <s v="Other"/>
    <n v="1"/>
    <x v="1345"/>
    <n v="4"/>
    <x v="0"/>
    <n v="44"/>
    <n v="2"/>
    <n v="2"/>
    <x v="3"/>
    <n v="2"/>
    <s v="Married"/>
    <n v="4788"/>
    <n v="25388"/>
    <n v="0"/>
    <s v="Y"/>
    <s v="Yes"/>
    <n v="11"/>
    <n v="3"/>
    <n v="4"/>
    <n v="80"/>
    <n v="0"/>
    <n v="4"/>
    <n v="2"/>
    <n v="3"/>
    <x v="11"/>
    <n v="2"/>
    <n v="0"/>
    <n v="2"/>
    <x v="1"/>
    <x v="1"/>
    <s v="Active"/>
    <x v="5"/>
  </r>
  <r>
    <n v="45"/>
    <x v="1"/>
    <s v="Travel Rarely"/>
    <n v="556"/>
    <x v="1"/>
    <n v="25"/>
    <n v="2"/>
    <s v="Life Sciences"/>
    <n v="1"/>
    <x v="1346"/>
    <n v="2"/>
    <x v="0"/>
    <n v="93"/>
    <n v="2"/>
    <n v="2"/>
    <x v="3"/>
    <n v="4"/>
    <s v="Married"/>
    <n v="5906"/>
    <n v="23888"/>
    <n v="0"/>
    <s v="Y"/>
    <s v="No"/>
    <n v="13"/>
    <n v="3"/>
    <n v="4"/>
    <n v="80"/>
    <n v="2"/>
    <n v="10"/>
    <n v="2"/>
    <n v="2"/>
    <x v="7"/>
    <n v="8"/>
    <n v="3"/>
    <n v="8"/>
    <x v="0"/>
    <x v="0"/>
    <s v="Active"/>
    <x v="0"/>
  </r>
  <r>
    <n v="36"/>
    <x v="1"/>
    <s v="Travel Frequently"/>
    <n v="1213"/>
    <x v="2"/>
    <n v="2"/>
    <n v="1"/>
    <s v="Human Resources"/>
    <n v="1"/>
    <x v="1347"/>
    <n v="2"/>
    <x v="1"/>
    <n v="94"/>
    <n v="2"/>
    <n v="2"/>
    <x v="8"/>
    <n v="4"/>
    <s v="Single"/>
    <n v="3886"/>
    <n v="4223"/>
    <n v="1"/>
    <s v="Y"/>
    <s v="No"/>
    <n v="21"/>
    <n v="4"/>
    <n v="4"/>
    <n v="80"/>
    <n v="0"/>
    <n v="10"/>
    <n v="2"/>
    <n v="2"/>
    <x v="1"/>
    <n v="1"/>
    <n v="0"/>
    <n v="8"/>
    <x v="1"/>
    <x v="1"/>
    <s v="Active"/>
    <x v="0"/>
  </r>
  <r>
    <n v="40"/>
    <x v="1"/>
    <s v="Travel Rarely"/>
    <n v="1137"/>
    <x v="1"/>
    <n v="1"/>
    <n v="4"/>
    <s v="Life Sciences"/>
    <n v="1"/>
    <x v="1348"/>
    <n v="1"/>
    <x v="1"/>
    <n v="98"/>
    <n v="3"/>
    <n v="4"/>
    <x v="5"/>
    <n v="1"/>
    <s v="Divorced"/>
    <n v="16823"/>
    <n v="18991"/>
    <n v="2"/>
    <s v="Y"/>
    <s v="No"/>
    <n v="11"/>
    <n v="3"/>
    <n v="1"/>
    <n v="80"/>
    <n v="1"/>
    <n v="22"/>
    <n v="3"/>
    <n v="3"/>
    <x v="27"/>
    <n v="7"/>
    <n v="11"/>
    <n v="16"/>
    <x v="1"/>
    <x v="2"/>
    <s v="Active"/>
    <x v="0"/>
  </r>
  <r>
    <n v="26"/>
    <x v="1"/>
    <s v="Travel Rarely"/>
    <n v="482"/>
    <x v="1"/>
    <n v="1"/>
    <n v="2"/>
    <s v="Life Sciences"/>
    <n v="1"/>
    <x v="1349"/>
    <n v="2"/>
    <x v="0"/>
    <n v="90"/>
    <n v="2"/>
    <n v="1"/>
    <x v="1"/>
    <n v="3"/>
    <s v="Married"/>
    <n v="2933"/>
    <n v="14908"/>
    <n v="1"/>
    <s v="Y"/>
    <s v="Yes"/>
    <n v="13"/>
    <n v="3"/>
    <n v="3"/>
    <n v="80"/>
    <n v="1"/>
    <n v="1"/>
    <n v="3"/>
    <n v="2"/>
    <x v="6"/>
    <n v="0"/>
    <n v="1"/>
    <n v="0"/>
    <x v="2"/>
    <x v="1"/>
    <s v="Active"/>
    <x v="1"/>
  </r>
  <r>
    <n v="27"/>
    <x v="1"/>
    <s v="Travel Rarely"/>
    <n v="511"/>
    <x v="0"/>
    <n v="2"/>
    <n v="2"/>
    <s v="Medical"/>
    <n v="1"/>
    <x v="1350"/>
    <n v="1"/>
    <x v="0"/>
    <n v="89"/>
    <n v="4"/>
    <n v="2"/>
    <x v="0"/>
    <n v="3"/>
    <s v="Single"/>
    <n v="6500"/>
    <n v="26997"/>
    <n v="0"/>
    <s v="Y"/>
    <s v="No"/>
    <n v="14"/>
    <n v="3"/>
    <n v="2"/>
    <n v="80"/>
    <n v="0"/>
    <n v="9"/>
    <n v="5"/>
    <n v="2"/>
    <x v="3"/>
    <n v="7"/>
    <n v="0"/>
    <n v="7"/>
    <x v="2"/>
    <x v="0"/>
    <s v="Active"/>
    <x v="0"/>
  </r>
  <r>
    <n v="48"/>
    <x v="1"/>
    <s v="Travel Frequently"/>
    <n v="117"/>
    <x v="1"/>
    <n v="22"/>
    <n v="3"/>
    <s v="Medical"/>
    <n v="1"/>
    <x v="1351"/>
    <n v="4"/>
    <x v="0"/>
    <n v="58"/>
    <n v="3"/>
    <n v="4"/>
    <x v="5"/>
    <n v="4"/>
    <s v="Divorced"/>
    <n v="17174"/>
    <n v="2437"/>
    <n v="3"/>
    <s v="Y"/>
    <s v="No"/>
    <n v="11"/>
    <n v="3"/>
    <n v="2"/>
    <n v="80"/>
    <n v="1"/>
    <n v="24"/>
    <n v="3"/>
    <n v="3"/>
    <x v="14"/>
    <n v="17"/>
    <n v="4"/>
    <n v="7"/>
    <x v="0"/>
    <x v="2"/>
    <s v="Active"/>
    <x v="0"/>
  </r>
  <r>
    <n v="44"/>
    <x v="1"/>
    <s v="Travel Rarely"/>
    <n v="170"/>
    <x v="1"/>
    <n v="1"/>
    <n v="4"/>
    <s v="Life Sciences"/>
    <n v="1"/>
    <x v="1352"/>
    <n v="2"/>
    <x v="1"/>
    <n v="78"/>
    <n v="4"/>
    <n v="2"/>
    <x v="4"/>
    <n v="1"/>
    <s v="Married"/>
    <n v="5033"/>
    <n v="9364"/>
    <n v="2"/>
    <s v="Y"/>
    <s v="No"/>
    <n v="15"/>
    <n v="3"/>
    <n v="4"/>
    <n v="80"/>
    <n v="1"/>
    <n v="10"/>
    <n v="5"/>
    <n v="3"/>
    <x v="4"/>
    <n v="0"/>
    <n v="2"/>
    <n v="2"/>
    <x v="0"/>
    <x v="0"/>
    <s v="Active"/>
    <x v="2"/>
  </r>
  <r>
    <n v="34"/>
    <x v="0"/>
    <s v="Non Travel"/>
    <n v="967"/>
    <x v="1"/>
    <n v="16"/>
    <n v="4"/>
    <s v="Technical Degree"/>
    <n v="1"/>
    <x v="1353"/>
    <n v="4"/>
    <x v="1"/>
    <n v="85"/>
    <n v="1"/>
    <n v="1"/>
    <x v="1"/>
    <n v="1"/>
    <s v="Married"/>
    <n v="2307"/>
    <n v="14460"/>
    <n v="1"/>
    <s v="Y"/>
    <s v="Yes"/>
    <n v="23"/>
    <n v="4"/>
    <n v="2"/>
    <n v="80"/>
    <n v="1"/>
    <n v="5"/>
    <n v="2"/>
    <n v="3"/>
    <x v="8"/>
    <n v="2"/>
    <n v="3"/>
    <n v="0"/>
    <x v="1"/>
    <x v="1"/>
    <s v="Resigned"/>
    <x v="3"/>
  </r>
  <r>
    <n v="56"/>
    <x v="0"/>
    <s v="Travel Rarely"/>
    <n v="1162"/>
    <x v="1"/>
    <n v="24"/>
    <n v="2"/>
    <s v="Life Sciences"/>
    <n v="1"/>
    <x v="1354"/>
    <n v="1"/>
    <x v="1"/>
    <n v="97"/>
    <n v="3"/>
    <n v="1"/>
    <x v="2"/>
    <n v="4"/>
    <s v="Single"/>
    <n v="2587"/>
    <n v="10261"/>
    <n v="1"/>
    <s v="Y"/>
    <s v="No"/>
    <n v="16"/>
    <n v="3"/>
    <n v="4"/>
    <n v="80"/>
    <n v="0"/>
    <n v="5"/>
    <n v="3"/>
    <n v="3"/>
    <x v="9"/>
    <n v="2"/>
    <n v="1"/>
    <n v="0"/>
    <x v="0"/>
    <x v="1"/>
    <s v="Resigned"/>
    <x v="4"/>
  </r>
  <r>
    <n v="36"/>
    <x v="1"/>
    <s v="Travel Rarely"/>
    <n v="335"/>
    <x v="0"/>
    <n v="17"/>
    <n v="2"/>
    <s v="Marketing"/>
    <n v="1"/>
    <x v="1355"/>
    <n v="3"/>
    <x v="1"/>
    <n v="33"/>
    <n v="2"/>
    <n v="2"/>
    <x v="0"/>
    <n v="2"/>
    <s v="Married"/>
    <n v="5507"/>
    <n v="16822"/>
    <n v="2"/>
    <s v="Y"/>
    <s v="No"/>
    <n v="16"/>
    <n v="3"/>
    <n v="3"/>
    <n v="80"/>
    <n v="2"/>
    <n v="12"/>
    <n v="1"/>
    <n v="1"/>
    <x v="9"/>
    <n v="2"/>
    <n v="1"/>
    <n v="3"/>
    <x v="1"/>
    <x v="0"/>
    <s v="Active"/>
    <x v="4"/>
  </r>
  <r>
    <n v="41"/>
    <x v="1"/>
    <s v="Travel Rarely"/>
    <n v="337"/>
    <x v="0"/>
    <n v="8"/>
    <n v="3"/>
    <s v="Marketing"/>
    <n v="1"/>
    <x v="1356"/>
    <n v="3"/>
    <x v="0"/>
    <n v="54"/>
    <n v="3"/>
    <n v="2"/>
    <x v="0"/>
    <n v="2"/>
    <s v="Married"/>
    <n v="4393"/>
    <n v="26841"/>
    <n v="5"/>
    <s v="Y"/>
    <s v="No"/>
    <n v="21"/>
    <n v="4"/>
    <n v="3"/>
    <n v="80"/>
    <n v="1"/>
    <n v="14"/>
    <n v="3"/>
    <n v="3"/>
    <x v="8"/>
    <n v="4"/>
    <n v="1"/>
    <n v="4"/>
    <x v="0"/>
    <x v="1"/>
    <s v="Active"/>
    <x v="3"/>
  </r>
  <r>
    <n v="42"/>
    <x v="1"/>
    <s v="Travel Rarely"/>
    <n v="1396"/>
    <x v="1"/>
    <n v="6"/>
    <n v="3"/>
    <s v="Medical"/>
    <n v="1"/>
    <x v="1357"/>
    <n v="3"/>
    <x v="1"/>
    <n v="83"/>
    <n v="3"/>
    <n v="3"/>
    <x v="7"/>
    <n v="1"/>
    <s v="Married"/>
    <n v="13348"/>
    <n v="14842"/>
    <n v="9"/>
    <s v="Y"/>
    <s v="No"/>
    <n v="13"/>
    <n v="3"/>
    <n v="2"/>
    <n v="80"/>
    <n v="1"/>
    <n v="18"/>
    <n v="3"/>
    <n v="4"/>
    <x v="20"/>
    <n v="7"/>
    <n v="5"/>
    <n v="7"/>
    <x v="0"/>
    <x v="2"/>
    <s v="Active"/>
    <x v="0"/>
  </r>
  <r>
    <n v="31"/>
    <x v="1"/>
    <s v="Travel Rarely"/>
    <n v="1079"/>
    <x v="0"/>
    <n v="10"/>
    <n v="2"/>
    <s v="Medical"/>
    <n v="1"/>
    <x v="1358"/>
    <n v="3"/>
    <x v="0"/>
    <n v="86"/>
    <n v="3"/>
    <n v="2"/>
    <x v="0"/>
    <n v="4"/>
    <s v="Divorced"/>
    <n v="6583"/>
    <n v="20115"/>
    <n v="2"/>
    <s v="Y"/>
    <s v="Yes"/>
    <n v="11"/>
    <n v="3"/>
    <n v="4"/>
    <n v="80"/>
    <n v="1"/>
    <n v="8"/>
    <n v="2"/>
    <n v="3"/>
    <x v="8"/>
    <n v="2"/>
    <n v="1"/>
    <n v="4"/>
    <x v="1"/>
    <x v="0"/>
    <s v="Active"/>
    <x v="3"/>
  </r>
  <r>
    <n v="34"/>
    <x v="1"/>
    <s v="Travel Rarely"/>
    <n v="735"/>
    <x v="0"/>
    <n v="3"/>
    <n v="1"/>
    <s v="Medical"/>
    <n v="1"/>
    <x v="1359"/>
    <n v="4"/>
    <x v="0"/>
    <n v="75"/>
    <n v="2"/>
    <n v="2"/>
    <x v="0"/>
    <n v="4"/>
    <s v="Married"/>
    <n v="8103"/>
    <n v="16495"/>
    <n v="3"/>
    <s v="Y"/>
    <s v="Yes"/>
    <n v="12"/>
    <n v="3"/>
    <n v="3"/>
    <n v="80"/>
    <n v="0"/>
    <n v="9"/>
    <n v="3"/>
    <n v="2"/>
    <x v="9"/>
    <n v="2"/>
    <n v="0"/>
    <n v="1"/>
    <x v="1"/>
    <x v="0"/>
    <s v="Active"/>
    <x v="4"/>
  </r>
  <r>
    <n v="31"/>
    <x v="1"/>
    <s v="Travel Rarely"/>
    <n v="471"/>
    <x v="1"/>
    <n v="4"/>
    <n v="3"/>
    <s v="Medical"/>
    <n v="1"/>
    <x v="1360"/>
    <n v="1"/>
    <x v="0"/>
    <n v="62"/>
    <n v="4"/>
    <n v="1"/>
    <x v="2"/>
    <n v="3"/>
    <s v="Divorced"/>
    <n v="3978"/>
    <n v="16031"/>
    <n v="8"/>
    <s v="Y"/>
    <s v="No"/>
    <n v="12"/>
    <n v="3"/>
    <n v="2"/>
    <n v="80"/>
    <n v="1"/>
    <n v="4"/>
    <n v="0"/>
    <n v="2"/>
    <x v="4"/>
    <n v="2"/>
    <n v="2"/>
    <n v="2"/>
    <x v="1"/>
    <x v="1"/>
    <s v="Active"/>
    <x v="2"/>
  </r>
  <r>
    <n v="26"/>
    <x v="1"/>
    <s v="Travel Frequently"/>
    <n v="1096"/>
    <x v="1"/>
    <n v="6"/>
    <n v="3"/>
    <s v="Other"/>
    <n v="1"/>
    <x v="1361"/>
    <n v="3"/>
    <x v="1"/>
    <n v="61"/>
    <n v="4"/>
    <n v="1"/>
    <x v="2"/>
    <n v="4"/>
    <s v="Married"/>
    <n v="2544"/>
    <n v="7102"/>
    <n v="0"/>
    <s v="Y"/>
    <s v="No"/>
    <n v="18"/>
    <n v="3"/>
    <n v="1"/>
    <n v="80"/>
    <n v="1"/>
    <n v="8"/>
    <n v="3"/>
    <n v="3"/>
    <x v="5"/>
    <n v="7"/>
    <n v="7"/>
    <n v="7"/>
    <x v="2"/>
    <x v="1"/>
    <s v="Active"/>
    <x v="0"/>
  </r>
  <r>
    <n v="45"/>
    <x v="1"/>
    <s v="Travel Frequently"/>
    <n v="1297"/>
    <x v="1"/>
    <n v="1"/>
    <n v="4"/>
    <s v="Medical"/>
    <n v="1"/>
    <x v="1362"/>
    <n v="2"/>
    <x v="1"/>
    <n v="44"/>
    <n v="3"/>
    <n v="2"/>
    <x v="4"/>
    <n v="3"/>
    <s v="Single"/>
    <n v="5399"/>
    <n v="14511"/>
    <n v="4"/>
    <s v="Y"/>
    <s v="No"/>
    <n v="12"/>
    <n v="3"/>
    <n v="3"/>
    <n v="80"/>
    <n v="0"/>
    <n v="12"/>
    <n v="3"/>
    <n v="3"/>
    <x v="9"/>
    <n v="2"/>
    <n v="0"/>
    <n v="3"/>
    <x v="0"/>
    <x v="0"/>
    <s v="Active"/>
    <x v="4"/>
  </r>
  <r>
    <n v="33"/>
    <x v="1"/>
    <s v="Travel Rarely"/>
    <n v="217"/>
    <x v="0"/>
    <n v="10"/>
    <n v="4"/>
    <s v="Marketing"/>
    <n v="1"/>
    <x v="1363"/>
    <n v="2"/>
    <x v="1"/>
    <n v="43"/>
    <n v="3"/>
    <n v="2"/>
    <x v="0"/>
    <n v="3"/>
    <s v="Single"/>
    <n v="5487"/>
    <n v="10410"/>
    <n v="1"/>
    <s v="Y"/>
    <s v="No"/>
    <n v="14"/>
    <n v="3"/>
    <n v="2"/>
    <n v="80"/>
    <n v="0"/>
    <n v="10"/>
    <n v="2"/>
    <n v="2"/>
    <x v="1"/>
    <n v="4"/>
    <n v="0"/>
    <n v="9"/>
    <x v="1"/>
    <x v="0"/>
    <s v="Active"/>
    <x v="0"/>
  </r>
  <r>
    <n v="28"/>
    <x v="1"/>
    <s v="Travel Frequently"/>
    <n v="783"/>
    <x v="0"/>
    <n v="1"/>
    <n v="2"/>
    <s v="Life Sciences"/>
    <n v="1"/>
    <x v="1364"/>
    <n v="3"/>
    <x v="1"/>
    <n v="42"/>
    <n v="2"/>
    <n v="2"/>
    <x v="0"/>
    <n v="4"/>
    <s v="Married"/>
    <n v="6834"/>
    <n v="19255"/>
    <n v="1"/>
    <s v="Y"/>
    <s v="Yes"/>
    <n v="12"/>
    <n v="3"/>
    <n v="3"/>
    <n v="80"/>
    <n v="1"/>
    <n v="7"/>
    <n v="2"/>
    <n v="3"/>
    <x v="5"/>
    <n v="7"/>
    <n v="0"/>
    <n v="7"/>
    <x v="2"/>
    <x v="0"/>
    <s v="Active"/>
    <x v="0"/>
  </r>
  <r>
    <n v="29"/>
    <x v="0"/>
    <s v="Travel Frequently"/>
    <n v="746"/>
    <x v="0"/>
    <n v="24"/>
    <n v="3"/>
    <s v="Technical Degree"/>
    <n v="1"/>
    <x v="1365"/>
    <n v="3"/>
    <x v="1"/>
    <n v="45"/>
    <n v="4"/>
    <n v="1"/>
    <x v="6"/>
    <n v="1"/>
    <s v="Single"/>
    <n v="1091"/>
    <n v="10642"/>
    <n v="1"/>
    <s v="Y"/>
    <s v="No"/>
    <n v="17"/>
    <n v="3"/>
    <n v="4"/>
    <n v="80"/>
    <n v="0"/>
    <n v="1"/>
    <n v="3"/>
    <n v="3"/>
    <x v="6"/>
    <n v="0"/>
    <n v="0"/>
    <n v="0"/>
    <x v="2"/>
    <x v="1"/>
    <s v="Resigned"/>
    <x v="1"/>
  </r>
  <r>
    <n v="39"/>
    <x v="1"/>
    <s v="Non Travel"/>
    <n v="1251"/>
    <x v="0"/>
    <n v="21"/>
    <n v="4"/>
    <s v="Life Sciences"/>
    <n v="1"/>
    <x v="1366"/>
    <n v="1"/>
    <x v="0"/>
    <n v="32"/>
    <n v="1"/>
    <n v="2"/>
    <x v="0"/>
    <n v="3"/>
    <s v="Married"/>
    <n v="5736"/>
    <n v="3987"/>
    <n v="6"/>
    <s v="Y"/>
    <s v="No"/>
    <n v="19"/>
    <n v="3"/>
    <n v="3"/>
    <n v="80"/>
    <n v="1"/>
    <n v="10"/>
    <n v="1"/>
    <n v="3"/>
    <x v="11"/>
    <n v="2"/>
    <n v="1"/>
    <n v="2"/>
    <x v="1"/>
    <x v="0"/>
    <s v="Active"/>
    <x v="5"/>
  </r>
  <r>
    <n v="27"/>
    <x v="1"/>
    <s v="Travel Rarely"/>
    <n v="1354"/>
    <x v="1"/>
    <n v="2"/>
    <n v="4"/>
    <s v="Technical Degree"/>
    <n v="1"/>
    <x v="1367"/>
    <n v="2"/>
    <x v="1"/>
    <n v="41"/>
    <n v="3"/>
    <n v="1"/>
    <x v="1"/>
    <n v="2"/>
    <s v="Married"/>
    <n v="2226"/>
    <n v="6073"/>
    <n v="1"/>
    <s v="Y"/>
    <s v="No"/>
    <n v="11"/>
    <n v="3"/>
    <n v="3"/>
    <n v="80"/>
    <n v="1"/>
    <n v="6"/>
    <n v="3"/>
    <n v="2"/>
    <x v="8"/>
    <n v="3"/>
    <n v="1"/>
    <n v="2"/>
    <x v="2"/>
    <x v="1"/>
    <s v="Active"/>
    <x v="3"/>
  </r>
  <r>
    <n v="34"/>
    <x v="1"/>
    <s v="Travel Frequently"/>
    <n v="735"/>
    <x v="1"/>
    <n v="22"/>
    <n v="4"/>
    <s v="Other"/>
    <n v="1"/>
    <x v="1368"/>
    <n v="3"/>
    <x v="1"/>
    <n v="86"/>
    <n v="2"/>
    <n v="2"/>
    <x v="1"/>
    <n v="4"/>
    <s v="Married"/>
    <n v="5747"/>
    <n v="26496"/>
    <n v="1"/>
    <s v="Y"/>
    <s v="Yes"/>
    <n v="15"/>
    <n v="3"/>
    <n v="2"/>
    <n v="80"/>
    <n v="0"/>
    <n v="16"/>
    <n v="3"/>
    <n v="3"/>
    <x v="15"/>
    <n v="10"/>
    <n v="6"/>
    <n v="11"/>
    <x v="1"/>
    <x v="0"/>
    <s v="Active"/>
    <x v="0"/>
  </r>
  <r>
    <n v="28"/>
    <x v="0"/>
    <s v="Travel Rarely"/>
    <n v="1475"/>
    <x v="0"/>
    <n v="13"/>
    <n v="2"/>
    <s v="Marketing"/>
    <n v="1"/>
    <x v="1369"/>
    <n v="4"/>
    <x v="0"/>
    <n v="84"/>
    <n v="3"/>
    <n v="2"/>
    <x v="0"/>
    <n v="3"/>
    <s v="Single"/>
    <n v="9854"/>
    <n v="23352"/>
    <n v="3"/>
    <s v="Y"/>
    <s v="Yes"/>
    <n v="11"/>
    <n v="3"/>
    <n v="4"/>
    <n v="80"/>
    <n v="0"/>
    <n v="6"/>
    <n v="0"/>
    <n v="3"/>
    <x v="4"/>
    <n v="0"/>
    <n v="2"/>
    <n v="2"/>
    <x v="2"/>
    <x v="0"/>
    <s v="Resigned"/>
    <x v="2"/>
  </r>
  <r>
    <n v="47"/>
    <x v="1"/>
    <s v="Non Travel"/>
    <n v="1169"/>
    <x v="1"/>
    <n v="14"/>
    <n v="4"/>
    <s v="Technical Degree"/>
    <n v="1"/>
    <x v="1370"/>
    <n v="3"/>
    <x v="1"/>
    <n v="64"/>
    <n v="3"/>
    <n v="2"/>
    <x v="1"/>
    <n v="2"/>
    <s v="Married"/>
    <n v="5467"/>
    <n v="2125"/>
    <n v="8"/>
    <s v="Y"/>
    <s v="No"/>
    <n v="18"/>
    <n v="3"/>
    <n v="3"/>
    <n v="80"/>
    <n v="1"/>
    <n v="16"/>
    <n v="4"/>
    <n v="4"/>
    <x v="3"/>
    <n v="7"/>
    <n v="1"/>
    <n v="7"/>
    <x v="0"/>
    <x v="0"/>
    <s v="Active"/>
    <x v="0"/>
  </r>
  <r>
    <n v="56"/>
    <x v="1"/>
    <s v="Travel Rarely"/>
    <n v="1443"/>
    <x v="0"/>
    <n v="11"/>
    <n v="5"/>
    <s v="Marketing"/>
    <n v="1"/>
    <x v="1371"/>
    <n v="4"/>
    <x v="0"/>
    <n v="89"/>
    <n v="2"/>
    <n v="2"/>
    <x v="0"/>
    <n v="1"/>
    <s v="Married"/>
    <n v="5380"/>
    <n v="20328"/>
    <n v="4"/>
    <s v="Y"/>
    <s v="No"/>
    <n v="16"/>
    <n v="3"/>
    <n v="3"/>
    <n v="80"/>
    <n v="1"/>
    <n v="6"/>
    <n v="3"/>
    <n v="3"/>
    <x v="2"/>
    <n v="0"/>
    <n v="0"/>
    <n v="0"/>
    <x v="0"/>
    <x v="0"/>
    <s v="Active"/>
    <x v="1"/>
  </r>
  <r>
    <n v="39"/>
    <x v="1"/>
    <s v="Travel Rarely"/>
    <n v="867"/>
    <x v="1"/>
    <n v="9"/>
    <n v="2"/>
    <s v="Medical"/>
    <n v="1"/>
    <x v="1372"/>
    <n v="1"/>
    <x v="1"/>
    <n v="87"/>
    <n v="3"/>
    <n v="2"/>
    <x v="3"/>
    <n v="1"/>
    <s v="Married"/>
    <n v="5151"/>
    <n v="12315"/>
    <n v="1"/>
    <s v="Y"/>
    <s v="No"/>
    <n v="25"/>
    <n v="4"/>
    <n v="4"/>
    <n v="80"/>
    <n v="1"/>
    <n v="10"/>
    <n v="3"/>
    <n v="3"/>
    <x v="1"/>
    <n v="0"/>
    <n v="7"/>
    <n v="9"/>
    <x v="1"/>
    <x v="0"/>
    <s v="Active"/>
    <x v="0"/>
  </r>
  <r>
    <n v="38"/>
    <x v="1"/>
    <s v="Travel Frequently"/>
    <n v="1394"/>
    <x v="1"/>
    <n v="8"/>
    <n v="3"/>
    <s v="Medical"/>
    <n v="1"/>
    <x v="1373"/>
    <n v="4"/>
    <x v="0"/>
    <n v="58"/>
    <n v="2"/>
    <n v="2"/>
    <x v="1"/>
    <n v="2"/>
    <s v="Divorced"/>
    <n v="2133"/>
    <n v="18115"/>
    <n v="1"/>
    <s v="Y"/>
    <s v="Yes"/>
    <n v="16"/>
    <n v="3"/>
    <n v="3"/>
    <n v="80"/>
    <n v="1"/>
    <n v="20"/>
    <n v="3"/>
    <n v="3"/>
    <x v="23"/>
    <n v="11"/>
    <n v="0"/>
    <n v="7"/>
    <x v="1"/>
    <x v="1"/>
    <s v="Active"/>
    <x v="0"/>
  </r>
  <r>
    <n v="58"/>
    <x v="1"/>
    <s v="Travel Rarely"/>
    <n v="605"/>
    <x v="0"/>
    <n v="21"/>
    <n v="3"/>
    <s v="Life Sciences"/>
    <n v="1"/>
    <x v="1374"/>
    <n v="4"/>
    <x v="0"/>
    <n v="72"/>
    <n v="3"/>
    <n v="4"/>
    <x v="5"/>
    <n v="4"/>
    <s v="Married"/>
    <n v="17875"/>
    <n v="11761"/>
    <n v="4"/>
    <s v="Y"/>
    <s v="Yes"/>
    <n v="13"/>
    <n v="3"/>
    <n v="3"/>
    <n v="80"/>
    <n v="1"/>
    <n v="29"/>
    <n v="2"/>
    <n v="2"/>
    <x v="6"/>
    <n v="0"/>
    <n v="0"/>
    <n v="0"/>
    <x v="0"/>
    <x v="2"/>
    <s v="Active"/>
    <x v="1"/>
  </r>
  <r>
    <n v="32"/>
    <x v="0"/>
    <s v="Travel Frequently"/>
    <n v="238"/>
    <x v="1"/>
    <n v="5"/>
    <n v="2"/>
    <s v="Life Sciences"/>
    <n v="1"/>
    <x v="1375"/>
    <n v="1"/>
    <x v="0"/>
    <n v="47"/>
    <n v="4"/>
    <n v="1"/>
    <x v="1"/>
    <n v="3"/>
    <s v="Single"/>
    <n v="2432"/>
    <n v="15318"/>
    <n v="3"/>
    <s v="Y"/>
    <s v="Yes"/>
    <n v="14"/>
    <n v="3"/>
    <n v="1"/>
    <n v="80"/>
    <n v="0"/>
    <n v="8"/>
    <n v="2"/>
    <n v="3"/>
    <x v="9"/>
    <n v="1"/>
    <n v="0"/>
    <n v="3"/>
    <x v="1"/>
    <x v="1"/>
    <s v="Resigned"/>
    <x v="4"/>
  </r>
  <r>
    <n v="38"/>
    <x v="1"/>
    <s v="Travel Rarely"/>
    <n v="1206"/>
    <x v="1"/>
    <n v="9"/>
    <n v="2"/>
    <s v="Life Sciences"/>
    <n v="1"/>
    <x v="1376"/>
    <n v="2"/>
    <x v="1"/>
    <n v="71"/>
    <n v="3"/>
    <n v="1"/>
    <x v="1"/>
    <n v="4"/>
    <s v="Divorced"/>
    <n v="4771"/>
    <n v="14293"/>
    <n v="2"/>
    <s v="Y"/>
    <s v="No"/>
    <n v="19"/>
    <n v="3"/>
    <n v="4"/>
    <n v="80"/>
    <n v="2"/>
    <n v="10"/>
    <n v="0"/>
    <n v="4"/>
    <x v="8"/>
    <n v="2"/>
    <n v="0"/>
    <n v="3"/>
    <x v="1"/>
    <x v="1"/>
    <s v="Active"/>
    <x v="3"/>
  </r>
  <r>
    <n v="49"/>
    <x v="1"/>
    <s v="Travel Frequently"/>
    <n v="1064"/>
    <x v="1"/>
    <n v="2"/>
    <n v="1"/>
    <s v="Life Sciences"/>
    <n v="1"/>
    <x v="1377"/>
    <n v="2"/>
    <x v="1"/>
    <n v="42"/>
    <n v="3"/>
    <n v="5"/>
    <x v="7"/>
    <n v="4"/>
    <s v="Married"/>
    <n v="19161"/>
    <n v="13738"/>
    <n v="3"/>
    <s v="Y"/>
    <s v="No"/>
    <n v="15"/>
    <n v="3"/>
    <n v="4"/>
    <n v="80"/>
    <n v="0"/>
    <n v="28"/>
    <n v="3"/>
    <n v="3"/>
    <x v="8"/>
    <n v="4"/>
    <n v="4"/>
    <n v="3"/>
    <x v="0"/>
    <x v="2"/>
    <s v="Active"/>
    <x v="3"/>
  </r>
  <r>
    <n v="42"/>
    <x v="1"/>
    <s v="Travel Rarely"/>
    <n v="419"/>
    <x v="0"/>
    <n v="12"/>
    <n v="4"/>
    <s v="Marketing"/>
    <n v="1"/>
    <x v="1378"/>
    <n v="2"/>
    <x v="1"/>
    <n v="77"/>
    <n v="3"/>
    <n v="2"/>
    <x v="0"/>
    <n v="4"/>
    <s v="Divorced"/>
    <n v="5087"/>
    <n v="2900"/>
    <n v="3"/>
    <s v="Y"/>
    <s v="Yes"/>
    <n v="12"/>
    <n v="3"/>
    <n v="3"/>
    <n v="80"/>
    <n v="2"/>
    <n v="14"/>
    <n v="4"/>
    <n v="3"/>
    <x v="2"/>
    <n v="0"/>
    <n v="0"/>
    <n v="0"/>
    <x v="0"/>
    <x v="0"/>
    <s v="Active"/>
    <x v="1"/>
  </r>
  <r>
    <n v="27"/>
    <x v="0"/>
    <s v="Travel Frequently"/>
    <n v="1337"/>
    <x v="2"/>
    <n v="22"/>
    <n v="3"/>
    <s v="Human Resources"/>
    <n v="1"/>
    <x v="1379"/>
    <n v="1"/>
    <x v="0"/>
    <n v="58"/>
    <n v="2"/>
    <n v="1"/>
    <x v="8"/>
    <n v="2"/>
    <s v="Married"/>
    <n v="2863"/>
    <n v="19555"/>
    <n v="1"/>
    <s v="Y"/>
    <s v="No"/>
    <n v="12"/>
    <n v="3"/>
    <n v="1"/>
    <n v="80"/>
    <n v="0"/>
    <n v="1"/>
    <n v="2"/>
    <n v="3"/>
    <x v="6"/>
    <n v="0"/>
    <n v="0"/>
    <n v="0"/>
    <x v="2"/>
    <x v="1"/>
    <s v="Resigned"/>
    <x v="1"/>
  </r>
  <r>
    <n v="35"/>
    <x v="1"/>
    <s v="Travel Rarely"/>
    <n v="682"/>
    <x v="0"/>
    <n v="18"/>
    <n v="4"/>
    <s v="Medical"/>
    <n v="1"/>
    <x v="1380"/>
    <n v="2"/>
    <x v="1"/>
    <n v="71"/>
    <n v="3"/>
    <n v="2"/>
    <x v="0"/>
    <n v="1"/>
    <s v="Married"/>
    <n v="5561"/>
    <n v="15975"/>
    <n v="0"/>
    <s v="Y"/>
    <s v="No"/>
    <n v="16"/>
    <n v="3"/>
    <n v="4"/>
    <n v="80"/>
    <n v="1"/>
    <n v="6"/>
    <n v="2"/>
    <n v="1"/>
    <x v="8"/>
    <n v="3"/>
    <n v="0"/>
    <n v="4"/>
    <x v="1"/>
    <x v="0"/>
    <s v="Active"/>
    <x v="3"/>
  </r>
  <r>
    <n v="28"/>
    <x v="1"/>
    <s v="Non Travel"/>
    <n v="1103"/>
    <x v="1"/>
    <n v="16"/>
    <n v="3"/>
    <s v="Medical"/>
    <n v="1"/>
    <x v="1381"/>
    <n v="3"/>
    <x v="1"/>
    <n v="49"/>
    <n v="3"/>
    <n v="1"/>
    <x v="1"/>
    <n v="3"/>
    <s v="Single"/>
    <n v="2144"/>
    <n v="2122"/>
    <n v="1"/>
    <s v="Y"/>
    <s v="No"/>
    <n v="14"/>
    <n v="3"/>
    <n v="3"/>
    <n v="80"/>
    <n v="0"/>
    <n v="5"/>
    <n v="3"/>
    <n v="2"/>
    <x v="8"/>
    <n v="3"/>
    <n v="1"/>
    <n v="4"/>
    <x v="2"/>
    <x v="1"/>
    <s v="Active"/>
    <x v="3"/>
  </r>
  <r>
    <n v="31"/>
    <x v="1"/>
    <s v="Non Travel"/>
    <n v="976"/>
    <x v="1"/>
    <n v="3"/>
    <n v="2"/>
    <s v="Medical"/>
    <n v="1"/>
    <x v="1382"/>
    <n v="3"/>
    <x v="1"/>
    <n v="48"/>
    <n v="3"/>
    <n v="1"/>
    <x v="1"/>
    <n v="1"/>
    <s v="Divorced"/>
    <n v="3065"/>
    <n v="3995"/>
    <n v="1"/>
    <s v="Y"/>
    <s v="Yes"/>
    <n v="13"/>
    <n v="3"/>
    <n v="4"/>
    <n v="80"/>
    <n v="1"/>
    <n v="4"/>
    <n v="3"/>
    <n v="4"/>
    <x v="9"/>
    <n v="2"/>
    <n v="2"/>
    <n v="3"/>
    <x v="1"/>
    <x v="1"/>
    <s v="Active"/>
    <x v="4"/>
  </r>
  <r>
    <n v="36"/>
    <x v="1"/>
    <s v="Non Travel"/>
    <n v="1351"/>
    <x v="1"/>
    <n v="9"/>
    <n v="4"/>
    <s v="Life Sciences"/>
    <n v="1"/>
    <x v="1383"/>
    <n v="1"/>
    <x v="1"/>
    <n v="66"/>
    <n v="4"/>
    <n v="1"/>
    <x v="2"/>
    <n v="2"/>
    <s v="Married"/>
    <n v="2810"/>
    <n v="9238"/>
    <n v="1"/>
    <s v="Y"/>
    <s v="No"/>
    <n v="22"/>
    <n v="4"/>
    <n v="2"/>
    <n v="80"/>
    <n v="0"/>
    <n v="5"/>
    <n v="3"/>
    <n v="3"/>
    <x v="8"/>
    <n v="4"/>
    <n v="0"/>
    <n v="2"/>
    <x v="1"/>
    <x v="1"/>
    <s v="Active"/>
    <x v="3"/>
  </r>
  <r>
    <n v="34"/>
    <x v="1"/>
    <s v="Travel Rarely"/>
    <n v="937"/>
    <x v="0"/>
    <n v="1"/>
    <n v="3"/>
    <s v="Marketing"/>
    <n v="1"/>
    <x v="1384"/>
    <n v="1"/>
    <x v="1"/>
    <n v="32"/>
    <n v="3"/>
    <n v="3"/>
    <x v="0"/>
    <n v="4"/>
    <s v="Single"/>
    <n v="9888"/>
    <n v="6770"/>
    <n v="1"/>
    <s v="Y"/>
    <s v="No"/>
    <n v="21"/>
    <n v="4"/>
    <n v="1"/>
    <n v="80"/>
    <n v="0"/>
    <n v="14"/>
    <n v="3"/>
    <n v="2"/>
    <x v="13"/>
    <n v="8"/>
    <n v="2"/>
    <n v="1"/>
    <x v="1"/>
    <x v="0"/>
    <s v="Active"/>
    <x v="0"/>
  </r>
  <r>
    <n v="34"/>
    <x v="1"/>
    <s v="Travel Rarely"/>
    <n v="1239"/>
    <x v="0"/>
    <n v="13"/>
    <n v="4"/>
    <s v="Medical"/>
    <n v="1"/>
    <x v="1385"/>
    <n v="4"/>
    <x v="1"/>
    <n v="39"/>
    <n v="3"/>
    <n v="3"/>
    <x v="0"/>
    <n v="3"/>
    <s v="Divorced"/>
    <n v="8628"/>
    <n v="22914"/>
    <n v="1"/>
    <s v="Y"/>
    <s v="No"/>
    <n v="18"/>
    <n v="3"/>
    <n v="3"/>
    <n v="80"/>
    <n v="1"/>
    <n v="9"/>
    <n v="2"/>
    <n v="2"/>
    <x v="3"/>
    <n v="7"/>
    <n v="1"/>
    <n v="1"/>
    <x v="1"/>
    <x v="0"/>
    <s v="Active"/>
    <x v="0"/>
  </r>
  <r>
    <n v="26"/>
    <x v="1"/>
    <s v="Travel Rarely"/>
    <n v="157"/>
    <x v="1"/>
    <n v="1"/>
    <n v="3"/>
    <s v="Medical"/>
    <n v="1"/>
    <x v="1386"/>
    <n v="3"/>
    <x v="1"/>
    <n v="95"/>
    <n v="3"/>
    <n v="1"/>
    <x v="2"/>
    <n v="1"/>
    <s v="Single"/>
    <n v="2867"/>
    <n v="20006"/>
    <n v="0"/>
    <s v="Y"/>
    <s v="No"/>
    <n v="13"/>
    <n v="3"/>
    <n v="4"/>
    <n v="80"/>
    <n v="0"/>
    <n v="8"/>
    <n v="6"/>
    <n v="2"/>
    <x v="5"/>
    <n v="7"/>
    <n v="7"/>
    <n v="6"/>
    <x v="2"/>
    <x v="1"/>
    <s v="Active"/>
    <x v="0"/>
  </r>
  <r>
    <n v="29"/>
    <x v="1"/>
    <s v="Travel Rarely"/>
    <n v="136"/>
    <x v="1"/>
    <n v="1"/>
    <n v="3"/>
    <s v="Life Sciences"/>
    <n v="1"/>
    <x v="1387"/>
    <n v="1"/>
    <x v="1"/>
    <n v="89"/>
    <n v="3"/>
    <n v="2"/>
    <x v="4"/>
    <n v="1"/>
    <s v="Married"/>
    <n v="5373"/>
    <n v="6225"/>
    <n v="0"/>
    <s v="Y"/>
    <s v="No"/>
    <n v="12"/>
    <n v="3"/>
    <n v="1"/>
    <n v="80"/>
    <n v="1"/>
    <n v="6"/>
    <n v="5"/>
    <n v="2"/>
    <x v="8"/>
    <n v="3"/>
    <n v="0"/>
    <n v="2"/>
    <x v="2"/>
    <x v="0"/>
    <s v="Active"/>
    <x v="3"/>
  </r>
  <r>
    <n v="32"/>
    <x v="1"/>
    <s v="Non Travel"/>
    <n v="1146"/>
    <x v="1"/>
    <n v="15"/>
    <n v="4"/>
    <s v="Medical"/>
    <n v="1"/>
    <x v="1388"/>
    <n v="3"/>
    <x v="0"/>
    <n v="34"/>
    <n v="3"/>
    <n v="2"/>
    <x v="4"/>
    <n v="4"/>
    <s v="Divorced"/>
    <n v="6667"/>
    <n v="16542"/>
    <n v="5"/>
    <s v="Y"/>
    <s v="No"/>
    <n v="18"/>
    <n v="3"/>
    <n v="2"/>
    <n v="80"/>
    <n v="1"/>
    <n v="9"/>
    <n v="6"/>
    <n v="3"/>
    <x v="8"/>
    <n v="1"/>
    <n v="1"/>
    <n v="2"/>
    <x v="1"/>
    <x v="0"/>
    <s v="Active"/>
    <x v="3"/>
  </r>
  <r>
    <n v="31"/>
    <x v="1"/>
    <s v="Travel Frequently"/>
    <n v="1125"/>
    <x v="1"/>
    <n v="1"/>
    <n v="3"/>
    <s v="Life Sciences"/>
    <n v="1"/>
    <x v="1389"/>
    <n v="4"/>
    <x v="1"/>
    <n v="48"/>
    <n v="1"/>
    <n v="2"/>
    <x v="1"/>
    <n v="1"/>
    <s v="Married"/>
    <n v="5003"/>
    <n v="5771"/>
    <n v="1"/>
    <s v="Y"/>
    <s v="No"/>
    <n v="21"/>
    <n v="4"/>
    <n v="2"/>
    <n v="80"/>
    <n v="0"/>
    <n v="10"/>
    <n v="6"/>
    <n v="3"/>
    <x v="1"/>
    <n v="8"/>
    <n v="8"/>
    <n v="7"/>
    <x v="1"/>
    <x v="0"/>
    <s v="Active"/>
    <x v="0"/>
  </r>
  <r>
    <n v="28"/>
    <x v="0"/>
    <s v="Travel Rarely"/>
    <n v="1404"/>
    <x v="1"/>
    <n v="17"/>
    <n v="3"/>
    <s v="Technical Degree"/>
    <n v="1"/>
    <x v="1390"/>
    <n v="3"/>
    <x v="1"/>
    <n v="32"/>
    <n v="2"/>
    <n v="1"/>
    <x v="2"/>
    <n v="4"/>
    <s v="Divorced"/>
    <n v="2367"/>
    <n v="18779"/>
    <n v="5"/>
    <s v="Y"/>
    <s v="No"/>
    <n v="12"/>
    <n v="3"/>
    <n v="1"/>
    <n v="80"/>
    <n v="1"/>
    <n v="6"/>
    <n v="2"/>
    <n v="2"/>
    <x v="9"/>
    <n v="1"/>
    <n v="0"/>
    <n v="3"/>
    <x v="2"/>
    <x v="1"/>
    <s v="Resigned"/>
    <x v="4"/>
  </r>
  <r>
    <n v="38"/>
    <x v="1"/>
    <s v="Travel Rarely"/>
    <n v="1404"/>
    <x v="0"/>
    <n v="1"/>
    <n v="3"/>
    <s v="Life Sciences"/>
    <n v="1"/>
    <x v="1391"/>
    <n v="1"/>
    <x v="1"/>
    <n v="59"/>
    <n v="2"/>
    <n v="1"/>
    <x v="6"/>
    <n v="1"/>
    <s v="Single"/>
    <n v="2858"/>
    <n v="11473"/>
    <n v="4"/>
    <s v="Y"/>
    <s v="No"/>
    <n v="14"/>
    <n v="3"/>
    <n v="1"/>
    <n v="80"/>
    <n v="0"/>
    <n v="20"/>
    <n v="3"/>
    <n v="2"/>
    <x v="6"/>
    <n v="0"/>
    <n v="0"/>
    <n v="0"/>
    <x v="1"/>
    <x v="1"/>
    <s v="Active"/>
    <x v="1"/>
  </r>
  <r>
    <n v="35"/>
    <x v="1"/>
    <s v="Travel Rarely"/>
    <n v="1224"/>
    <x v="0"/>
    <n v="7"/>
    <n v="4"/>
    <s v="Life Sciences"/>
    <n v="1"/>
    <x v="1392"/>
    <n v="3"/>
    <x v="0"/>
    <n v="55"/>
    <n v="3"/>
    <n v="2"/>
    <x v="0"/>
    <n v="4"/>
    <s v="Married"/>
    <n v="5204"/>
    <n v="13586"/>
    <n v="1"/>
    <s v="Y"/>
    <s v="Yes"/>
    <n v="11"/>
    <n v="3"/>
    <n v="4"/>
    <n v="80"/>
    <n v="0"/>
    <n v="10"/>
    <n v="2"/>
    <n v="3"/>
    <x v="1"/>
    <n v="8"/>
    <n v="0"/>
    <n v="9"/>
    <x v="1"/>
    <x v="0"/>
    <s v="Active"/>
    <x v="0"/>
  </r>
  <r>
    <n v="27"/>
    <x v="1"/>
    <s v="Travel Rarely"/>
    <n v="954"/>
    <x v="0"/>
    <n v="9"/>
    <n v="3"/>
    <s v="Marketing"/>
    <n v="1"/>
    <x v="1393"/>
    <n v="4"/>
    <x v="1"/>
    <n v="44"/>
    <n v="3"/>
    <n v="2"/>
    <x v="0"/>
    <n v="4"/>
    <s v="Single"/>
    <n v="4105"/>
    <n v="5099"/>
    <n v="1"/>
    <s v="Y"/>
    <s v="No"/>
    <n v="14"/>
    <n v="3"/>
    <n v="1"/>
    <n v="80"/>
    <n v="0"/>
    <n v="7"/>
    <n v="5"/>
    <n v="3"/>
    <x v="5"/>
    <n v="7"/>
    <n v="0"/>
    <n v="7"/>
    <x v="2"/>
    <x v="1"/>
    <s v="Active"/>
    <x v="0"/>
  </r>
  <r>
    <n v="32"/>
    <x v="1"/>
    <s v="Travel Rarely"/>
    <n v="1373"/>
    <x v="1"/>
    <n v="5"/>
    <n v="4"/>
    <s v="Life Sciences"/>
    <n v="1"/>
    <x v="1394"/>
    <n v="4"/>
    <x v="1"/>
    <n v="56"/>
    <n v="2"/>
    <n v="2"/>
    <x v="3"/>
    <n v="4"/>
    <s v="Single"/>
    <n v="9679"/>
    <n v="10138"/>
    <n v="8"/>
    <s v="Y"/>
    <s v="No"/>
    <n v="24"/>
    <n v="4"/>
    <n v="2"/>
    <n v="80"/>
    <n v="0"/>
    <n v="8"/>
    <n v="1"/>
    <n v="3"/>
    <x v="6"/>
    <n v="0"/>
    <n v="0"/>
    <n v="0"/>
    <x v="1"/>
    <x v="0"/>
    <s v="Active"/>
    <x v="1"/>
  </r>
  <r>
    <n v="31"/>
    <x v="0"/>
    <s v="Travel Frequently"/>
    <n v="754"/>
    <x v="0"/>
    <n v="26"/>
    <n v="4"/>
    <s v="Marketing"/>
    <n v="1"/>
    <x v="1395"/>
    <n v="1"/>
    <x v="1"/>
    <n v="63"/>
    <n v="3"/>
    <n v="2"/>
    <x v="0"/>
    <n v="4"/>
    <s v="Married"/>
    <n v="5617"/>
    <n v="21075"/>
    <n v="1"/>
    <s v="Y"/>
    <s v="Yes"/>
    <n v="11"/>
    <n v="3"/>
    <n v="3"/>
    <n v="80"/>
    <n v="0"/>
    <n v="10"/>
    <n v="4"/>
    <n v="3"/>
    <x v="1"/>
    <n v="7"/>
    <n v="0"/>
    <n v="8"/>
    <x v="1"/>
    <x v="0"/>
    <s v="Resigned"/>
    <x v="0"/>
  </r>
  <r>
    <n v="53"/>
    <x v="0"/>
    <s v="Travel Rarely"/>
    <n v="1168"/>
    <x v="0"/>
    <n v="24"/>
    <n v="4"/>
    <s v="Life Sciences"/>
    <n v="1"/>
    <x v="1396"/>
    <n v="1"/>
    <x v="1"/>
    <n v="66"/>
    <n v="3"/>
    <n v="3"/>
    <x v="0"/>
    <n v="1"/>
    <s v="Single"/>
    <n v="10448"/>
    <n v="5843"/>
    <n v="6"/>
    <s v="Y"/>
    <s v="Yes"/>
    <n v="13"/>
    <n v="3"/>
    <n v="2"/>
    <n v="80"/>
    <n v="0"/>
    <n v="15"/>
    <n v="2"/>
    <n v="2"/>
    <x v="4"/>
    <n v="2"/>
    <n v="2"/>
    <n v="2"/>
    <x v="0"/>
    <x v="2"/>
    <s v="Resigned"/>
    <x v="2"/>
  </r>
  <r>
    <n v="54"/>
    <x v="1"/>
    <s v="Travel Rarely"/>
    <n v="155"/>
    <x v="1"/>
    <n v="9"/>
    <n v="2"/>
    <s v="Life Sciences"/>
    <n v="1"/>
    <x v="1397"/>
    <n v="1"/>
    <x v="0"/>
    <n v="67"/>
    <n v="3"/>
    <n v="2"/>
    <x v="1"/>
    <n v="3"/>
    <s v="Married"/>
    <n v="2897"/>
    <n v="22474"/>
    <n v="3"/>
    <s v="Y"/>
    <s v="No"/>
    <n v="11"/>
    <n v="3"/>
    <n v="3"/>
    <n v="80"/>
    <n v="2"/>
    <n v="9"/>
    <n v="6"/>
    <n v="2"/>
    <x v="9"/>
    <n v="3"/>
    <n v="2"/>
    <n v="3"/>
    <x v="0"/>
    <x v="1"/>
    <s v="Active"/>
    <x v="4"/>
  </r>
  <r>
    <n v="33"/>
    <x v="1"/>
    <s v="Travel Frequently"/>
    <n v="1303"/>
    <x v="1"/>
    <n v="7"/>
    <n v="2"/>
    <s v="Life Sciences"/>
    <n v="1"/>
    <x v="1398"/>
    <n v="4"/>
    <x v="1"/>
    <n v="36"/>
    <n v="3"/>
    <n v="2"/>
    <x v="4"/>
    <n v="3"/>
    <s v="Divorced"/>
    <n v="5968"/>
    <n v="18079"/>
    <n v="1"/>
    <s v="Y"/>
    <s v="No"/>
    <n v="20"/>
    <n v="4"/>
    <n v="3"/>
    <n v="80"/>
    <n v="3"/>
    <n v="9"/>
    <n v="2"/>
    <n v="3"/>
    <x v="7"/>
    <n v="7"/>
    <n v="2"/>
    <n v="8"/>
    <x v="1"/>
    <x v="0"/>
    <s v="Active"/>
    <x v="0"/>
  </r>
  <r>
    <n v="43"/>
    <x v="1"/>
    <s v="Travel Rarely"/>
    <n v="574"/>
    <x v="1"/>
    <n v="11"/>
    <n v="3"/>
    <s v="Life Sciences"/>
    <n v="1"/>
    <x v="1399"/>
    <n v="1"/>
    <x v="1"/>
    <n v="30"/>
    <n v="3"/>
    <n v="3"/>
    <x v="4"/>
    <n v="3"/>
    <s v="Married"/>
    <n v="7510"/>
    <n v="16873"/>
    <n v="1"/>
    <s v="Y"/>
    <s v="No"/>
    <n v="17"/>
    <n v="3"/>
    <n v="2"/>
    <n v="80"/>
    <n v="1"/>
    <n v="10"/>
    <n v="1"/>
    <n v="3"/>
    <x v="1"/>
    <n v="9"/>
    <n v="0"/>
    <n v="9"/>
    <x v="0"/>
    <x v="0"/>
    <s v="Active"/>
    <x v="0"/>
  </r>
  <r>
    <n v="38"/>
    <x v="1"/>
    <s v="Travel Frequently"/>
    <n v="1444"/>
    <x v="2"/>
    <n v="1"/>
    <n v="4"/>
    <s v="Other"/>
    <n v="1"/>
    <x v="1400"/>
    <n v="4"/>
    <x v="1"/>
    <n v="88"/>
    <n v="3"/>
    <n v="1"/>
    <x v="8"/>
    <n v="2"/>
    <s v="Married"/>
    <n v="2991"/>
    <n v="5224"/>
    <n v="0"/>
    <s v="Y"/>
    <s v="Yes"/>
    <n v="11"/>
    <n v="3"/>
    <n v="2"/>
    <n v="80"/>
    <n v="1"/>
    <n v="7"/>
    <n v="2"/>
    <n v="3"/>
    <x v="0"/>
    <n v="2"/>
    <n v="1"/>
    <n v="2"/>
    <x v="1"/>
    <x v="1"/>
    <s v="Active"/>
    <x v="0"/>
  </r>
  <r>
    <n v="55"/>
    <x v="1"/>
    <s v="Travel Rarely"/>
    <n v="189"/>
    <x v="2"/>
    <n v="26"/>
    <n v="4"/>
    <s v="Human Resources"/>
    <n v="1"/>
    <x v="1401"/>
    <n v="3"/>
    <x v="1"/>
    <n v="71"/>
    <n v="4"/>
    <n v="5"/>
    <x v="5"/>
    <n v="2"/>
    <s v="Married"/>
    <n v="19636"/>
    <n v="25811"/>
    <n v="4"/>
    <s v="Y"/>
    <s v="Yes"/>
    <n v="18"/>
    <n v="3"/>
    <n v="1"/>
    <n v="80"/>
    <n v="1"/>
    <n v="35"/>
    <n v="0"/>
    <n v="3"/>
    <x v="1"/>
    <n v="9"/>
    <n v="1"/>
    <n v="4"/>
    <x v="0"/>
    <x v="2"/>
    <s v="Active"/>
    <x v="0"/>
  </r>
  <r>
    <n v="31"/>
    <x v="1"/>
    <s v="Travel Rarely"/>
    <n v="1276"/>
    <x v="1"/>
    <n v="2"/>
    <n v="1"/>
    <s v="Medical"/>
    <n v="1"/>
    <x v="1402"/>
    <n v="4"/>
    <x v="0"/>
    <n v="59"/>
    <n v="1"/>
    <n v="1"/>
    <x v="2"/>
    <n v="4"/>
    <s v="Divorced"/>
    <n v="1129"/>
    <n v="17536"/>
    <n v="1"/>
    <s v="Y"/>
    <s v="Yes"/>
    <n v="11"/>
    <n v="3"/>
    <n v="3"/>
    <n v="80"/>
    <n v="3"/>
    <n v="1"/>
    <n v="4"/>
    <n v="3"/>
    <x v="6"/>
    <n v="0"/>
    <n v="0"/>
    <n v="0"/>
    <x v="1"/>
    <x v="1"/>
    <s v="Active"/>
    <x v="1"/>
  </r>
  <r>
    <n v="39"/>
    <x v="1"/>
    <s v="Travel Rarely"/>
    <n v="119"/>
    <x v="0"/>
    <n v="15"/>
    <n v="4"/>
    <s v="Marketing"/>
    <n v="1"/>
    <x v="1403"/>
    <n v="2"/>
    <x v="1"/>
    <n v="77"/>
    <n v="3"/>
    <n v="4"/>
    <x v="0"/>
    <n v="1"/>
    <s v="Single"/>
    <n v="13341"/>
    <n v="25098"/>
    <n v="0"/>
    <s v="Y"/>
    <s v="No"/>
    <n v="12"/>
    <n v="3"/>
    <n v="1"/>
    <n v="80"/>
    <n v="0"/>
    <n v="21"/>
    <n v="3"/>
    <n v="3"/>
    <x v="23"/>
    <n v="8"/>
    <n v="11"/>
    <n v="10"/>
    <x v="1"/>
    <x v="2"/>
    <s v="Active"/>
    <x v="0"/>
  </r>
  <r>
    <n v="42"/>
    <x v="1"/>
    <s v="Non Travel"/>
    <n v="335"/>
    <x v="1"/>
    <n v="23"/>
    <n v="2"/>
    <s v="Life Sciences"/>
    <n v="1"/>
    <x v="1404"/>
    <n v="4"/>
    <x v="1"/>
    <n v="37"/>
    <n v="2"/>
    <n v="2"/>
    <x v="1"/>
    <n v="3"/>
    <s v="Single"/>
    <n v="4332"/>
    <n v="14811"/>
    <n v="1"/>
    <s v="Y"/>
    <s v="No"/>
    <n v="12"/>
    <n v="3"/>
    <n v="4"/>
    <n v="80"/>
    <n v="0"/>
    <n v="20"/>
    <n v="2"/>
    <n v="3"/>
    <x v="23"/>
    <n v="9"/>
    <n v="3"/>
    <n v="7"/>
    <x v="0"/>
    <x v="1"/>
    <s v="Active"/>
    <x v="0"/>
  </r>
  <r>
    <n v="31"/>
    <x v="1"/>
    <s v="Non Travel"/>
    <n v="697"/>
    <x v="1"/>
    <n v="10"/>
    <n v="3"/>
    <s v="Medical"/>
    <n v="1"/>
    <x v="1405"/>
    <n v="3"/>
    <x v="0"/>
    <n v="40"/>
    <n v="3"/>
    <n v="3"/>
    <x v="7"/>
    <n v="3"/>
    <s v="Married"/>
    <n v="11031"/>
    <n v="26862"/>
    <n v="4"/>
    <s v="Y"/>
    <s v="No"/>
    <n v="20"/>
    <n v="4"/>
    <n v="3"/>
    <n v="80"/>
    <n v="1"/>
    <n v="13"/>
    <n v="2"/>
    <n v="4"/>
    <x v="19"/>
    <n v="7"/>
    <n v="4"/>
    <n v="8"/>
    <x v="1"/>
    <x v="2"/>
    <s v="Active"/>
    <x v="0"/>
  </r>
  <r>
    <n v="54"/>
    <x v="1"/>
    <s v="Travel Rarely"/>
    <n v="157"/>
    <x v="1"/>
    <n v="10"/>
    <n v="3"/>
    <s v="Medical"/>
    <n v="1"/>
    <x v="1406"/>
    <n v="3"/>
    <x v="0"/>
    <n v="77"/>
    <n v="3"/>
    <n v="2"/>
    <x v="3"/>
    <n v="1"/>
    <s v="Single"/>
    <n v="4440"/>
    <n v="25198"/>
    <n v="6"/>
    <s v="Y"/>
    <s v="Yes"/>
    <n v="19"/>
    <n v="3"/>
    <n v="4"/>
    <n v="80"/>
    <n v="0"/>
    <n v="9"/>
    <n v="3"/>
    <n v="3"/>
    <x v="8"/>
    <n v="2"/>
    <n v="1"/>
    <n v="4"/>
    <x v="0"/>
    <x v="1"/>
    <s v="Active"/>
    <x v="3"/>
  </r>
  <r>
    <n v="24"/>
    <x v="1"/>
    <s v="Travel Rarely"/>
    <n v="771"/>
    <x v="1"/>
    <n v="1"/>
    <n v="2"/>
    <s v="Life Sciences"/>
    <n v="1"/>
    <x v="1407"/>
    <n v="2"/>
    <x v="1"/>
    <n v="45"/>
    <n v="2"/>
    <n v="2"/>
    <x v="4"/>
    <n v="3"/>
    <s v="Single"/>
    <n v="4617"/>
    <n v="14120"/>
    <n v="1"/>
    <s v="Y"/>
    <s v="No"/>
    <n v="12"/>
    <n v="3"/>
    <n v="2"/>
    <n v="80"/>
    <n v="0"/>
    <n v="4"/>
    <n v="2"/>
    <n v="2"/>
    <x v="9"/>
    <n v="3"/>
    <n v="1"/>
    <n v="2"/>
    <x v="2"/>
    <x v="1"/>
    <s v="Active"/>
    <x v="4"/>
  </r>
  <r>
    <n v="23"/>
    <x v="1"/>
    <s v="Travel Rarely"/>
    <n v="571"/>
    <x v="1"/>
    <n v="12"/>
    <n v="2"/>
    <s v="Other"/>
    <n v="1"/>
    <x v="1408"/>
    <n v="4"/>
    <x v="1"/>
    <n v="78"/>
    <n v="3"/>
    <n v="1"/>
    <x v="2"/>
    <n v="4"/>
    <s v="Single"/>
    <n v="2647"/>
    <n v="13672"/>
    <n v="1"/>
    <s v="Y"/>
    <s v="No"/>
    <n v="13"/>
    <n v="3"/>
    <n v="3"/>
    <n v="80"/>
    <n v="0"/>
    <n v="5"/>
    <n v="6"/>
    <n v="4"/>
    <x v="8"/>
    <n v="2"/>
    <n v="1"/>
    <n v="4"/>
    <x v="2"/>
    <x v="1"/>
    <s v="Active"/>
    <x v="3"/>
  </r>
  <r>
    <n v="40"/>
    <x v="1"/>
    <s v="Travel Frequently"/>
    <n v="692"/>
    <x v="1"/>
    <n v="11"/>
    <n v="3"/>
    <s v="Technical Degree"/>
    <n v="1"/>
    <x v="1409"/>
    <n v="4"/>
    <x v="0"/>
    <n v="73"/>
    <n v="3"/>
    <n v="2"/>
    <x v="2"/>
    <n v="3"/>
    <s v="Married"/>
    <n v="6323"/>
    <n v="26849"/>
    <n v="1"/>
    <s v="Y"/>
    <s v="No"/>
    <n v="11"/>
    <n v="3"/>
    <n v="1"/>
    <n v="80"/>
    <n v="1"/>
    <n v="10"/>
    <n v="2"/>
    <n v="4"/>
    <x v="1"/>
    <n v="9"/>
    <n v="9"/>
    <n v="4"/>
    <x v="1"/>
    <x v="0"/>
    <s v="Active"/>
    <x v="0"/>
  </r>
  <r>
    <n v="40"/>
    <x v="1"/>
    <s v="Travel Rarely"/>
    <n v="444"/>
    <x v="0"/>
    <n v="2"/>
    <n v="2"/>
    <s v="Marketing"/>
    <n v="1"/>
    <x v="1410"/>
    <n v="2"/>
    <x v="0"/>
    <n v="92"/>
    <n v="3"/>
    <n v="2"/>
    <x v="0"/>
    <n v="2"/>
    <s v="Married"/>
    <n v="5677"/>
    <n v="4258"/>
    <n v="3"/>
    <s v="Y"/>
    <s v="No"/>
    <n v="14"/>
    <n v="3"/>
    <n v="3"/>
    <n v="80"/>
    <n v="1"/>
    <n v="15"/>
    <n v="4"/>
    <n v="3"/>
    <x v="19"/>
    <n v="8"/>
    <n v="5"/>
    <n v="10"/>
    <x v="1"/>
    <x v="0"/>
    <s v="Active"/>
    <x v="0"/>
  </r>
  <r>
    <n v="25"/>
    <x v="1"/>
    <s v="Travel Rarely"/>
    <n v="309"/>
    <x v="2"/>
    <n v="2"/>
    <n v="3"/>
    <s v="Human Resources"/>
    <n v="1"/>
    <x v="1411"/>
    <n v="3"/>
    <x v="0"/>
    <n v="82"/>
    <n v="3"/>
    <n v="1"/>
    <x v="8"/>
    <n v="2"/>
    <s v="Married"/>
    <n v="2187"/>
    <n v="19655"/>
    <n v="4"/>
    <s v="Y"/>
    <s v="No"/>
    <n v="14"/>
    <n v="3"/>
    <n v="3"/>
    <n v="80"/>
    <n v="0"/>
    <n v="6"/>
    <n v="3"/>
    <n v="3"/>
    <x v="4"/>
    <n v="0"/>
    <n v="1"/>
    <n v="2"/>
    <x v="2"/>
    <x v="1"/>
    <s v="Active"/>
    <x v="2"/>
  </r>
  <r>
    <n v="30"/>
    <x v="1"/>
    <s v="Travel Rarely"/>
    <n v="911"/>
    <x v="1"/>
    <n v="1"/>
    <n v="2"/>
    <s v="Medical"/>
    <n v="1"/>
    <x v="1412"/>
    <n v="4"/>
    <x v="1"/>
    <n v="76"/>
    <n v="3"/>
    <n v="1"/>
    <x v="2"/>
    <n v="2"/>
    <s v="Married"/>
    <n v="3748"/>
    <n v="4077"/>
    <n v="1"/>
    <s v="Y"/>
    <s v="No"/>
    <n v="13"/>
    <n v="3"/>
    <n v="3"/>
    <n v="80"/>
    <n v="0"/>
    <n v="12"/>
    <n v="6"/>
    <n v="2"/>
    <x v="12"/>
    <n v="8"/>
    <n v="1"/>
    <n v="7"/>
    <x v="1"/>
    <x v="1"/>
    <s v="Active"/>
    <x v="0"/>
  </r>
  <r>
    <n v="25"/>
    <x v="1"/>
    <s v="Travel Rarely"/>
    <n v="977"/>
    <x v="1"/>
    <n v="2"/>
    <n v="1"/>
    <s v="Other"/>
    <n v="1"/>
    <x v="1413"/>
    <n v="4"/>
    <x v="1"/>
    <n v="57"/>
    <n v="3"/>
    <n v="1"/>
    <x v="2"/>
    <n v="3"/>
    <s v="Divorced"/>
    <n v="3977"/>
    <n v="7298"/>
    <n v="6"/>
    <s v="Y"/>
    <s v="Yes"/>
    <n v="19"/>
    <n v="3"/>
    <n v="3"/>
    <n v="80"/>
    <n v="1"/>
    <n v="7"/>
    <n v="2"/>
    <n v="2"/>
    <x v="4"/>
    <n v="2"/>
    <n v="0"/>
    <n v="2"/>
    <x v="2"/>
    <x v="1"/>
    <s v="Active"/>
    <x v="2"/>
  </r>
  <r>
    <n v="47"/>
    <x v="1"/>
    <s v="Travel Rarely"/>
    <n v="1180"/>
    <x v="1"/>
    <n v="25"/>
    <n v="3"/>
    <s v="Medical"/>
    <n v="1"/>
    <x v="1414"/>
    <n v="1"/>
    <x v="1"/>
    <n v="84"/>
    <n v="3"/>
    <n v="3"/>
    <x v="4"/>
    <n v="3"/>
    <s v="Single"/>
    <n v="8633"/>
    <n v="13084"/>
    <n v="2"/>
    <s v="Y"/>
    <s v="No"/>
    <n v="23"/>
    <n v="4"/>
    <n v="2"/>
    <n v="80"/>
    <n v="0"/>
    <n v="25"/>
    <n v="3"/>
    <n v="3"/>
    <x v="18"/>
    <n v="14"/>
    <n v="12"/>
    <n v="11"/>
    <x v="0"/>
    <x v="0"/>
    <s v="Active"/>
    <x v="0"/>
  </r>
  <r>
    <n v="33"/>
    <x v="1"/>
    <s v="Non Travel"/>
    <n v="1313"/>
    <x v="1"/>
    <n v="1"/>
    <n v="2"/>
    <s v="Medical"/>
    <n v="1"/>
    <x v="1415"/>
    <n v="2"/>
    <x v="1"/>
    <n v="59"/>
    <n v="2"/>
    <n v="1"/>
    <x v="2"/>
    <n v="3"/>
    <s v="Divorced"/>
    <n v="2008"/>
    <n v="20439"/>
    <n v="1"/>
    <s v="Y"/>
    <s v="No"/>
    <n v="12"/>
    <n v="3"/>
    <n v="3"/>
    <n v="80"/>
    <n v="3"/>
    <n v="1"/>
    <n v="2"/>
    <n v="2"/>
    <x v="6"/>
    <n v="1"/>
    <n v="0"/>
    <n v="0"/>
    <x v="1"/>
    <x v="1"/>
    <s v="Active"/>
    <x v="1"/>
  </r>
  <r>
    <n v="38"/>
    <x v="1"/>
    <s v="Travel Rarely"/>
    <n v="1321"/>
    <x v="0"/>
    <n v="1"/>
    <n v="4"/>
    <s v="Life Sciences"/>
    <n v="1"/>
    <x v="1416"/>
    <n v="4"/>
    <x v="1"/>
    <n v="86"/>
    <n v="3"/>
    <n v="2"/>
    <x v="0"/>
    <n v="2"/>
    <s v="Married"/>
    <n v="4440"/>
    <n v="7636"/>
    <n v="0"/>
    <s v="Y"/>
    <s v="No"/>
    <n v="15"/>
    <n v="3"/>
    <n v="1"/>
    <n v="80"/>
    <n v="2"/>
    <n v="16"/>
    <n v="3"/>
    <n v="3"/>
    <x v="15"/>
    <n v="13"/>
    <n v="5"/>
    <n v="8"/>
    <x v="1"/>
    <x v="1"/>
    <s v="Active"/>
    <x v="0"/>
  </r>
  <r>
    <n v="31"/>
    <x v="1"/>
    <s v="Travel Rarely"/>
    <n v="1154"/>
    <x v="0"/>
    <n v="2"/>
    <n v="2"/>
    <s v="Life Sciences"/>
    <n v="1"/>
    <x v="1417"/>
    <n v="1"/>
    <x v="1"/>
    <n v="54"/>
    <n v="3"/>
    <n v="1"/>
    <x v="6"/>
    <n v="3"/>
    <s v="Married"/>
    <n v="3067"/>
    <n v="6393"/>
    <n v="0"/>
    <s v="Y"/>
    <s v="No"/>
    <n v="19"/>
    <n v="3"/>
    <n v="3"/>
    <n v="80"/>
    <n v="1"/>
    <n v="3"/>
    <n v="1"/>
    <n v="3"/>
    <x v="4"/>
    <n v="2"/>
    <n v="1"/>
    <n v="2"/>
    <x v="1"/>
    <x v="1"/>
    <s v="Active"/>
    <x v="2"/>
  </r>
  <r>
    <n v="38"/>
    <x v="1"/>
    <s v="Travel Frequently"/>
    <n v="508"/>
    <x v="1"/>
    <n v="6"/>
    <n v="4"/>
    <s v="Life Sciences"/>
    <n v="1"/>
    <x v="1418"/>
    <n v="1"/>
    <x v="1"/>
    <n v="72"/>
    <n v="2"/>
    <n v="2"/>
    <x v="3"/>
    <n v="3"/>
    <s v="Married"/>
    <n v="5321"/>
    <n v="14284"/>
    <n v="2"/>
    <s v="Y"/>
    <s v="No"/>
    <n v="11"/>
    <n v="3"/>
    <n v="4"/>
    <n v="80"/>
    <n v="1"/>
    <n v="10"/>
    <n v="1"/>
    <n v="3"/>
    <x v="3"/>
    <n v="3"/>
    <n v="7"/>
    <n v="7"/>
    <x v="1"/>
    <x v="0"/>
    <s v="Active"/>
    <x v="0"/>
  </r>
  <r>
    <n v="42"/>
    <x v="1"/>
    <s v="Travel Rarely"/>
    <n v="557"/>
    <x v="1"/>
    <n v="18"/>
    <n v="4"/>
    <s v="Life Sciences"/>
    <n v="1"/>
    <x v="1419"/>
    <n v="4"/>
    <x v="1"/>
    <n v="35"/>
    <n v="3"/>
    <n v="2"/>
    <x v="1"/>
    <n v="1"/>
    <s v="Divorced"/>
    <n v="5410"/>
    <n v="11189"/>
    <n v="6"/>
    <s v="Y"/>
    <s v="Yes"/>
    <n v="17"/>
    <n v="3"/>
    <n v="3"/>
    <n v="80"/>
    <n v="1"/>
    <n v="9"/>
    <n v="3"/>
    <n v="2"/>
    <x v="9"/>
    <n v="3"/>
    <n v="1"/>
    <n v="2"/>
    <x v="0"/>
    <x v="0"/>
    <s v="Active"/>
    <x v="4"/>
  </r>
  <r>
    <n v="41"/>
    <x v="1"/>
    <s v="Travel Rarely"/>
    <n v="642"/>
    <x v="1"/>
    <n v="1"/>
    <n v="3"/>
    <s v="Life Sciences"/>
    <n v="1"/>
    <x v="1420"/>
    <n v="4"/>
    <x v="1"/>
    <n v="76"/>
    <n v="3"/>
    <n v="1"/>
    <x v="1"/>
    <n v="4"/>
    <s v="Married"/>
    <n v="2782"/>
    <n v="21412"/>
    <n v="3"/>
    <s v="Y"/>
    <s v="No"/>
    <n v="22"/>
    <n v="4"/>
    <n v="1"/>
    <n v="80"/>
    <n v="1"/>
    <n v="12"/>
    <n v="3"/>
    <n v="3"/>
    <x v="8"/>
    <n v="3"/>
    <n v="1"/>
    <n v="0"/>
    <x v="0"/>
    <x v="1"/>
    <s v="Active"/>
    <x v="3"/>
  </r>
  <r>
    <n v="47"/>
    <x v="1"/>
    <s v="Non Travel"/>
    <n v="1162"/>
    <x v="1"/>
    <n v="1"/>
    <n v="1"/>
    <s v="Medical"/>
    <n v="1"/>
    <x v="1421"/>
    <n v="3"/>
    <x v="0"/>
    <n v="98"/>
    <n v="3"/>
    <n v="3"/>
    <x v="7"/>
    <n v="2"/>
    <s v="Married"/>
    <n v="11957"/>
    <n v="17231"/>
    <n v="0"/>
    <s v="Y"/>
    <s v="No"/>
    <n v="18"/>
    <n v="3"/>
    <n v="1"/>
    <n v="80"/>
    <n v="2"/>
    <n v="14"/>
    <n v="3"/>
    <n v="1"/>
    <x v="20"/>
    <n v="8"/>
    <n v="5"/>
    <n v="12"/>
    <x v="0"/>
    <x v="2"/>
    <s v="Active"/>
    <x v="0"/>
  </r>
  <r>
    <n v="35"/>
    <x v="1"/>
    <s v="Travel Rarely"/>
    <n v="1490"/>
    <x v="1"/>
    <n v="11"/>
    <n v="4"/>
    <s v="Medical"/>
    <n v="1"/>
    <x v="1422"/>
    <n v="4"/>
    <x v="1"/>
    <n v="43"/>
    <n v="3"/>
    <n v="1"/>
    <x v="2"/>
    <n v="3"/>
    <s v="Married"/>
    <n v="2660"/>
    <n v="20232"/>
    <n v="7"/>
    <s v="Y"/>
    <s v="Yes"/>
    <n v="11"/>
    <n v="3"/>
    <n v="3"/>
    <n v="80"/>
    <n v="1"/>
    <n v="5"/>
    <n v="3"/>
    <n v="3"/>
    <x v="4"/>
    <n v="2"/>
    <n v="2"/>
    <n v="2"/>
    <x v="1"/>
    <x v="1"/>
    <s v="Active"/>
    <x v="2"/>
  </r>
  <r>
    <n v="22"/>
    <x v="1"/>
    <s v="Travel Rarely"/>
    <n v="581"/>
    <x v="1"/>
    <n v="1"/>
    <n v="2"/>
    <s v="Life Sciences"/>
    <n v="1"/>
    <x v="1423"/>
    <n v="4"/>
    <x v="1"/>
    <n v="63"/>
    <n v="3"/>
    <n v="1"/>
    <x v="1"/>
    <n v="3"/>
    <s v="Single"/>
    <n v="3375"/>
    <n v="17624"/>
    <n v="0"/>
    <s v="Y"/>
    <s v="No"/>
    <n v="12"/>
    <n v="3"/>
    <n v="4"/>
    <n v="80"/>
    <n v="0"/>
    <n v="4"/>
    <n v="2"/>
    <n v="4"/>
    <x v="11"/>
    <n v="2"/>
    <n v="1"/>
    <n v="2"/>
    <x v="2"/>
    <x v="1"/>
    <s v="Active"/>
    <x v="5"/>
  </r>
  <r>
    <n v="35"/>
    <x v="1"/>
    <s v="Travel Rarely"/>
    <n v="1395"/>
    <x v="1"/>
    <n v="9"/>
    <n v="4"/>
    <s v="Medical"/>
    <n v="1"/>
    <x v="1424"/>
    <n v="2"/>
    <x v="1"/>
    <n v="48"/>
    <n v="3"/>
    <n v="2"/>
    <x v="1"/>
    <n v="3"/>
    <s v="Single"/>
    <n v="5098"/>
    <n v="18698"/>
    <n v="1"/>
    <s v="Y"/>
    <s v="No"/>
    <n v="19"/>
    <n v="3"/>
    <n v="2"/>
    <n v="80"/>
    <n v="0"/>
    <n v="10"/>
    <n v="5"/>
    <n v="3"/>
    <x v="1"/>
    <n v="7"/>
    <n v="0"/>
    <n v="8"/>
    <x v="1"/>
    <x v="0"/>
    <s v="Active"/>
    <x v="0"/>
  </r>
  <r>
    <n v="33"/>
    <x v="1"/>
    <s v="Travel Rarely"/>
    <n v="501"/>
    <x v="1"/>
    <n v="15"/>
    <n v="2"/>
    <s v="Medical"/>
    <n v="1"/>
    <x v="1425"/>
    <n v="2"/>
    <x v="0"/>
    <n v="95"/>
    <n v="3"/>
    <n v="2"/>
    <x v="4"/>
    <n v="4"/>
    <s v="Married"/>
    <n v="4878"/>
    <n v="21653"/>
    <n v="0"/>
    <s v="Y"/>
    <s v="Yes"/>
    <n v="13"/>
    <n v="3"/>
    <n v="1"/>
    <n v="80"/>
    <n v="1"/>
    <n v="10"/>
    <n v="6"/>
    <n v="3"/>
    <x v="7"/>
    <n v="7"/>
    <n v="8"/>
    <n v="1"/>
    <x v="1"/>
    <x v="1"/>
    <s v="Active"/>
    <x v="0"/>
  </r>
  <r>
    <n v="32"/>
    <x v="1"/>
    <s v="Travel Rarely"/>
    <n v="267"/>
    <x v="1"/>
    <n v="29"/>
    <n v="4"/>
    <s v="Life Sciences"/>
    <n v="1"/>
    <x v="1426"/>
    <n v="3"/>
    <x v="0"/>
    <n v="49"/>
    <n v="2"/>
    <n v="1"/>
    <x v="2"/>
    <n v="2"/>
    <s v="Single"/>
    <n v="2837"/>
    <n v="15919"/>
    <n v="1"/>
    <s v="Y"/>
    <s v="No"/>
    <n v="13"/>
    <n v="3"/>
    <n v="3"/>
    <n v="80"/>
    <n v="0"/>
    <n v="6"/>
    <n v="3"/>
    <n v="3"/>
    <x v="0"/>
    <n v="2"/>
    <n v="4"/>
    <n v="1"/>
    <x v="1"/>
    <x v="1"/>
    <s v="Active"/>
    <x v="0"/>
  </r>
  <r>
    <n v="40"/>
    <x v="1"/>
    <s v="Travel Rarely"/>
    <n v="543"/>
    <x v="1"/>
    <n v="1"/>
    <n v="4"/>
    <s v="Life Sciences"/>
    <n v="1"/>
    <x v="1427"/>
    <n v="1"/>
    <x v="1"/>
    <n v="83"/>
    <n v="3"/>
    <n v="1"/>
    <x v="2"/>
    <n v="4"/>
    <s v="Married"/>
    <n v="2406"/>
    <n v="4060"/>
    <n v="8"/>
    <s v="Y"/>
    <s v="No"/>
    <n v="19"/>
    <n v="3"/>
    <n v="3"/>
    <n v="80"/>
    <n v="2"/>
    <n v="8"/>
    <n v="3"/>
    <n v="2"/>
    <x v="6"/>
    <n v="0"/>
    <n v="0"/>
    <n v="0"/>
    <x v="1"/>
    <x v="1"/>
    <s v="Active"/>
    <x v="1"/>
  </r>
  <r>
    <n v="32"/>
    <x v="1"/>
    <s v="Travel Rarely"/>
    <n v="234"/>
    <x v="0"/>
    <n v="1"/>
    <n v="4"/>
    <s v="Medical"/>
    <n v="1"/>
    <x v="1428"/>
    <n v="2"/>
    <x v="1"/>
    <n v="68"/>
    <n v="2"/>
    <n v="1"/>
    <x v="6"/>
    <n v="2"/>
    <s v="Married"/>
    <n v="2269"/>
    <n v="18024"/>
    <n v="0"/>
    <s v="Y"/>
    <s v="No"/>
    <n v="14"/>
    <n v="3"/>
    <n v="2"/>
    <n v="80"/>
    <n v="1"/>
    <n v="3"/>
    <n v="2"/>
    <n v="3"/>
    <x v="4"/>
    <n v="2"/>
    <n v="2"/>
    <n v="2"/>
    <x v="1"/>
    <x v="1"/>
    <s v="Active"/>
    <x v="2"/>
  </r>
  <r>
    <n v="39"/>
    <x v="1"/>
    <s v="Travel Rarely"/>
    <n v="116"/>
    <x v="1"/>
    <n v="24"/>
    <n v="1"/>
    <s v="Life Sciences"/>
    <n v="1"/>
    <x v="1429"/>
    <n v="1"/>
    <x v="1"/>
    <n v="52"/>
    <n v="3"/>
    <n v="2"/>
    <x v="1"/>
    <n v="4"/>
    <s v="Single"/>
    <n v="4108"/>
    <n v="5340"/>
    <n v="7"/>
    <s v="Y"/>
    <s v="No"/>
    <n v="13"/>
    <n v="3"/>
    <n v="1"/>
    <n v="80"/>
    <n v="0"/>
    <n v="18"/>
    <n v="2"/>
    <n v="3"/>
    <x v="5"/>
    <n v="7"/>
    <n v="1"/>
    <n v="7"/>
    <x v="1"/>
    <x v="1"/>
    <s v="Active"/>
    <x v="0"/>
  </r>
  <r>
    <n v="38"/>
    <x v="1"/>
    <s v="Travel Rarely"/>
    <n v="201"/>
    <x v="1"/>
    <n v="10"/>
    <n v="3"/>
    <s v="Medical"/>
    <n v="1"/>
    <x v="1430"/>
    <n v="2"/>
    <x v="0"/>
    <n v="99"/>
    <n v="1"/>
    <n v="3"/>
    <x v="7"/>
    <n v="3"/>
    <s v="Married"/>
    <n v="13206"/>
    <n v="3376"/>
    <n v="3"/>
    <s v="Y"/>
    <s v="No"/>
    <n v="12"/>
    <n v="3"/>
    <n v="1"/>
    <n v="80"/>
    <n v="1"/>
    <n v="20"/>
    <n v="3"/>
    <n v="3"/>
    <x v="29"/>
    <n v="16"/>
    <n v="1"/>
    <n v="11"/>
    <x v="1"/>
    <x v="2"/>
    <s v="Active"/>
    <x v="0"/>
  </r>
  <r>
    <n v="32"/>
    <x v="1"/>
    <s v="Travel Rarely"/>
    <n v="801"/>
    <x v="0"/>
    <n v="1"/>
    <n v="4"/>
    <s v="Marketing"/>
    <n v="1"/>
    <x v="1431"/>
    <n v="3"/>
    <x v="0"/>
    <n v="48"/>
    <n v="3"/>
    <n v="3"/>
    <x v="0"/>
    <n v="4"/>
    <s v="Married"/>
    <n v="10422"/>
    <n v="24032"/>
    <n v="1"/>
    <s v="Y"/>
    <s v="No"/>
    <n v="19"/>
    <n v="3"/>
    <n v="3"/>
    <n v="80"/>
    <n v="2"/>
    <n v="14"/>
    <n v="3"/>
    <n v="3"/>
    <x v="13"/>
    <n v="10"/>
    <n v="5"/>
    <n v="7"/>
    <x v="1"/>
    <x v="2"/>
    <s v="Active"/>
    <x v="0"/>
  </r>
  <r>
    <n v="37"/>
    <x v="1"/>
    <s v="Travel Rarely"/>
    <n v="161"/>
    <x v="1"/>
    <n v="10"/>
    <n v="3"/>
    <s v="Life Sciences"/>
    <n v="1"/>
    <x v="1432"/>
    <n v="3"/>
    <x v="0"/>
    <n v="42"/>
    <n v="4"/>
    <n v="3"/>
    <x v="7"/>
    <n v="4"/>
    <s v="Married"/>
    <n v="13744"/>
    <n v="15471"/>
    <n v="1"/>
    <s v="Y"/>
    <s v="Yes"/>
    <n v="25"/>
    <n v="4"/>
    <n v="1"/>
    <n v="80"/>
    <n v="1"/>
    <n v="16"/>
    <n v="2"/>
    <n v="3"/>
    <x v="22"/>
    <n v="11"/>
    <n v="6"/>
    <n v="8"/>
    <x v="1"/>
    <x v="2"/>
    <s v="Active"/>
    <x v="0"/>
  </r>
  <r>
    <n v="25"/>
    <x v="1"/>
    <s v="Travel Rarely"/>
    <n v="1382"/>
    <x v="0"/>
    <n v="8"/>
    <n v="2"/>
    <s v="Other"/>
    <n v="1"/>
    <x v="1433"/>
    <n v="1"/>
    <x v="0"/>
    <n v="85"/>
    <n v="3"/>
    <n v="2"/>
    <x v="0"/>
    <n v="3"/>
    <s v="Divorced"/>
    <n v="4907"/>
    <n v="13684"/>
    <n v="0"/>
    <s v="Y"/>
    <s v="Yes"/>
    <n v="22"/>
    <n v="4"/>
    <n v="2"/>
    <n v="80"/>
    <n v="1"/>
    <n v="6"/>
    <n v="3"/>
    <n v="2"/>
    <x v="8"/>
    <n v="3"/>
    <n v="0"/>
    <n v="4"/>
    <x v="2"/>
    <x v="1"/>
    <s v="Active"/>
    <x v="3"/>
  </r>
  <r>
    <n v="52"/>
    <x v="1"/>
    <s v="Non Travel"/>
    <n v="585"/>
    <x v="0"/>
    <n v="29"/>
    <n v="4"/>
    <s v="Life Sciences"/>
    <n v="1"/>
    <x v="1434"/>
    <n v="1"/>
    <x v="1"/>
    <n v="40"/>
    <n v="3"/>
    <n v="1"/>
    <x v="6"/>
    <n v="4"/>
    <s v="Divorced"/>
    <n v="3482"/>
    <n v="19788"/>
    <n v="2"/>
    <s v="Y"/>
    <s v="No"/>
    <n v="15"/>
    <n v="3"/>
    <n v="2"/>
    <n v="80"/>
    <n v="2"/>
    <n v="16"/>
    <n v="3"/>
    <n v="2"/>
    <x v="7"/>
    <n v="8"/>
    <n v="0"/>
    <n v="0"/>
    <x v="0"/>
    <x v="1"/>
    <s v="Active"/>
    <x v="0"/>
  </r>
  <r>
    <n v="44"/>
    <x v="1"/>
    <s v="Travel Rarely"/>
    <n v="1037"/>
    <x v="1"/>
    <n v="1"/>
    <n v="3"/>
    <s v="Medical"/>
    <n v="1"/>
    <x v="1435"/>
    <n v="2"/>
    <x v="1"/>
    <n v="42"/>
    <n v="3"/>
    <n v="1"/>
    <x v="1"/>
    <n v="4"/>
    <s v="Single"/>
    <n v="2436"/>
    <n v="13422"/>
    <n v="6"/>
    <s v="Y"/>
    <s v="Yes"/>
    <n v="12"/>
    <n v="3"/>
    <n v="3"/>
    <n v="80"/>
    <n v="0"/>
    <n v="6"/>
    <n v="2"/>
    <n v="3"/>
    <x v="9"/>
    <n v="3"/>
    <n v="1"/>
    <n v="2"/>
    <x v="0"/>
    <x v="1"/>
    <s v="Active"/>
    <x v="4"/>
  </r>
  <r>
    <n v="21"/>
    <x v="1"/>
    <s v="Travel Rarely"/>
    <n v="501"/>
    <x v="0"/>
    <n v="5"/>
    <n v="1"/>
    <s v="Medical"/>
    <n v="1"/>
    <x v="1436"/>
    <n v="3"/>
    <x v="1"/>
    <n v="58"/>
    <n v="3"/>
    <n v="1"/>
    <x v="6"/>
    <n v="1"/>
    <s v="Single"/>
    <n v="2380"/>
    <n v="25479"/>
    <n v="1"/>
    <s v="Y"/>
    <s v="Yes"/>
    <n v="11"/>
    <n v="3"/>
    <n v="4"/>
    <n v="80"/>
    <n v="0"/>
    <n v="2"/>
    <n v="6"/>
    <n v="3"/>
    <x v="4"/>
    <n v="2"/>
    <n v="1"/>
    <n v="2"/>
    <x v="2"/>
    <x v="1"/>
    <s v="Active"/>
    <x v="2"/>
  </r>
  <r>
    <n v="39"/>
    <x v="1"/>
    <s v="Non Travel"/>
    <n v="105"/>
    <x v="1"/>
    <n v="9"/>
    <n v="3"/>
    <s v="Life Sciences"/>
    <n v="1"/>
    <x v="1437"/>
    <n v="4"/>
    <x v="1"/>
    <n v="87"/>
    <n v="3"/>
    <n v="5"/>
    <x v="5"/>
    <n v="4"/>
    <s v="Single"/>
    <n v="19431"/>
    <n v="15302"/>
    <n v="2"/>
    <s v="Y"/>
    <s v="No"/>
    <n v="13"/>
    <n v="3"/>
    <n v="3"/>
    <n v="80"/>
    <n v="0"/>
    <n v="21"/>
    <n v="3"/>
    <n v="2"/>
    <x v="0"/>
    <n v="0"/>
    <n v="1"/>
    <n v="3"/>
    <x v="1"/>
    <x v="2"/>
    <s v="Active"/>
    <x v="0"/>
  </r>
  <r>
    <n v="23"/>
    <x v="0"/>
    <s v="Travel Frequently"/>
    <n v="638"/>
    <x v="0"/>
    <n v="9"/>
    <n v="3"/>
    <s v="Marketing"/>
    <n v="1"/>
    <x v="1438"/>
    <n v="4"/>
    <x v="1"/>
    <n v="33"/>
    <n v="3"/>
    <n v="1"/>
    <x v="6"/>
    <n v="1"/>
    <s v="Married"/>
    <n v="1790"/>
    <n v="26956"/>
    <n v="1"/>
    <s v="Y"/>
    <s v="No"/>
    <n v="19"/>
    <n v="3"/>
    <n v="1"/>
    <n v="80"/>
    <n v="1"/>
    <n v="1"/>
    <n v="3"/>
    <n v="2"/>
    <x v="6"/>
    <n v="0"/>
    <n v="1"/>
    <n v="0"/>
    <x v="2"/>
    <x v="1"/>
    <s v="Resigned"/>
    <x v="1"/>
  </r>
  <r>
    <n v="36"/>
    <x v="1"/>
    <s v="Travel Rarely"/>
    <n v="557"/>
    <x v="0"/>
    <n v="3"/>
    <n v="3"/>
    <s v="Medical"/>
    <n v="1"/>
    <x v="1439"/>
    <n v="1"/>
    <x v="0"/>
    <n v="94"/>
    <n v="2"/>
    <n v="3"/>
    <x v="0"/>
    <n v="4"/>
    <s v="Married"/>
    <n v="7644"/>
    <n v="12695"/>
    <n v="0"/>
    <s v="Y"/>
    <s v="No"/>
    <n v="19"/>
    <n v="3"/>
    <n v="3"/>
    <n v="80"/>
    <n v="2"/>
    <n v="10"/>
    <n v="2"/>
    <n v="3"/>
    <x v="7"/>
    <n v="7"/>
    <n v="3"/>
    <n v="4"/>
    <x v="1"/>
    <x v="0"/>
    <s v="Active"/>
    <x v="0"/>
  </r>
  <r>
    <n v="36"/>
    <x v="1"/>
    <s v="Travel Frequently"/>
    <n v="688"/>
    <x v="1"/>
    <n v="4"/>
    <n v="2"/>
    <s v="Life Sciences"/>
    <n v="1"/>
    <x v="1440"/>
    <n v="4"/>
    <x v="0"/>
    <n v="97"/>
    <n v="3"/>
    <n v="2"/>
    <x v="3"/>
    <n v="2"/>
    <s v="Divorced"/>
    <n v="5131"/>
    <n v="9192"/>
    <n v="7"/>
    <s v="Y"/>
    <s v="No"/>
    <n v="13"/>
    <n v="3"/>
    <n v="2"/>
    <n v="80"/>
    <n v="3"/>
    <n v="18"/>
    <n v="3"/>
    <n v="3"/>
    <x v="9"/>
    <n v="2"/>
    <n v="0"/>
    <n v="2"/>
    <x v="1"/>
    <x v="0"/>
    <s v="Active"/>
    <x v="4"/>
  </r>
  <r>
    <n v="56"/>
    <x v="1"/>
    <s v="Non Travel"/>
    <n v="667"/>
    <x v="1"/>
    <n v="1"/>
    <n v="4"/>
    <s v="Life Sciences"/>
    <n v="1"/>
    <x v="1441"/>
    <n v="3"/>
    <x v="1"/>
    <n v="57"/>
    <n v="3"/>
    <n v="2"/>
    <x v="4"/>
    <n v="3"/>
    <s v="Divorced"/>
    <n v="6306"/>
    <n v="26236"/>
    <n v="1"/>
    <s v="Y"/>
    <s v="No"/>
    <n v="21"/>
    <n v="4"/>
    <n v="1"/>
    <n v="80"/>
    <n v="1"/>
    <n v="13"/>
    <n v="2"/>
    <n v="2"/>
    <x v="20"/>
    <n v="12"/>
    <n v="1"/>
    <n v="9"/>
    <x v="0"/>
    <x v="0"/>
    <s v="Active"/>
    <x v="0"/>
  </r>
  <r>
    <n v="29"/>
    <x v="0"/>
    <s v="Travel Rarely"/>
    <n v="1092"/>
    <x v="1"/>
    <n v="1"/>
    <n v="4"/>
    <s v="Medical"/>
    <n v="1"/>
    <x v="1442"/>
    <n v="1"/>
    <x v="1"/>
    <n v="36"/>
    <n v="3"/>
    <n v="1"/>
    <x v="1"/>
    <n v="4"/>
    <s v="Married"/>
    <n v="4787"/>
    <n v="26124"/>
    <n v="9"/>
    <s v="Y"/>
    <s v="Yes"/>
    <n v="14"/>
    <n v="3"/>
    <n v="2"/>
    <n v="80"/>
    <n v="3"/>
    <n v="4"/>
    <n v="3"/>
    <n v="4"/>
    <x v="4"/>
    <n v="2"/>
    <n v="2"/>
    <n v="2"/>
    <x v="2"/>
    <x v="1"/>
    <s v="Resigned"/>
    <x v="2"/>
  </r>
  <r>
    <n v="42"/>
    <x v="1"/>
    <s v="Travel Rarely"/>
    <n v="300"/>
    <x v="1"/>
    <n v="2"/>
    <n v="3"/>
    <s v="Life Sciences"/>
    <n v="1"/>
    <x v="1443"/>
    <n v="1"/>
    <x v="1"/>
    <n v="56"/>
    <n v="3"/>
    <n v="5"/>
    <x v="5"/>
    <n v="3"/>
    <s v="Married"/>
    <n v="18880"/>
    <n v="17312"/>
    <n v="5"/>
    <s v="Y"/>
    <s v="No"/>
    <n v="11"/>
    <n v="3"/>
    <n v="1"/>
    <n v="80"/>
    <n v="0"/>
    <n v="24"/>
    <n v="2"/>
    <n v="2"/>
    <x v="14"/>
    <n v="6"/>
    <n v="4"/>
    <n v="14"/>
    <x v="0"/>
    <x v="2"/>
    <s v="Active"/>
    <x v="0"/>
  </r>
  <r>
    <n v="56"/>
    <x v="0"/>
    <s v="Travel Rarely"/>
    <n v="310"/>
    <x v="1"/>
    <n v="7"/>
    <n v="2"/>
    <s v="Technical Degree"/>
    <n v="1"/>
    <x v="1444"/>
    <n v="4"/>
    <x v="1"/>
    <n v="72"/>
    <n v="3"/>
    <n v="1"/>
    <x v="2"/>
    <n v="3"/>
    <s v="Married"/>
    <n v="2339"/>
    <n v="3666"/>
    <n v="8"/>
    <s v="Y"/>
    <s v="No"/>
    <n v="11"/>
    <n v="3"/>
    <n v="4"/>
    <n v="80"/>
    <n v="1"/>
    <n v="14"/>
    <n v="4"/>
    <n v="1"/>
    <x v="1"/>
    <n v="9"/>
    <n v="9"/>
    <n v="8"/>
    <x v="0"/>
    <x v="1"/>
    <s v="Resigned"/>
    <x v="0"/>
  </r>
  <r>
    <n v="41"/>
    <x v="1"/>
    <s v="Travel Rarely"/>
    <n v="582"/>
    <x v="1"/>
    <n v="28"/>
    <n v="4"/>
    <s v="Life Sciences"/>
    <n v="1"/>
    <x v="1445"/>
    <n v="1"/>
    <x v="0"/>
    <n v="60"/>
    <n v="2"/>
    <n v="4"/>
    <x v="3"/>
    <n v="2"/>
    <s v="Married"/>
    <n v="13570"/>
    <n v="5640"/>
    <n v="0"/>
    <s v="Y"/>
    <s v="No"/>
    <n v="23"/>
    <n v="4"/>
    <n v="3"/>
    <n v="80"/>
    <n v="1"/>
    <n v="21"/>
    <n v="3"/>
    <n v="3"/>
    <x v="23"/>
    <n v="7"/>
    <n v="0"/>
    <n v="10"/>
    <x v="0"/>
    <x v="2"/>
    <s v="Active"/>
    <x v="0"/>
  </r>
  <r>
    <n v="34"/>
    <x v="1"/>
    <s v="Travel Rarely"/>
    <n v="704"/>
    <x v="0"/>
    <n v="28"/>
    <n v="3"/>
    <s v="Marketing"/>
    <n v="1"/>
    <x v="1446"/>
    <n v="4"/>
    <x v="0"/>
    <n v="95"/>
    <n v="2"/>
    <n v="2"/>
    <x v="0"/>
    <n v="3"/>
    <s v="Married"/>
    <n v="6712"/>
    <n v="8978"/>
    <n v="1"/>
    <s v="Y"/>
    <s v="No"/>
    <n v="21"/>
    <n v="4"/>
    <n v="4"/>
    <n v="80"/>
    <n v="2"/>
    <n v="8"/>
    <n v="2"/>
    <n v="3"/>
    <x v="3"/>
    <n v="7"/>
    <n v="1"/>
    <n v="7"/>
    <x v="1"/>
    <x v="0"/>
    <s v="Active"/>
    <x v="0"/>
  </r>
  <r>
    <n v="36"/>
    <x v="1"/>
    <s v="Non Travel"/>
    <n v="301"/>
    <x v="0"/>
    <n v="15"/>
    <n v="4"/>
    <s v="Marketing"/>
    <n v="1"/>
    <x v="1447"/>
    <n v="4"/>
    <x v="1"/>
    <n v="88"/>
    <n v="1"/>
    <n v="2"/>
    <x v="0"/>
    <n v="4"/>
    <s v="Divorced"/>
    <n v="5406"/>
    <n v="10436"/>
    <n v="1"/>
    <s v="Y"/>
    <s v="No"/>
    <n v="24"/>
    <n v="4"/>
    <n v="1"/>
    <n v="80"/>
    <n v="1"/>
    <n v="15"/>
    <n v="4"/>
    <n v="2"/>
    <x v="15"/>
    <n v="12"/>
    <n v="11"/>
    <n v="11"/>
    <x v="1"/>
    <x v="0"/>
    <s v="Active"/>
    <x v="0"/>
  </r>
  <r>
    <n v="41"/>
    <x v="1"/>
    <s v="Travel Rarely"/>
    <n v="930"/>
    <x v="0"/>
    <n v="3"/>
    <n v="3"/>
    <s v="Life Sciences"/>
    <n v="1"/>
    <x v="1448"/>
    <n v="3"/>
    <x v="1"/>
    <n v="57"/>
    <n v="2"/>
    <n v="2"/>
    <x v="0"/>
    <n v="2"/>
    <s v="Divorced"/>
    <n v="8938"/>
    <n v="12227"/>
    <n v="2"/>
    <s v="Y"/>
    <s v="No"/>
    <n v="11"/>
    <n v="3"/>
    <n v="3"/>
    <n v="80"/>
    <n v="1"/>
    <n v="14"/>
    <n v="5"/>
    <n v="3"/>
    <x v="8"/>
    <n v="4"/>
    <n v="0"/>
    <n v="4"/>
    <x v="0"/>
    <x v="0"/>
    <s v="Active"/>
    <x v="3"/>
  </r>
  <r>
    <n v="32"/>
    <x v="1"/>
    <s v="Travel Rarely"/>
    <n v="529"/>
    <x v="1"/>
    <n v="2"/>
    <n v="3"/>
    <s v="Technical Degree"/>
    <n v="1"/>
    <x v="1449"/>
    <n v="4"/>
    <x v="1"/>
    <n v="78"/>
    <n v="3"/>
    <n v="1"/>
    <x v="1"/>
    <n v="1"/>
    <s v="Single"/>
    <n v="2439"/>
    <n v="11288"/>
    <n v="1"/>
    <s v="Y"/>
    <s v="No"/>
    <n v="14"/>
    <n v="3"/>
    <n v="4"/>
    <n v="80"/>
    <n v="0"/>
    <n v="4"/>
    <n v="4"/>
    <n v="3"/>
    <x v="9"/>
    <n v="2"/>
    <n v="1"/>
    <n v="2"/>
    <x v="1"/>
    <x v="1"/>
    <s v="Active"/>
    <x v="4"/>
  </r>
  <r>
    <n v="35"/>
    <x v="1"/>
    <s v="Travel Rarely"/>
    <n v="1146"/>
    <x v="2"/>
    <n v="26"/>
    <n v="4"/>
    <s v="Life Sciences"/>
    <n v="1"/>
    <x v="1450"/>
    <n v="3"/>
    <x v="0"/>
    <n v="31"/>
    <n v="3"/>
    <n v="3"/>
    <x v="8"/>
    <n v="4"/>
    <s v="Single"/>
    <n v="8837"/>
    <n v="16642"/>
    <n v="1"/>
    <s v="Y"/>
    <s v="Yes"/>
    <n v="16"/>
    <n v="3"/>
    <n v="3"/>
    <n v="80"/>
    <n v="0"/>
    <n v="9"/>
    <n v="2"/>
    <n v="3"/>
    <x v="7"/>
    <n v="0"/>
    <n v="1"/>
    <n v="7"/>
    <x v="1"/>
    <x v="0"/>
    <s v="Active"/>
    <x v="0"/>
  </r>
  <r>
    <n v="38"/>
    <x v="1"/>
    <s v="Travel Rarely"/>
    <n v="345"/>
    <x v="0"/>
    <n v="10"/>
    <n v="2"/>
    <s v="Life Sciences"/>
    <n v="1"/>
    <x v="1451"/>
    <n v="1"/>
    <x v="0"/>
    <n v="100"/>
    <n v="3"/>
    <n v="2"/>
    <x v="0"/>
    <n v="4"/>
    <s v="Married"/>
    <n v="5343"/>
    <n v="5982"/>
    <n v="1"/>
    <s v="Y"/>
    <s v="No"/>
    <n v="11"/>
    <n v="3"/>
    <n v="3"/>
    <n v="80"/>
    <n v="1"/>
    <n v="10"/>
    <n v="1"/>
    <n v="3"/>
    <x v="1"/>
    <n v="7"/>
    <n v="1"/>
    <n v="9"/>
    <x v="1"/>
    <x v="0"/>
    <s v="Active"/>
    <x v="0"/>
  </r>
  <r>
    <n v="50"/>
    <x v="0"/>
    <s v="Travel Frequently"/>
    <n v="878"/>
    <x v="0"/>
    <n v="1"/>
    <n v="4"/>
    <s v="Life Sciences"/>
    <n v="1"/>
    <x v="1452"/>
    <n v="2"/>
    <x v="1"/>
    <n v="94"/>
    <n v="3"/>
    <n v="2"/>
    <x v="0"/>
    <n v="3"/>
    <s v="Divorced"/>
    <n v="6728"/>
    <n v="14255"/>
    <n v="7"/>
    <s v="Y"/>
    <s v="No"/>
    <n v="12"/>
    <n v="3"/>
    <n v="4"/>
    <n v="80"/>
    <n v="2"/>
    <n v="12"/>
    <n v="3"/>
    <n v="3"/>
    <x v="0"/>
    <n v="3"/>
    <n v="0"/>
    <n v="1"/>
    <x v="0"/>
    <x v="0"/>
    <s v="Resigned"/>
    <x v="0"/>
  </r>
  <r>
    <n v="36"/>
    <x v="1"/>
    <s v="Travel Rarely"/>
    <n v="1120"/>
    <x v="0"/>
    <n v="11"/>
    <n v="4"/>
    <s v="Marketing"/>
    <n v="1"/>
    <x v="1453"/>
    <n v="2"/>
    <x v="0"/>
    <n v="100"/>
    <n v="2"/>
    <n v="2"/>
    <x v="0"/>
    <n v="4"/>
    <s v="Married"/>
    <n v="6652"/>
    <n v="14369"/>
    <n v="4"/>
    <s v="Y"/>
    <s v="No"/>
    <n v="13"/>
    <n v="3"/>
    <n v="1"/>
    <n v="80"/>
    <n v="1"/>
    <n v="8"/>
    <n v="2"/>
    <n v="2"/>
    <x v="0"/>
    <n v="3"/>
    <n v="0"/>
    <n v="0"/>
    <x v="1"/>
    <x v="0"/>
    <s v="Active"/>
    <x v="0"/>
  </r>
  <r>
    <n v="45"/>
    <x v="1"/>
    <s v="Travel Rarely"/>
    <n v="374"/>
    <x v="0"/>
    <n v="20"/>
    <n v="3"/>
    <s v="Life Sciences"/>
    <n v="1"/>
    <x v="1454"/>
    <n v="4"/>
    <x v="0"/>
    <n v="50"/>
    <n v="3"/>
    <n v="2"/>
    <x v="0"/>
    <n v="3"/>
    <s v="Single"/>
    <n v="4850"/>
    <n v="23333"/>
    <n v="8"/>
    <s v="Y"/>
    <s v="No"/>
    <n v="15"/>
    <n v="3"/>
    <n v="3"/>
    <n v="80"/>
    <n v="0"/>
    <n v="8"/>
    <n v="3"/>
    <n v="3"/>
    <x v="8"/>
    <n v="3"/>
    <n v="0"/>
    <n v="1"/>
    <x v="0"/>
    <x v="1"/>
    <s v="Active"/>
    <x v="3"/>
  </r>
  <r>
    <n v="40"/>
    <x v="1"/>
    <s v="Travel Rarely"/>
    <n v="1322"/>
    <x v="1"/>
    <n v="2"/>
    <n v="4"/>
    <s v="Life Sciences"/>
    <n v="1"/>
    <x v="1455"/>
    <n v="3"/>
    <x v="1"/>
    <n v="52"/>
    <n v="2"/>
    <n v="1"/>
    <x v="1"/>
    <n v="3"/>
    <s v="Single"/>
    <n v="2809"/>
    <n v="2725"/>
    <n v="2"/>
    <s v="Y"/>
    <s v="No"/>
    <n v="14"/>
    <n v="3"/>
    <n v="4"/>
    <n v="80"/>
    <n v="0"/>
    <n v="8"/>
    <n v="2"/>
    <n v="3"/>
    <x v="4"/>
    <n v="2"/>
    <n v="2"/>
    <n v="2"/>
    <x v="1"/>
    <x v="1"/>
    <s v="Active"/>
    <x v="2"/>
  </r>
  <r>
    <n v="35"/>
    <x v="1"/>
    <s v="Travel Frequently"/>
    <n v="1199"/>
    <x v="1"/>
    <n v="18"/>
    <n v="4"/>
    <s v="Life Sciences"/>
    <n v="1"/>
    <x v="1456"/>
    <n v="3"/>
    <x v="1"/>
    <n v="80"/>
    <n v="3"/>
    <n v="2"/>
    <x v="4"/>
    <n v="3"/>
    <s v="Married"/>
    <n v="5689"/>
    <n v="24594"/>
    <n v="1"/>
    <s v="Y"/>
    <s v="Yes"/>
    <n v="14"/>
    <n v="3"/>
    <n v="4"/>
    <n v="80"/>
    <n v="2"/>
    <n v="10"/>
    <n v="2"/>
    <n v="4"/>
    <x v="1"/>
    <n v="2"/>
    <n v="0"/>
    <n v="2"/>
    <x v="1"/>
    <x v="0"/>
    <s v="Active"/>
    <x v="0"/>
  </r>
  <r>
    <n v="40"/>
    <x v="1"/>
    <s v="Travel Rarely"/>
    <n v="1194"/>
    <x v="1"/>
    <n v="2"/>
    <n v="4"/>
    <s v="Medical"/>
    <n v="1"/>
    <x v="1457"/>
    <n v="3"/>
    <x v="0"/>
    <n v="98"/>
    <n v="3"/>
    <n v="1"/>
    <x v="1"/>
    <n v="3"/>
    <s v="Married"/>
    <n v="2001"/>
    <n v="12549"/>
    <n v="2"/>
    <s v="Y"/>
    <s v="No"/>
    <n v="14"/>
    <n v="3"/>
    <n v="2"/>
    <n v="80"/>
    <n v="3"/>
    <n v="20"/>
    <n v="2"/>
    <n v="3"/>
    <x v="8"/>
    <n v="3"/>
    <n v="0"/>
    <n v="2"/>
    <x v="1"/>
    <x v="1"/>
    <s v="Active"/>
    <x v="3"/>
  </r>
  <r>
    <n v="35"/>
    <x v="1"/>
    <s v="Travel Rarely"/>
    <n v="287"/>
    <x v="1"/>
    <n v="1"/>
    <n v="4"/>
    <s v="Life Sciences"/>
    <n v="1"/>
    <x v="1458"/>
    <n v="3"/>
    <x v="0"/>
    <n v="62"/>
    <n v="1"/>
    <n v="1"/>
    <x v="1"/>
    <n v="4"/>
    <s v="Married"/>
    <n v="2977"/>
    <n v="8952"/>
    <n v="1"/>
    <s v="Y"/>
    <s v="No"/>
    <n v="12"/>
    <n v="3"/>
    <n v="4"/>
    <n v="80"/>
    <n v="1"/>
    <n v="4"/>
    <n v="5"/>
    <n v="3"/>
    <x v="9"/>
    <n v="3"/>
    <n v="1"/>
    <n v="1"/>
    <x v="1"/>
    <x v="1"/>
    <s v="Active"/>
    <x v="4"/>
  </r>
  <r>
    <n v="29"/>
    <x v="1"/>
    <s v="Travel Rarely"/>
    <n v="1378"/>
    <x v="1"/>
    <n v="13"/>
    <n v="2"/>
    <s v="Other"/>
    <n v="1"/>
    <x v="1459"/>
    <n v="4"/>
    <x v="1"/>
    <n v="46"/>
    <n v="2"/>
    <n v="2"/>
    <x v="2"/>
    <n v="2"/>
    <s v="Married"/>
    <n v="4025"/>
    <n v="23679"/>
    <n v="4"/>
    <s v="Y"/>
    <s v="Yes"/>
    <n v="13"/>
    <n v="3"/>
    <n v="1"/>
    <n v="80"/>
    <n v="1"/>
    <n v="10"/>
    <n v="2"/>
    <n v="3"/>
    <x v="9"/>
    <n v="3"/>
    <n v="0"/>
    <n v="3"/>
    <x v="2"/>
    <x v="1"/>
    <s v="Active"/>
    <x v="4"/>
  </r>
  <r>
    <n v="29"/>
    <x v="1"/>
    <s v="Travel Rarely"/>
    <n v="468"/>
    <x v="1"/>
    <n v="28"/>
    <n v="4"/>
    <s v="Medical"/>
    <n v="1"/>
    <x v="1460"/>
    <n v="4"/>
    <x v="0"/>
    <n v="73"/>
    <n v="2"/>
    <n v="1"/>
    <x v="1"/>
    <n v="1"/>
    <s v="Single"/>
    <n v="3785"/>
    <n v="8489"/>
    <n v="1"/>
    <s v="Y"/>
    <s v="No"/>
    <n v="14"/>
    <n v="3"/>
    <n v="2"/>
    <n v="80"/>
    <n v="0"/>
    <n v="5"/>
    <n v="3"/>
    <n v="1"/>
    <x v="8"/>
    <n v="4"/>
    <n v="0"/>
    <n v="4"/>
    <x v="2"/>
    <x v="1"/>
    <s v="Active"/>
    <x v="3"/>
  </r>
  <r>
    <n v="50"/>
    <x v="0"/>
    <s v="Travel Rarely"/>
    <n v="410"/>
    <x v="0"/>
    <n v="28"/>
    <n v="3"/>
    <s v="Marketing"/>
    <n v="1"/>
    <x v="1461"/>
    <n v="4"/>
    <x v="1"/>
    <n v="39"/>
    <n v="2"/>
    <n v="3"/>
    <x v="0"/>
    <n v="1"/>
    <s v="Divorced"/>
    <n v="10854"/>
    <n v="16586"/>
    <n v="4"/>
    <s v="Y"/>
    <s v="Yes"/>
    <n v="13"/>
    <n v="3"/>
    <n v="2"/>
    <n v="80"/>
    <n v="1"/>
    <n v="20"/>
    <n v="3"/>
    <n v="3"/>
    <x v="11"/>
    <n v="2"/>
    <n v="2"/>
    <n v="0"/>
    <x v="0"/>
    <x v="2"/>
    <s v="Resigned"/>
    <x v="5"/>
  </r>
  <r>
    <n v="39"/>
    <x v="1"/>
    <s v="Travel Rarely"/>
    <n v="722"/>
    <x v="0"/>
    <n v="24"/>
    <n v="1"/>
    <s v="Marketing"/>
    <n v="1"/>
    <x v="1462"/>
    <n v="2"/>
    <x v="0"/>
    <n v="60"/>
    <n v="2"/>
    <n v="4"/>
    <x v="0"/>
    <n v="4"/>
    <s v="Married"/>
    <n v="12031"/>
    <n v="8828"/>
    <n v="0"/>
    <s v="Y"/>
    <s v="No"/>
    <n v="11"/>
    <n v="3"/>
    <n v="1"/>
    <n v="80"/>
    <n v="1"/>
    <n v="21"/>
    <n v="2"/>
    <n v="2"/>
    <x v="23"/>
    <n v="9"/>
    <n v="9"/>
    <n v="6"/>
    <x v="1"/>
    <x v="2"/>
    <s v="Active"/>
    <x v="0"/>
  </r>
  <r>
    <n v="31"/>
    <x v="1"/>
    <s v="Non Travel"/>
    <n v="325"/>
    <x v="1"/>
    <n v="5"/>
    <n v="3"/>
    <s v="Medical"/>
    <n v="1"/>
    <x v="1463"/>
    <n v="2"/>
    <x v="1"/>
    <n v="74"/>
    <n v="3"/>
    <n v="2"/>
    <x v="3"/>
    <n v="1"/>
    <s v="Single"/>
    <n v="9936"/>
    <n v="3787"/>
    <n v="0"/>
    <s v="Y"/>
    <s v="No"/>
    <n v="19"/>
    <n v="3"/>
    <n v="2"/>
    <n v="80"/>
    <n v="0"/>
    <n v="10"/>
    <n v="2"/>
    <n v="3"/>
    <x v="7"/>
    <n v="4"/>
    <n v="1"/>
    <n v="7"/>
    <x v="1"/>
    <x v="0"/>
    <s v="Active"/>
    <x v="0"/>
  </r>
  <r>
    <n v="26"/>
    <x v="1"/>
    <s v="Travel Rarely"/>
    <n v="1167"/>
    <x v="0"/>
    <n v="5"/>
    <n v="3"/>
    <s v="Other"/>
    <n v="1"/>
    <x v="1464"/>
    <n v="4"/>
    <x v="0"/>
    <n v="30"/>
    <n v="2"/>
    <n v="1"/>
    <x v="6"/>
    <n v="3"/>
    <s v="Single"/>
    <n v="2966"/>
    <n v="21378"/>
    <n v="0"/>
    <s v="Y"/>
    <s v="No"/>
    <n v="18"/>
    <n v="3"/>
    <n v="4"/>
    <n v="80"/>
    <n v="0"/>
    <n v="5"/>
    <n v="2"/>
    <n v="3"/>
    <x v="9"/>
    <n v="2"/>
    <n v="0"/>
    <n v="0"/>
    <x v="2"/>
    <x v="1"/>
    <s v="Active"/>
    <x v="4"/>
  </r>
  <r>
    <n v="36"/>
    <x v="1"/>
    <s v="Travel Frequently"/>
    <n v="884"/>
    <x v="1"/>
    <n v="23"/>
    <n v="2"/>
    <s v="Medical"/>
    <n v="1"/>
    <x v="1465"/>
    <n v="3"/>
    <x v="1"/>
    <n v="41"/>
    <n v="4"/>
    <n v="2"/>
    <x v="2"/>
    <n v="4"/>
    <s v="Married"/>
    <n v="2571"/>
    <n v="12290"/>
    <n v="4"/>
    <s v="Y"/>
    <s v="No"/>
    <n v="17"/>
    <n v="3"/>
    <n v="3"/>
    <n v="80"/>
    <n v="1"/>
    <n v="17"/>
    <n v="3"/>
    <n v="3"/>
    <x v="8"/>
    <n v="2"/>
    <n v="0"/>
    <n v="3"/>
    <x v="1"/>
    <x v="1"/>
    <s v="Active"/>
    <x v="3"/>
  </r>
  <r>
    <n v="39"/>
    <x v="1"/>
    <s v="Travel Rarely"/>
    <n v="613"/>
    <x v="1"/>
    <n v="6"/>
    <n v="1"/>
    <s v="Medical"/>
    <n v="1"/>
    <x v="1466"/>
    <n v="4"/>
    <x v="1"/>
    <n v="42"/>
    <n v="2"/>
    <n v="3"/>
    <x v="4"/>
    <n v="1"/>
    <s v="Married"/>
    <n v="9991"/>
    <n v="21457"/>
    <n v="4"/>
    <s v="Y"/>
    <s v="No"/>
    <n v="15"/>
    <n v="3"/>
    <n v="1"/>
    <n v="80"/>
    <n v="1"/>
    <n v="9"/>
    <n v="5"/>
    <n v="3"/>
    <x v="5"/>
    <n v="7"/>
    <n v="1"/>
    <n v="7"/>
    <x v="1"/>
    <x v="0"/>
    <s v="Active"/>
    <x v="0"/>
  </r>
  <r>
    <n v="27"/>
    <x v="1"/>
    <s v="Travel Rarely"/>
    <n v="155"/>
    <x v="1"/>
    <n v="4"/>
    <n v="3"/>
    <s v="Life Sciences"/>
    <n v="1"/>
    <x v="1467"/>
    <n v="2"/>
    <x v="1"/>
    <n v="87"/>
    <n v="4"/>
    <n v="2"/>
    <x v="3"/>
    <n v="2"/>
    <s v="Married"/>
    <n v="6142"/>
    <n v="5174"/>
    <n v="1"/>
    <s v="Y"/>
    <s v="Yes"/>
    <n v="20"/>
    <n v="4"/>
    <n v="2"/>
    <n v="80"/>
    <n v="1"/>
    <n v="6"/>
    <n v="0"/>
    <n v="3"/>
    <x v="0"/>
    <n v="2"/>
    <n v="0"/>
    <n v="3"/>
    <x v="2"/>
    <x v="0"/>
    <s v="Active"/>
    <x v="0"/>
  </r>
  <r>
    <n v="49"/>
    <x v="1"/>
    <s v="Travel Frequently"/>
    <n v="1023"/>
    <x v="0"/>
    <n v="2"/>
    <n v="3"/>
    <s v="Medical"/>
    <n v="1"/>
    <x v="1468"/>
    <n v="4"/>
    <x v="1"/>
    <n v="63"/>
    <n v="2"/>
    <n v="2"/>
    <x v="0"/>
    <n v="2"/>
    <s v="Married"/>
    <n v="5390"/>
    <n v="13243"/>
    <n v="2"/>
    <s v="Y"/>
    <s v="No"/>
    <n v="14"/>
    <n v="3"/>
    <n v="4"/>
    <n v="80"/>
    <n v="0"/>
    <n v="17"/>
    <n v="3"/>
    <n v="2"/>
    <x v="7"/>
    <n v="6"/>
    <n v="0"/>
    <n v="8"/>
    <x v="0"/>
    <x v="0"/>
    <s v="Active"/>
    <x v="0"/>
  </r>
  <r>
    <n v="34"/>
    <x v="1"/>
    <s v="Travel Rarely"/>
    <n v="628"/>
    <x v="1"/>
    <n v="8"/>
    <n v="3"/>
    <s v="Medical"/>
    <n v="1"/>
    <x v="1469"/>
    <n v="2"/>
    <x v="1"/>
    <n v="82"/>
    <n v="4"/>
    <n v="2"/>
    <x v="2"/>
    <n v="3"/>
    <s v="Married"/>
    <n v="4404"/>
    <n v="10228"/>
    <n v="2"/>
    <s v="Y"/>
    <s v="No"/>
    <n v="12"/>
    <n v="3"/>
    <n v="1"/>
    <n v="80"/>
    <n v="0"/>
    <n v="6"/>
    <n v="3"/>
    <n v="4"/>
    <x v="9"/>
    <n v="3"/>
    <n v="1"/>
    <n v="2"/>
    <x v="1"/>
    <x v="1"/>
    <s v="Active"/>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9682F-752B-4AFC-8A4C-3D59EA07B06F}" name="income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4:C18" firstHeaderRow="1" firstDataRow="1" firstDataCol="1" rowPageCount="1" colPageCount="1"/>
  <pivotFields count="39">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2"/>
        <item x="1"/>
        <item x="0"/>
        <item t="default"/>
      </items>
    </pivotField>
    <pivotField showAll="0"/>
    <pivotField showAll="0"/>
  </pivotFields>
  <rowFields count="1">
    <field x="36"/>
  </rowFields>
  <rowItems count="4">
    <i>
      <x/>
    </i>
    <i>
      <x v="1"/>
    </i>
    <i>
      <x v="2"/>
    </i>
    <i t="grand">
      <x/>
    </i>
  </rowItems>
  <colItems count="1">
    <i/>
  </colItems>
  <pageFields count="1">
    <pageField fld="1" item="1" hier="-1"/>
  </pageFields>
  <dataFields count="1">
    <dataField name="Count of Attrition" fld="1"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6" count="1" selected="0">
            <x v="0"/>
          </reference>
        </references>
      </pivotArea>
    </chartFormat>
    <chartFormat chart="6" format="10">
      <pivotArea type="data" outline="0" fieldPosition="0">
        <references count="2">
          <reference field="4294967294" count="1" selected="0">
            <x v="0"/>
          </reference>
          <reference field="36" count="1" selected="0">
            <x v="1"/>
          </reference>
        </references>
      </pivotArea>
    </chartFormat>
    <chartFormat chart="6" format="1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F6A0C-D45C-4BF6-87B3-09EA2FA27B26}" name="departeme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3:C27" firstHeaderRow="1" firstDataRow="1" firstDataCol="1" rowPageCount="1" colPageCount="1"/>
  <pivotFields count="39">
    <pivotField showAll="0"/>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Count of Attrition"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5F41F-E531-42C3-8A1C-3607670C4966}" name="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0:C60" firstHeaderRow="1" firstDataRow="1" firstDataCol="1" rowPageCount="1" colPageCount="1"/>
  <pivotFields count="39">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s>
  <rowFields count="1">
    <field x="15"/>
  </rowFields>
  <rowItems count="10">
    <i>
      <x v="5"/>
    </i>
    <i>
      <x v="3"/>
    </i>
    <i>
      <x/>
    </i>
    <i>
      <x v="4"/>
    </i>
    <i>
      <x v="1"/>
    </i>
    <i>
      <x v="8"/>
    </i>
    <i>
      <x v="6"/>
    </i>
    <i>
      <x v="7"/>
    </i>
    <i>
      <x v="2"/>
    </i>
    <i t="grand">
      <x/>
    </i>
  </rowItems>
  <colItems count="1">
    <i/>
  </colItems>
  <pageFields count="1">
    <pageField fld="1" item="1" hier="-1"/>
  </pageFields>
  <dataFields count="1">
    <dataField name="Count of Attrition"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B77E74-C348-499A-AB38-63EA1E79D5AA}" name="yeras at compan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2:C39" firstHeaderRow="1" firstDataRow="1" firstDataCol="1" rowPageCount="1" colPageCount="1"/>
  <pivotFields count="39">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axis="axisRow" showAll="0" sortType="ascending">
      <items count="7">
        <item x="0"/>
        <item x="1"/>
        <item x="2"/>
        <item x="5"/>
        <item x="4"/>
        <item x="3"/>
        <item t="default"/>
      </items>
    </pivotField>
  </pivotFields>
  <rowFields count="1">
    <field x="38"/>
  </rowFields>
  <rowItems count="7">
    <i>
      <x/>
    </i>
    <i>
      <x v="1"/>
    </i>
    <i>
      <x v="2"/>
    </i>
    <i>
      <x v="3"/>
    </i>
    <i>
      <x v="4"/>
    </i>
    <i>
      <x v="5"/>
    </i>
    <i t="grand">
      <x/>
    </i>
  </rowItems>
  <colItems count="1">
    <i/>
  </colItems>
  <pageFields count="1">
    <pageField fld="1" item="1" hier="-1"/>
  </pageFields>
  <dataFields count="1">
    <dataField name="Count of Attrition"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D6EF5E-77DB-4583-93A3-53D0C237207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3:C46" firstHeaderRow="1" firstDataRow="1" firstDataCol="1" rowPageCount="1" colPageCount="1"/>
  <pivotFields count="39">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Attrition" fld="1"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1" count="1" selected="0">
            <x v="0"/>
          </reference>
        </references>
      </pivotArea>
    </chartFormat>
    <chartFormat chart="8"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87C45-4F2D-45B6-8E0F-E164E0D06E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39">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E917C1-7269-40BE-8EF9-D7DCC4E93E00}"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7" firstHeaderRow="1" firstDataRow="1" firstDataCol="1" rowPageCount="1" colPageCount="1"/>
  <pivotFields count="39">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35"/>
  </rowFields>
  <rowItems count="4">
    <i>
      <x/>
    </i>
    <i>
      <x v="1"/>
    </i>
    <i>
      <x v="2"/>
    </i>
    <i t="grand">
      <x/>
    </i>
  </rowItems>
  <colItems count="1">
    <i/>
  </colItems>
  <pageFields count="1">
    <pageField fld="1" item="1" hier="-1"/>
  </pageFields>
  <dataFields count="1">
    <dataField name="Count of Attrition" fld="1" subtotal="count" baseField="0" baseItem="0"/>
  </dataFields>
  <chartFormats count="16">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5" count="1" selected="0">
            <x v="0"/>
          </reference>
        </references>
      </pivotArea>
    </chartFormat>
    <chartFormat chart="10" format="18">
      <pivotArea type="data" outline="0" fieldPosition="0">
        <references count="2">
          <reference field="4294967294" count="1" selected="0">
            <x v="0"/>
          </reference>
          <reference field="35" count="1" selected="0">
            <x v="1"/>
          </reference>
        </references>
      </pivotArea>
    </chartFormat>
    <chartFormat chart="10" format="19">
      <pivotArea type="data" outline="0" fieldPosition="0">
        <references count="2">
          <reference field="4294967294" count="1" selected="0">
            <x v="0"/>
          </reference>
          <reference field="35" count="1" selected="0">
            <x v="2"/>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35" count="1" selected="0">
            <x v="0"/>
          </reference>
        </references>
      </pivotArea>
    </chartFormat>
    <chartFormat chart="11" format="22">
      <pivotArea type="data" outline="0" fieldPosition="0">
        <references count="2">
          <reference field="4294967294" count="1" selected="0">
            <x v="0"/>
          </reference>
          <reference field="35" count="1" selected="0">
            <x v="1"/>
          </reference>
        </references>
      </pivotArea>
    </chartFormat>
    <chartFormat chart="11" format="23">
      <pivotArea type="data" outline="0" fieldPosition="0">
        <references count="2">
          <reference field="4294967294" count="1" selected="0">
            <x v="0"/>
          </reference>
          <reference field="35"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35" count="1" selected="0">
            <x v="0"/>
          </reference>
        </references>
      </pivotArea>
    </chartFormat>
    <chartFormat chart="12" format="18">
      <pivotArea type="data" outline="0" fieldPosition="0">
        <references count="2">
          <reference field="4294967294" count="1" selected="0">
            <x v="0"/>
          </reference>
          <reference field="35" count="1" selected="0">
            <x v="1"/>
          </reference>
        </references>
      </pivotArea>
    </chartFormat>
    <chartFormat chart="12" format="19">
      <pivotArea type="data" outline="0" fieldPosition="0">
        <references count="2">
          <reference field="4294967294" count="1" selected="0">
            <x v="0"/>
          </reference>
          <reference field="35" count="1" selected="0">
            <x v="2"/>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35" count="1" selected="0">
            <x v="0"/>
          </reference>
        </references>
      </pivotArea>
    </chartFormat>
    <chartFormat chart="18" format="22">
      <pivotArea type="data" outline="0" fieldPosition="0">
        <references count="2">
          <reference field="4294967294" count="1" selected="0">
            <x v="0"/>
          </reference>
          <reference field="35" count="1" selected="0">
            <x v="1"/>
          </reference>
        </references>
      </pivotArea>
    </chartFormat>
    <chartFormat chart="18" format="23">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B42A03-ED55-4CC9-AC58-DBFDD466C251}" sourceName="Gender">
  <pivotTables>
    <pivotTable tabId="3" name="age group"/>
    <pivotTable tabId="3" name="departemen"/>
    <pivotTable tabId="3" name="gender"/>
    <pivotTable tabId="3" name="income category"/>
    <pivotTable tabId="3" name="job role"/>
    <pivotTable tabId="3" name="yeras at company"/>
    <pivotTable tabId="3" name="PivotTable1"/>
  </pivotTables>
  <data>
    <tabular pivotCacheId="11449003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4AFF8F-8CCC-4975-AB78-4705421AEC41}" sourceName="Department">
  <pivotTables>
    <pivotTable tabId="3" name="age group"/>
    <pivotTable tabId="3" name="departemen"/>
    <pivotTable tabId="3" name="gender"/>
    <pivotTable tabId="3" name="income category"/>
    <pivotTable tabId="3" name="job role"/>
    <pivotTable tabId="3" name="yeras at company"/>
    <pivotTable tabId="3" name="PivotTable1"/>
  </pivotTables>
  <data>
    <tabular pivotCacheId="114490035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5D8287B-C19E-44A4-A1BD-28D27DD2A6DB}" sourceName="JobRole">
  <pivotTables>
    <pivotTable tabId="3" name="age group"/>
    <pivotTable tabId="3" name="departemen"/>
    <pivotTable tabId="3" name="gender"/>
    <pivotTable tabId="3" name="income category"/>
    <pivotTable tabId="3" name="job role"/>
    <pivotTable tabId="3" name="yeras at company"/>
    <pivotTable tabId="3" name="PivotTable1"/>
  </pivotTables>
  <data>
    <tabular pivotCacheId="1144900350">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BEFF836-178D-4357-BE95-2A47346378B5}" sourceName="Age Group">
  <pivotTables>
    <pivotTable tabId="3" name="age group"/>
    <pivotTable tabId="3" name="departemen"/>
    <pivotTable tabId="3" name="gender"/>
    <pivotTable tabId="3" name="income category"/>
    <pivotTable tabId="3" name="job role"/>
    <pivotTable tabId="3" name="yeras at company"/>
    <pivotTable tabId="3" name="PivotTable1"/>
  </pivotTables>
  <data>
    <tabular pivotCacheId="11449003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F1E0D5-CA64-473B-91D9-449B7220EAA9}" cache="Slicer_Gender" caption="Gender" rowHeight="241300"/>
  <slicer name="Department" xr10:uid="{A15B090D-8337-461E-9F3F-6465B204544C}" cache="Slicer_Department" caption="Department" rowHeight="241300"/>
  <slicer name="JobRole" xr10:uid="{4C9199E4-B9F4-4F0C-BFD2-C99D1FAE692E}" cache="Slicer_JobRole" caption="JobRole" rowHeight="241300"/>
  <slicer name="Age Group" xr10:uid="{0B8DEC08-8D76-43F5-BCE9-2DA02B71521E}" cache="Slicer_Age_Group" caption="Age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0107F-57A1-468B-B29B-A810D7983543}" name="Table1" displayName="Table1" ref="A1:AM1471" totalsRowShown="0">
  <autoFilter ref="A1:AM1471" xr:uid="{F950107F-57A1-468B-B29B-A810D7983543}">
    <filterColumn colId="4">
      <filters>
        <filter val="Sales"/>
      </filters>
    </filterColumn>
  </autoFilter>
  <tableColumns count="39">
    <tableColumn id="1" xr3:uid="{E9D28FB8-EBFF-448E-97FE-2207E66FA64F}" name="Age"/>
    <tableColumn id="2" xr3:uid="{44521D30-584B-4A0C-9AED-02695B4A5A8F}" name="Attrition"/>
    <tableColumn id="3" xr3:uid="{1CA1AF83-F659-4FE5-B009-E46570A48AE8}" name="BusinessTravel"/>
    <tableColumn id="4" xr3:uid="{8A80F547-C6B5-4DF8-A472-44487E5B984D}" name="DailyRate"/>
    <tableColumn id="5" xr3:uid="{B7A38903-C74B-4F47-9093-107930F1AEE6}" name="Department"/>
    <tableColumn id="6" xr3:uid="{2C6B9125-AD85-4B3E-8800-2E67DFE1BFC3}" name="DistanceFromHome"/>
    <tableColumn id="7" xr3:uid="{6BBC73AD-8098-4BDC-A0F6-7F51946B62DA}" name="Education"/>
    <tableColumn id="8" xr3:uid="{3006DB5F-C641-46E6-96C0-82E9080428FC}" name="EducationField"/>
    <tableColumn id="9" xr3:uid="{FA7436F3-CEC0-43A5-B344-B5E6EEF8A779}" name="EmployeeCount"/>
    <tableColumn id="10" xr3:uid="{B4234EF1-6172-4F1C-BD1E-8861DA1C1137}" name="EmployeeNumber"/>
    <tableColumn id="11" xr3:uid="{FDDEF2B9-BE2F-4D91-BA62-AD98E3E638FA}" name="EnvironmentSatisfaction"/>
    <tableColumn id="12" xr3:uid="{3DE77452-D535-455C-ABC8-1C85828E09B3}" name="Gender"/>
    <tableColumn id="13" xr3:uid="{EFB9BFBF-114D-49E1-A525-B82AB26CE595}" name="HourlyRate"/>
    <tableColumn id="14" xr3:uid="{1C5BFDB0-2208-451E-BEAD-9EF6D5E33D38}" name="JobInvolvement"/>
    <tableColumn id="15" xr3:uid="{AAD47280-72DB-4A43-8443-F7187B4C9D60}" name="JobLevel"/>
    <tableColumn id="16" xr3:uid="{3D93CE36-AF02-4A3F-AEC8-D48D267D4536}" name="JobRole"/>
    <tableColumn id="17" xr3:uid="{07880394-5C98-4BCB-BAE9-B7ACA087F0F9}" name="JobSatisfaction"/>
    <tableColumn id="18" xr3:uid="{98D72584-EEB8-4E7E-B0F0-4BAA29D3646D}" name="MaritalStatus"/>
    <tableColumn id="19" xr3:uid="{C91DABBE-1756-481A-9BEF-5AA86B27887C}" name="MonthlyIncome"/>
    <tableColumn id="20" xr3:uid="{DF950FC0-D92B-4E65-84AF-5D1F7B31AC39}" name="MonthlyRate"/>
    <tableColumn id="21" xr3:uid="{B8533473-5C34-41D1-9938-6A718E39D8C6}" name="NumCompaniesWorked"/>
    <tableColumn id="22" xr3:uid="{651E8F7F-7480-4824-B053-B692B7165272}" name="Over18"/>
    <tableColumn id="23" xr3:uid="{4825C42A-8283-4C02-9D85-C50BD6E01620}" name="OverTime"/>
    <tableColumn id="24" xr3:uid="{CB03618E-4BD9-493C-B656-9120DD755229}" name="PercentSalaryHike"/>
    <tableColumn id="25" xr3:uid="{3C35F8DC-D2BD-4F40-8F49-52DF8620A6F3}" name="PerformanceRating"/>
    <tableColumn id="26" xr3:uid="{7D969EB8-4B56-49C0-A145-C9A83FB8F1DC}" name="RelationshipSatisfaction"/>
    <tableColumn id="27" xr3:uid="{E7A96627-04F1-4E6F-B199-B0F096691ECA}" name="StandardHours"/>
    <tableColumn id="28" xr3:uid="{CB7E9433-4CFA-4F4C-AF98-8209EAB07384}" name="StockOptionLevel"/>
    <tableColumn id="29" xr3:uid="{FB21F5CB-7F51-4784-8290-33C90E70E1C2}" name="TotalWorkingYears"/>
    <tableColumn id="30" xr3:uid="{DEAA6E41-9A10-4DA3-9291-833FD57DDD7D}" name="TrainingTimesLastYear"/>
    <tableColumn id="31" xr3:uid="{2872F22C-DA13-4933-AF97-B2F8280038C7}" name="WorkLifeBalance"/>
    <tableColumn id="32" xr3:uid="{596E3AB2-1890-4FA2-BFE3-F1BFD8767B9B}" name="YearsAtCompany"/>
    <tableColumn id="33" xr3:uid="{58EC04CF-344A-4A20-AF6D-197E9088D01C}" name="YearsInCurrentRole"/>
    <tableColumn id="34" xr3:uid="{EB25C524-A359-4806-9B13-A4817AAEEA35}" name="YearsSinceLastPromotion"/>
    <tableColumn id="35" xr3:uid="{5CE7B33F-F878-4DE2-B6F7-FDCA1CCF7513}" name="YearsWithCurrManager"/>
    <tableColumn id="36" xr3:uid="{0369362B-7E5D-4CFB-98E6-BB2CFECEAA8D}" name="Age Group" dataDxfId="3">
      <calculatedColumnFormula array="1">_xlfn.IFS(Table1[[#This Row],[Age]]&lt;30,"Young",Table1[[#This Row],[Age]]&lt;=40,"Adult",Table1[[#This Row],[Age]]&gt;40,"Senior")</calculatedColumnFormula>
    </tableColumn>
    <tableColumn id="37" xr3:uid="{D395994C-D5B7-483E-8FBE-663306B6EF2A}" name="Income Category" dataDxfId="2">
      <calculatedColumnFormula array="1">_xlfn.IFS(Table1[[#This Row],[MonthlyIncome]]&lt;5000,"Low",Table1[[#This Row],[MonthlyIncome]]&lt;10000,"Medium",Table1[[#This Row],[MonthlyIncome]]&gt;10000,"High")</calculatedColumnFormula>
    </tableColumn>
    <tableColumn id="38" xr3:uid="{085C098F-9FCF-444C-8C70-9453518F9681}" name="Attrition Status" dataDxfId="1">
      <calculatedColumnFormula array="1">_xlfn.IFS(Table1[[#This Row],[Attrition]]="Yes","Resigned",Table1[[#This Row],[Attrition]]="No","Active")</calculatedColumnFormula>
    </tableColumn>
    <tableColumn id="39" xr3:uid="{16732368-1645-4FB4-9FA8-D14319810BA9}" name="Years at Company Group" dataDxfId="0">
      <calculatedColumnFormula array="1">_xlfn.IFS(Table1[[#This Row],[YearsAtCompany]]&lt;=1,"0-1 Year",Table1[[#This Row],[YearsAtCompany]]&lt;=2,"1-2 Years",Table1[[#This Row],[YearsAtCompany]]&lt;=3,"2-3 Years",Table1[[#This Row],[YearsAtCompany]]&lt;=4,"3-4 Years",Table1[[#This Row],[YearsAtCompany]]&lt;=5,"4-5 Years",Table1[[#This Row],[YearsAtCompany]]&gt;5,"&gt;5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6999-28B9-47DB-BB2C-B292CDD68A12}">
  <dimension ref="A1:V46"/>
  <sheetViews>
    <sheetView showGridLines="0" tabSelected="1" zoomScale="58" zoomScaleNormal="50" workbookViewId="0">
      <selection activeCell="R62" sqref="R62"/>
    </sheetView>
  </sheetViews>
  <sheetFormatPr defaultRowHeight="14.25" x14ac:dyDescent="0.45"/>
  <cols>
    <col min="2" max="2" width="22.1328125" bestFit="1" customWidth="1"/>
    <col min="3" max="3" width="15.265625" customWidth="1"/>
    <col min="4" max="4" width="15.73046875" bestFit="1" customWidth="1"/>
    <col min="5" max="5" width="19.19921875" bestFit="1" customWidth="1"/>
    <col min="6" max="6" width="14.1328125" bestFit="1" customWidth="1"/>
    <col min="7" max="7" width="8.06640625" bestFit="1" customWidth="1"/>
    <col min="8" max="8" width="19" bestFit="1" customWidth="1"/>
    <col min="9" max="9" width="21.3984375" bestFit="1" customWidth="1"/>
    <col min="18" max="18" width="10" customWidth="1"/>
  </cols>
  <sheetData>
    <row r="1" spans="1:22" ht="45" customHeight="1" x14ac:dyDescent="0.45">
      <c r="A1" s="16" t="s">
        <v>86</v>
      </c>
      <c r="B1" s="16"/>
      <c r="C1" s="16"/>
      <c r="D1" s="16"/>
      <c r="E1" s="16"/>
      <c r="F1" s="16"/>
      <c r="G1" s="16"/>
      <c r="H1" s="16"/>
      <c r="I1" s="16"/>
      <c r="J1" s="16"/>
      <c r="K1" s="16"/>
      <c r="L1" s="16"/>
      <c r="M1" s="16"/>
      <c r="N1" s="16"/>
      <c r="O1" s="16"/>
      <c r="P1" s="16"/>
      <c r="Q1" s="16"/>
      <c r="R1" s="16"/>
      <c r="S1" s="16"/>
      <c r="T1" s="16"/>
      <c r="U1" s="16"/>
      <c r="V1" s="16"/>
    </row>
    <row r="3" spans="1:22" x14ac:dyDescent="0.45">
      <c r="J3" s="21"/>
      <c r="K3" s="21"/>
      <c r="N3" s="21"/>
      <c r="O3" s="21"/>
    </row>
    <row r="4" spans="1:22" ht="23.25" customHeight="1" x14ac:dyDescent="0.45">
      <c r="J4" s="19"/>
      <c r="K4" s="19"/>
      <c r="N4" s="20"/>
      <c r="O4" s="20"/>
    </row>
    <row r="5" spans="1:22" ht="14.25" customHeight="1" x14ac:dyDescent="0.45">
      <c r="J5" s="19"/>
      <c r="K5" s="19"/>
      <c r="N5" s="20"/>
      <c r="O5" s="20"/>
    </row>
    <row r="41" spans="2:9" ht="18" x14ac:dyDescent="0.55000000000000004">
      <c r="B41" s="17" t="s">
        <v>87</v>
      </c>
      <c r="C41" s="18"/>
      <c r="D41" s="18"/>
      <c r="E41" s="18"/>
      <c r="F41" s="18"/>
      <c r="G41" s="18"/>
      <c r="H41" s="18"/>
      <c r="I41" s="18"/>
    </row>
    <row r="42" spans="2:9" ht="18" x14ac:dyDescent="0.55000000000000004">
      <c r="B42" s="5" t="s">
        <v>88</v>
      </c>
      <c r="C42" s="15" t="s">
        <v>89</v>
      </c>
      <c r="D42" s="15" t="s">
        <v>85</v>
      </c>
      <c r="E42" s="15" t="s">
        <v>96</v>
      </c>
      <c r="F42" s="15" t="s">
        <v>84</v>
      </c>
      <c r="G42" s="15" t="s">
        <v>90</v>
      </c>
      <c r="H42" s="15" t="s">
        <v>97</v>
      </c>
      <c r="I42" s="15" t="s">
        <v>98</v>
      </c>
    </row>
    <row r="43" spans="2:9" ht="18" x14ac:dyDescent="0.55000000000000004">
      <c r="B43" s="6" t="s">
        <v>61</v>
      </c>
      <c r="C43" s="7">
        <f>COUNTIFS(Table1[Department],"Human Resources")</f>
        <v>63</v>
      </c>
      <c r="D43" s="7">
        <f>COUNTIFS(Table1[Department],B43,Table1[Attrition],"No")</f>
        <v>51</v>
      </c>
      <c r="E43" s="7">
        <f>COUNTIFS(Table1[Department],B43,Table1[Attrition],"Yes")</f>
        <v>12</v>
      </c>
      <c r="F43" s="8">
        <f>E43/C43</f>
        <v>0.19047619047619047</v>
      </c>
      <c r="G43" s="9">
        <f>AVERAGEIFS(Table1[Age],Table1[Department],B43)</f>
        <v>37.80952380952381</v>
      </c>
      <c r="H43" s="10">
        <f>AVERAGEIFS(Table1[MonthlyIncome],Table1[Department],B43)</f>
        <v>6654.5079365079364</v>
      </c>
      <c r="I43" s="10">
        <f>AVERAGEIFS(Table1[YearsAtCompany],Table1[Department],B43)</f>
        <v>7.2380952380952381</v>
      </c>
    </row>
    <row r="44" spans="2:9" ht="18" x14ac:dyDescent="0.55000000000000004">
      <c r="B44" s="4" t="s">
        <v>45</v>
      </c>
      <c r="C44" s="7">
        <f>COUNTIFS(Table1[Department],"Research &amp; Development")</f>
        <v>961</v>
      </c>
      <c r="D44" s="7">
        <f>COUNTIFS(Table1[Department],B44,Table1[Attrition],"No")</f>
        <v>828</v>
      </c>
      <c r="E44" s="7">
        <f>COUNTIFS(Table1[Department],B44,Table1[Attrition],"Yes")</f>
        <v>133</v>
      </c>
      <c r="F44" s="8">
        <f t="shared" ref="F44:F46" si="0">E44/C44</f>
        <v>0.13839750260145681</v>
      </c>
      <c r="G44" s="9">
        <f>AVERAGEIFS(Table1[Age],Table1[Department],B44)</f>
        <v>37.042663891779398</v>
      </c>
      <c r="H44" s="10">
        <f>AVERAGEIFS(Table1[MonthlyIncome],Table1[Department],B44)</f>
        <v>6281.2528616024974</v>
      </c>
      <c r="I44" s="10">
        <f>AVERAGEIFS(Table1[YearsAtCompany],Table1[Department],B44)</f>
        <v>6.8647242455775235</v>
      </c>
    </row>
    <row r="45" spans="2:9" ht="18" x14ac:dyDescent="0.55000000000000004">
      <c r="B45" s="6" t="s">
        <v>37</v>
      </c>
      <c r="C45" s="7">
        <f>COUNTIFS(Table1[Department],"Sales")</f>
        <v>446</v>
      </c>
      <c r="D45" s="7">
        <f>COUNTIFS(Table1[Department],B45,Table1[Attrition],"No")</f>
        <v>354</v>
      </c>
      <c r="E45" s="7">
        <f>COUNTIFS(Table1[Department],B45,Table1[Attrition],"Yes")</f>
        <v>92</v>
      </c>
      <c r="F45" s="8">
        <f t="shared" si="0"/>
        <v>0.20627802690582961</v>
      </c>
      <c r="G45" s="9">
        <f>AVERAGEIFS(Table1[Age],Table1[Department],B45)</f>
        <v>36.542600896860989</v>
      </c>
      <c r="H45" s="10">
        <f>AVERAGEIFS(Table1[MonthlyIncome],Table1[Department],B45)</f>
        <v>6959.17264573991</v>
      </c>
      <c r="I45" s="10">
        <f>AVERAGEIFS(Table1[YearsAtCompany],Table1[Department],B45)</f>
        <v>7.2847533632286998</v>
      </c>
    </row>
    <row r="46" spans="2:9" ht="18" x14ac:dyDescent="0.55000000000000004">
      <c r="B46" s="11" t="s">
        <v>69</v>
      </c>
      <c r="C46" s="5">
        <f>SUM(C43:C45)</f>
        <v>1470</v>
      </c>
      <c r="D46" s="5">
        <f>SUM(D43:D45)</f>
        <v>1233</v>
      </c>
      <c r="E46" s="5">
        <f>SUM(E43:E45)</f>
        <v>237</v>
      </c>
      <c r="F46" s="12">
        <f t="shared" si="0"/>
        <v>0.16122448979591836</v>
      </c>
      <c r="G46" s="13">
        <f>AVERAGE(Table1[Age])</f>
        <v>36.923809523809524</v>
      </c>
      <c r="H46" s="14">
        <f>AVERAGE(Table1[MonthlyIncome])</f>
        <v>6502.931292517007</v>
      </c>
      <c r="I46" s="14">
        <f>AVERAGE(Table1[YearsAtCompany])</f>
        <v>7.0081632653061225</v>
      </c>
    </row>
  </sheetData>
  <mergeCells count="6">
    <mergeCell ref="A1:V1"/>
    <mergeCell ref="B41:I41"/>
    <mergeCell ref="J4:K5"/>
    <mergeCell ref="N4:O5"/>
    <mergeCell ref="N3:O3"/>
    <mergeCell ref="J3:K3"/>
  </mergeCells>
  <pageMargins left="0.7" right="0.7" top="0.75" bottom="0.75" header="0.3" footer="0.3"/>
  <pageSetup paperSize="66" scale="105" orientation="landscape"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7FC2-4C19-42E5-97CA-AE926BD93F69}">
  <dimension ref="A1:AI1471"/>
  <sheetViews>
    <sheetView workbookViewId="0">
      <selection activeCell="F25" sqref="F25"/>
    </sheetView>
  </sheetViews>
  <sheetFormatPr defaultRowHeight="14.25" x14ac:dyDescent="0.45"/>
  <sheetData>
    <row r="1" spans="1:3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4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4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4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4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4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4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4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4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4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4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4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4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4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4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4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4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4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4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4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4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4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4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4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4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4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4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4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4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4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4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4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4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4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4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4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4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4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4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4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4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4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4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4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4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4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4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4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4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4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4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4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4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4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4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4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4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4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4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4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4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4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4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4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4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4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4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4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4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4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4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4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4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4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4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4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4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4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4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4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4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4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4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4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4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4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4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4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4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4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4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4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4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4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4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4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4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4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4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4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4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4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4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4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4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4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4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4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4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4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4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4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4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4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4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4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4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4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4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4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4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4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4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4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4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4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4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4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4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4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4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4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4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4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4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4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4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4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4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4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4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4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4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4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4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4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4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4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4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4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4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4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4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4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4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4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4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4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4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4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4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4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4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4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4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4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4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4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4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4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4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4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4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4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4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4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4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4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4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4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4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4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4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4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4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4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4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4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4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4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4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4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4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4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4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4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4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4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4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4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4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4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4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4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4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4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4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4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4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4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4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4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4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4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4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4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4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4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4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4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4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4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4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4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4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4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4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4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4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4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4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4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4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4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4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4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4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4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4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4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4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4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4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4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4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4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4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4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4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4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4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4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4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4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4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4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4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4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4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4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4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4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4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4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4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4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4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4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4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4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4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4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4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4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4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4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4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4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4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4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4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4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4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4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4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4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4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4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4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4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4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4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4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4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4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4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4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4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4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4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4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4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4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4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4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4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4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4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4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4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4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4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4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4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4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4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4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4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4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4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4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4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4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4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4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4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4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4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4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4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4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4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4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4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4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4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4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4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4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4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4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4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4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4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4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4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4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4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4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4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4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4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4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4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4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4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4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4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4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4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4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4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4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4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4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4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4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4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4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4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4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4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4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4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4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4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4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4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4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4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4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4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4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4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4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4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4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4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4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4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4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4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4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4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4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4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4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4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4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4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4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4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4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4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4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4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4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4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4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4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4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4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4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4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4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4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4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4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4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4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4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4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4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4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4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4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4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4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4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4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4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4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4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4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4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4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4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4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4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4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4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4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4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4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4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4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4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4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4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4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4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4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4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4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4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4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4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4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4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4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4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4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4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4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4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4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4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4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4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4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4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4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4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4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4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4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4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4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4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4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4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4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4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4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4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4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4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4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4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4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4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4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4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4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4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4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4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4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4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4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4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4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4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4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4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4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4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4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4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4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4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4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4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4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4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4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4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4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4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4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4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4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4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4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4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4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4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4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4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4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4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4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4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4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4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4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4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4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4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4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4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4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4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4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4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4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4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4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4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4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4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4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4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4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4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4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4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4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4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4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4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4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4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4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4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4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4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4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4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4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4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4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4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4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4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4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4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4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4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4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4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4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4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4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4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4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4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4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4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4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4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4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4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4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4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4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4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4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4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4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4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4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4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4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4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4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4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4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4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4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4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4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4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4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4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4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4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4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4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4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4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4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4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4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4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4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4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4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4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4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4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4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4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4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4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4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4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4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4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4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4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4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4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4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4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4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4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4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4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4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4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4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4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4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4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4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4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4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4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4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4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4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4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4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4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4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4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4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4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4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4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4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4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4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4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4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4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4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4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4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4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4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4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4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4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4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4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4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4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4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4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4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4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4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4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4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4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4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4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4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4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4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4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4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4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4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4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4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4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4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4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4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4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4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4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4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4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4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4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4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4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4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4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4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4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4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4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4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4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4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4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4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4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4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4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4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4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4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4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4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4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4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4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4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4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4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4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4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4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4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4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4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4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4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4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4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4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4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4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4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4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4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4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4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4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4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4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4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4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4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4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4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4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4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4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4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4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4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4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4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4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4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4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4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4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4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4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4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4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4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4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4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4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4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4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4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4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4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4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4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4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4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4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4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4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4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4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4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4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4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4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4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4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4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4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4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4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4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4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4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4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4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4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4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4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4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4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4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4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4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4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4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4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4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4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4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4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4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4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4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4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4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4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4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4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4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4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4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4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4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4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4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4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4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4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4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4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4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4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4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4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4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4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4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4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4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4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4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4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4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4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4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4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4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4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4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4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4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4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4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4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4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4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4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4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4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4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4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4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4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4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4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4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4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4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4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4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4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4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4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4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4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4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4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4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4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4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4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4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4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4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4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4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4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4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4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4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4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4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4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4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4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4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4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4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4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4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4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4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4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4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4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4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4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4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4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4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4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4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4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4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4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4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4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4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4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4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4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4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4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4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4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4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4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4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4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4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4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4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4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4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4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4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4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4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4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4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4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4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4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4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4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4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4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4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4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4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4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4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4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4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4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4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4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4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4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4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4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4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4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4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4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4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4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4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4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4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4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4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4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4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4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4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4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4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4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4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4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4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4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4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4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4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4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4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4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4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4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4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4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4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4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4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4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4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4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4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4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4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4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4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4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4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4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4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4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4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4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4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4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4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4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4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4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4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4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4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4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4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4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4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4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4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4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4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4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4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4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4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4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4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4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4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4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4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4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4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4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4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4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4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4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4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4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4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4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4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4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4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4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4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4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4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4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4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4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4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4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4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4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4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4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4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4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4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4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4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4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4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4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4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4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4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4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4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4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4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4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4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4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4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4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4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4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4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4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4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4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4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4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4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4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4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4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4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4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4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4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4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4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4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4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4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4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4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4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4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4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4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4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4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4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4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4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4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4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4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4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4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4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4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4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4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4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4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4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4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4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4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4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4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4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4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4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4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4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4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4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4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4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4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4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4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4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4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4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4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4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4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4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4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4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4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4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4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4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4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4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4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4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4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4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4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4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4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4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4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4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4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4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4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4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4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4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4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4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4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4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4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4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4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4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4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4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4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4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4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4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4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4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4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4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4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4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4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4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4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4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4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4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4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4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4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4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4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4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4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4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4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4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4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4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4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4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4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4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4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4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4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4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4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4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4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4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4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4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4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4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4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4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4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4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4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4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4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4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4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4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4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4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4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4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4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4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4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4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4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4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4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4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4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4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4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4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4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4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4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4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4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4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4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4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4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4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4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4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4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4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4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4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4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4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4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4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4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4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4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4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4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4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4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4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4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4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4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4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4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4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4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4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4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4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4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4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4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4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4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4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4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4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4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4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4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4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4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4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4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4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4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4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4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4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4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4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4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4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4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4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4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4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4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4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4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4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4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4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4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4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4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4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4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4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4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4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4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4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4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4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4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4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4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4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4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4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4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4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4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4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4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4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4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4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4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4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4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4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4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4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4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4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4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4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4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4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4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4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4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4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4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4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4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4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4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4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4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4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4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4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4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4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4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4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4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4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4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4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4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4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4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4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4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4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4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4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4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4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4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4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4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4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4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4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4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4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4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4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4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4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4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4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4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4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4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4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4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4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4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4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4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4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4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4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4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4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4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4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4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4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4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4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4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4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4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4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4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4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4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4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4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4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4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7BC6-C553-4DC5-B0EB-0ECC700C0F0F}">
  <dimension ref="A1:AM1471"/>
  <sheetViews>
    <sheetView workbookViewId="0">
      <selection activeCell="E29" sqref="E29"/>
    </sheetView>
  </sheetViews>
  <sheetFormatPr defaultRowHeight="14.25" x14ac:dyDescent="0.45"/>
  <cols>
    <col min="1" max="1" width="6.06640625" bestFit="1" customWidth="1"/>
    <col min="2" max="2" width="9.86328125" bestFit="1" customWidth="1"/>
    <col min="3" max="3" width="15" bestFit="1" customWidth="1"/>
    <col min="4" max="4" width="10.59765625" bestFit="1" customWidth="1"/>
    <col min="5" max="5" width="20.73046875" bestFit="1" customWidth="1"/>
    <col min="6" max="6" width="19.06640625" bestFit="1" customWidth="1"/>
    <col min="7" max="7" width="11" bestFit="1" customWidth="1"/>
    <col min="8" max="8" width="14.86328125" bestFit="1" customWidth="1"/>
    <col min="9" max="9" width="15.9296875" bestFit="1" customWidth="1"/>
    <col min="10" max="10" width="17.73046875" bestFit="1" customWidth="1"/>
    <col min="11" max="11" width="23" bestFit="1" customWidth="1"/>
    <col min="12" max="12" width="8.9296875" bestFit="1" customWidth="1"/>
    <col min="13" max="13" width="12" bestFit="1" customWidth="1"/>
    <col min="14" max="14" width="16.1328125" bestFit="1" customWidth="1"/>
    <col min="15" max="15" width="9.9296875" bestFit="1" customWidth="1"/>
    <col min="16" max="16" width="21.73046875" bestFit="1" customWidth="1"/>
    <col min="17" max="17" width="15.19921875" bestFit="1" customWidth="1"/>
    <col min="18" max="18" width="13.796875" bestFit="1" customWidth="1"/>
    <col min="19" max="19" width="16" bestFit="1" customWidth="1"/>
    <col min="20" max="20" width="13.53125" bestFit="1" customWidth="1"/>
    <col min="21" max="21" width="22.46484375" bestFit="1" customWidth="1"/>
    <col min="22" max="22" width="8.86328125" bestFit="1" customWidth="1"/>
    <col min="23" max="23" width="10.86328125" bestFit="1" customWidth="1"/>
    <col min="24" max="24" width="17.6640625" bestFit="1" customWidth="1"/>
    <col min="25" max="25" width="18.53125" bestFit="1" customWidth="1"/>
    <col min="26" max="26" width="22.59765625" bestFit="1" customWidth="1"/>
    <col min="27" max="27" width="15.1328125" bestFit="1" customWidth="1"/>
    <col min="28" max="28" width="17.265625" bestFit="1" customWidth="1"/>
    <col min="29" max="29" width="18.33203125" bestFit="1" customWidth="1"/>
    <col min="30" max="30" width="21.19921875" bestFit="1" customWidth="1"/>
    <col min="31" max="31" width="16.53125" bestFit="1" customWidth="1"/>
    <col min="32" max="32" width="16.9296875" bestFit="1" customWidth="1"/>
    <col min="33" max="33" width="18.73046875" bestFit="1" customWidth="1"/>
    <col min="34" max="34" width="23.6640625" bestFit="1" customWidth="1"/>
    <col min="35" max="35" width="22" bestFit="1" customWidth="1"/>
    <col min="36" max="36" width="11.59765625" bestFit="1" customWidth="1"/>
    <col min="37" max="37" width="16.73046875" bestFit="1" customWidth="1"/>
  </cols>
  <sheetData>
    <row r="1" spans="1:3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65</v>
      </c>
      <c r="AK1" t="s">
        <v>66</v>
      </c>
      <c r="AL1" t="s">
        <v>67</v>
      </c>
      <c r="AM1" t="s">
        <v>77</v>
      </c>
    </row>
    <row r="2" spans="1:39" x14ac:dyDescent="0.45">
      <c r="A2">
        <v>41</v>
      </c>
      <c r="B2" t="s">
        <v>35</v>
      </c>
      <c r="C2" t="s">
        <v>64</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_xlfn.IFS(Table1[[#This Row],[Age]]&lt;30,"Young",Table1[[#This Row],[Age]]&lt;=40,"Adult",Table1[[#This Row],[Age]]&gt;40,"Senior")</f>
        <v>Senior</v>
      </c>
      <c r="AK2" t="str" cm="1">
        <f t="array" ref="AK2">_xlfn.IFS(Table1[[#This Row],[MonthlyIncome]]&lt;5000,"Low",Table1[[#This Row],[MonthlyIncome]]&lt;10000,"Medium",Table1[[#This Row],[MonthlyIncome]]&gt;10000,"High")</f>
        <v>Medium</v>
      </c>
      <c r="AL2" t="str" cm="1">
        <f t="array" ref="AL2">_xlfn.IFS(Table1[[#This Row],[Attrition]]="Yes","Resigned",Table1[[#This Row],[Attrition]]="No","Active")</f>
        <v>Resigned</v>
      </c>
      <c r="AM2" t="str" cm="1">
        <f t="array" ref="AM2">_xlfn.IFS(Table1[[#This Row],[YearsAtCompany]]&lt;=1,"0-1 Year",Table1[[#This Row],[YearsAtCompany]]&lt;=2,"1-2 Years",Table1[[#This Row],[YearsAtCompany]]&lt;=3,"2-3 Years",Table1[[#This Row],[YearsAtCompany]]&lt;=4,"3-4 Years",Table1[[#This Row],[YearsAtCompany]]&lt;=5,"4-5 Years",Table1[[#This Row],[YearsAtCompany]]&gt;5,"&gt;5 Years")</f>
        <v>&gt;5 Years</v>
      </c>
    </row>
    <row r="3" spans="1:39" hidden="1" x14ac:dyDescent="0.45">
      <c r="A3">
        <v>49</v>
      </c>
      <c r="B3" t="s">
        <v>43</v>
      </c>
      <c r="C3" t="s">
        <v>63</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_xlfn.IFS(Table1[[#This Row],[Age]]&lt;30,"Young",Table1[[#This Row],[Age]]&lt;=40,"Adult",Table1[[#This Row],[Age]]&gt;40,"Senior")</f>
        <v>Senior</v>
      </c>
      <c r="AK3" t="str" cm="1">
        <f t="array" ref="AK3">_xlfn.IFS(Table1[[#This Row],[MonthlyIncome]]&lt;5000,"Low",Table1[[#This Row],[MonthlyIncome]]&lt;10000,"Medium",Table1[[#This Row],[MonthlyIncome]]&gt;10000,"High")</f>
        <v>Medium</v>
      </c>
      <c r="AL3" t="str" cm="1">
        <f t="array" ref="AL3">_xlfn.IFS(Table1[[#This Row],[Attrition]]="Yes","Resigned",Table1[[#This Row],[Attrition]]="No","Active")</f>
        <v>Active</v>
      </c>
      <c r="AM3" t="str" cm="1">
        <f t="array" ref="AM3">_xlfn.IFS(Table1[[#This Row],[YearsAtCompany]]&lt;=1,"0-1 Year",Table1[[#This Row],[YearsAtCompany]]&lt;=2,"1-2 Years",Table1[[#This Row],[YearsAtCompany]]&lt;=3,"2-3 Years",Table1[[#This Row],[YearsAtCompany]]&lt;=4,"3-4 Years",Table1[[#This Row],[YearsAtCompany]]&lt;=5,"4-5 Years",Table1[[#This Row],[YearsAtCompany]]&gt;5,"&gt;5 Years")</f>
        <v>&gt;5 Years</v>
      </c>
    </row>
    <row r="4" spans="1:39" hidden="1" x14ac:dyDescent="0.45">
      <c r="A4">
        <v>37</v>
      </c>
      <c r="B4" t="s">
        <v>35</v>
      </c>
      <c r="C4" t="s">
        <v>64</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_xlfn.IFS(Table1[[#This Row],[Age]]&lt;30,"Young",Table1[[#This Row],[Age]]&lt;=40,"Adult",Table1[[#This Row],[Age]]&gt;40,"Senior")</f>
        <v>Adult</v>
      </c>
      <c r="AK4" t="str" cm="1">
        <f t="array" ref="AK4">_xlfn.IFS(Table1[[#This Row],[MonthlyIncome]]&lt;5000,"Low",Table1[[#This Row],[MonthlyIncome]]&lt;10000,"Medium",Table1[[#This Row],[MonthlyIncome]]&gt;10000,"High")</f>
        <v>Low</v>
      </c>
      <c r="AL4" t="str" cm="1">
        <f t="array" ref="AL4">_xlfn.IFS(Table1[[#This Row],[Attrition]]="Yes","Resigned",Table1[[#This Row],[Attrition]]="No","Active")</f>
        <v>Resigned</v>
      </c>
      <c r="AM4" t="str" cm="1">
        <f t="array" ref="AM4">_xlfn.IFS(Table1[[#This Row],[YearsAtCompany]]&lt;=1,"0-1 Year",Table1[[#This Row],[YearsAtCompany]]&lt;=2,"1-2 Years",Table1[[#This Row],[YearsAtCompany]]&lt;=3,"2-3 Years",Table1[[#This Row],[YearsAtCompany]]&lt;=4,"3-4 Years",Table1[[#This Row],[YearsAtCompany]]&lt;=5,"4-5 Years",Table1[[#This Row],[YearsAtCompany]]&gt;5,"&gt;5 Years")</f>
        <v>0-1 Year</v>
      </c>
    </row>
    <row r="5" spans="1:39" hidden="1" x14ac:dyDescent="0.45">
      <c r="A5">
        <v>33</v>
      </c>
      <c r="B5" t="s">
        <v>43</v>
      </c>
      <c r="C5" t="s">
        <v>63</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_xlfn.IFS(Table1[[#This Row],[Age]]&lt;30,"Young",Table1[[#This Row],[Age]]&lt;=40,"Adult",Table1[[#This Row],[Age]]&gt;40,"Senior")</f>
        <v>Adult</v>
      </c>
      <c r="AK5" t="str" cm="1">
        <f t="array" ref="AK5">_xlfn.IFS(Table1[[#This Row],[MonthlyIncome]]&lt;5000,"Low",Table1[[#This Row],[MonthlyIncome]]&lt;10000,"Medium",Table1[[#This Row],[MonthlyIncome]]&gt;10000,"High")</f>
        <v>Low</v>
      </c>
      <c r="AL5" t="str" cm="1">
        <f t="array" ref="AL5">_xlfn.IFS(Table1[[#This Row],[Attrition]]="Yes","Resigned",Table1[[#This Row],[Attrition]]="No","Active")</f>
        <v>Active</v>
      </c>
      <c r="AM5" t="str" cm="1">
        <f t="array" ref="AM5">_xlfn.IFS(Table1[[#This Row],[YearsAtCompany]]&lt;=1,"0-1 Year",Table1[[#This Row],[YearsAtCompany]]&lt;=2,"1-2 Years",Table1[[#This Row],[YearsAtCompany]]&lt;=3,"2-3 Years",Table1[[#This Row],[YearsAtCompany]]&lt;=4,"3-4 Years",Table1[[#This Row],[YearsAtCompany]]&lt;=5,"4-5 Years",Table1[[#This Row],[YearsAtCompany]]&gt;5,"&gt;5 Years")</f>
        <v>&gt;5 Years</v>
      </c>
    </row>
    <row r="6" spans="1:39" hidden="1" x14ac:dyDescent="0.45">
      <c r="A6">
        <v>27</v>
      </c>
      <c r="B6" t="s">
        <v>43</v>
      </c>
      <c r="C6" t="s">
        <v>64</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_xlfn.IFS(Table1[[#This Row],[Age]]&lt;30,"Young",Table1[[#This Row],[Age]]&lt;=40,"Adult",Table1[[#This Row],[Age]]&gt;40,"Senior")</f>
        <v>Young</v>
      </c>
      <c r="AK6" t="str" cm="1">
        <f t="array" ref="AK6">_xlfn.IFS(Table1[[#This Row],[MonthlyIncome]]&lt;5000,"Low",Table1[[#This Row],[MonthlyIncome]]&lt;10000,"Medium",Table1[[#This Row],[MonthlyIncome]]&gt;10000,"High")</f>
        <v>Low</v>
      </c>
      <c r="AL6" t="str" cm="1">
        <f t="array" ref="AL6">_xlfn.IFS(Table1[[#This Row],[Attrition]]="Yes","Resigned",Table1[[#This Row],[Attrition]]="No","Active")</f>
        <v>Active</v>
      </c>
      <c r="AM6" t="str" cm="1">
        <f t="array" ref="AM6">_xlfn.IFS(Table1[[#This Row],[YearsAtCompany]]&lt;=1,"0-1 Year",Table1[[#This Row],[YearsAtCompany]]&lt;=2,"1-2 Years",Table1[[#This Row],[YearsAtCompany]]&lt;=3,"2-3 Years",Table1[[#This Row],[YearsAtCompany]]&lt;=4,"3-4 Years",Table1[[#This Row],[YearsAtCompany]]&lt;=5,"4-5 Years",Table1[[#This Row],[YearsAtCompany]]&gt;5,"&gt;5 Years")</f>
        <v>1-2 Years</v>
      </c>
    </row>
    <row r="7" spans="1:39" hidden="1" x14ac:dyDescent="0.45">
      <c r="A7">
        <v>32</v>
      </c>
      <c r="B7" t="s">
        <v>43</v>
      </c>
      <c r="C7" t="s">
        <v>63</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_xlfn.IFS(Table1[[#This Row],[Age]]&lt;30,"Young",Table1[[#This Row],[Age]]&lt;=40,"Adult",Table1[[#This Row],[Age]]&gt;40,"Senior")</f>
        <v>Adult</v>
      </c>
      <c r="AK7" t="str" cm="1">
        <f t="array" ref="AK7">_xlfn.IFS(Table1[[#This Row],[MonthlyIncome]]&lt;5000,"Low",Table1[[#This Row],[MonthlyIncome]]&lt;10000,"Medium",Table1[[#This Row],[MonthlyIncome]]&gt;10000,"High")</f>
        <v>Low</v>
      </c>
      <c r="AL7" t="str" cm="1">
        <f t="array" ref="AL7">_xlfn.IFS(Table1[[#This Row],[Attrition]]="Yes","Resigned",Table1[[#This Row],[Attrition]]="No","Active")</f>
        <v>Active</v>
      </c>
      <c r="AM7" t="str" cm="1">
        <f t="array" ref="AM7">_xlfn.IFS(Table1[[#This Row],[YearsAtCompany]]&lt;=1,"0-1 Year",Table1[[#This Row],[YearsAtCompany]]&lt;=2,"1-2 Years",Table1[[#This Row],[YearsAtCompany]]&lt;=3,"2-3 Years",Table1[[#This Row],[YearsAtCompany]]&lt;=4,"3-4 Years",Table1[[#This Row],[YearsAtCompany]]&lt;=5,"4-5 Years",Table1[[#This Row],[YearsAtCompany]]&gt;5,"&gt;5 Years")</f>
        <v>&gt;5 Years</v>
      </c>
    </row>
    <row r="8" spans="1:39" hidden="1" x14ac:dyDescent="0.45">
      <c r="A8">
        <v>59</v>
      </c>
      <c r="B8" t="s">
        <v>43</v>
      </c>
      <c r="C8" t="s">
        <v>64</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_xlfn.IFS(Table1[[#This Row],[Age]]&lt;30,"Young",Table1[[#This Row],[Age]]&lt;=40,"Adult",Table1[[#This Row],[Age]]&gt;40,"Senior")</f>
        <v>Senior</v>
      </c>
      <c r="AK8" t="str" cm="1">
        <f t="array" ref="AK8">_xlfn.IFS(Table1[[#This Row],[MonthlyIncome]]&lt;5000,"Low",Table1[[#This Row],[MonthlyIncome]]&lt;10000,"Medium",Table1[[#This Row],[MonthlyIncome]]&gt;10000,"High")</f>
        <v>Low</v>
      </c>
      <c r="AL8" t="str" cm="1">
        <f t="array" ref="AL8">_xlfn.IFS(Table1[[#This Row],[Attrition]]="Yes","Resigned",Table1[[#This Row],[Attrition]]="No","Active")</f>
        <v>Active</v>
      </c>
      <c r="AM8" t="str" cm="1">
        <f t="array" ref="AM8">_xlfn.IFS(Table1[[#This Row],[YearsAtCompany]]&lt;=1,"0-1 Year",Table1[[#This Row],[YearsAtCompany]]&lt;=2,"1-2 Years",Table1[[#This Row],[YearsAtCompany]]&lt;=3,"2-3 Years",Table1[[#This Row],[YearsAtCompany]]&lt;=4,"3-4 Years",Table1[[#This Row],[YearsAtCompany]]&lt;=5,"4-5 Years",Table1[[#This Row],[YearsAtCompany]]&gt;5,"&gt;5 Years")</f>
        <v>0-1 Year</v>
      </c>
    </row>
    <row r="9" spans="1:39" hidden="1" x14ac:dyDescent="0.45">
      <c r="A9">
        <v>30</v>
      </c>
      <c r="B9" t="s">
        <v>43</v>
      </c>
      <c r="C9" t="s">
        <v>64</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_xlfn.IFS(Table1[[#This Row],[Age]]&lt;30,"Young",Table1[[#This Row],[Age]]&lt;=40,"Adult",Table1[[#This Row],[Age]]&gt;40,"Senior")</f>
        <v>Adult</v>
      </c>
      <c r="AK9" t="str" cm="1">
        <f t="array" ref="AK9">_xlfn.IFS(Table1[[#This Row],[MonthlyIncome]]&lt;5000,"Low",Table1[[#This Row],[MonthlyIncome]]&lt;10000,"Medium",Table1[[#This Row],[MonthlyIncome]]&gt;10000,"High")</f>
        <v>Low</v>
      </c>
      <c r="AL9" t="str" cm="1">
        <f t="array" ref="AL9">_xlfn.IFS(Table1[[#This Row],[Attrition]]="Yes","Resigned",Table1[[#This Row],[Attrition]]="No","Active")</f>
        <v>Active</v>
      </c>
      <c r="AM9" t="str" cm="1">
        <f t="array" ref="AM9">_xlfn.IFS(Table1[[#This Row],[YearsAtCompany]]&lt;=1,"0-1 Year",Table1[[#This Row],[YearsAtCompany]]&lt;=2,"1-2 Years",Table1[[#This Row],[YearsAtCompany]]&lt;=3,"2-3 Years",Table1[[#This Row],[YearsAtCompany]]&lt;=4,"3-4 Years",Table1[[#This Row],[YearsAtCompany]]&lt;=5,"4-5 Years",Table1[[#This Row],[YearsAtCompany]]&gt;5,"&gt;5 Years")</f>
        <v>0-1 Year</v>
      </c>
    </row>
    <row r="10" spans="1:39" hidden="1" x14ac:dyDescent="0.45">
      <c r="A10">
        <v>38</v>
      </c>
      <c r="B10" t="s">
        <v>43</v>
      </c>
      <c r="C10" t="s">
        <v>63</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_xlfn.IFS(Table1[[#This Row],[Age]]&lt;30,"Young",Table1[[#This Row],[Age]]&lt;=40,"Adult",Table1[[#This Row],[Age]]&gt;40,"Senior")</f>
        <v>Adult</v>
      </c>
      <c r="AK10" t="str" cm="1">
        <f t="array" ref="AK10">_xlfn.IFS(Table1[[#This Row],[MonthlyIncome]]&lt;5000,"Low",Table1[[#This Row],[MonthlyIncome]]&lt;10000,"Medium",Table1[[#This Row],[MonthlyIncome]]&gt;10000,"High")</f>
        <v>Medium</v>
      </c>
      <c r="AL10" t="str" cm="1">
        <f t="array" ref="AL10">_xlfn.IFS(Table1[[#This Row],[Attrition]]="Yes","Resigned",Table1[[#This Row],[Attrition]]="No","Active")</f>
        <v>Active</v>
      </c>
      <c r="AM10" t="str" cm="1">
        <f t="array" ref="AM10">_xlfn.IFS(Table1[[#This Row],[YearsAtCompany]]&lt;=1,"0-1 Year",Table1[[#This Row],[YearsAtCompany]]&lt;=2,"1-2 Years",Table1[[#This Row],[YearsAtCompany]]&lt;=3,"2-3 Years",Table1[[#This Row],[YearsAtCompany]]&lt;=4,"3-4 Years",Table1[[#This Row],[YearsAtCompany]]&lt;=5,"4-5 Years",Table1[[#This Row],[YearsAtCompany]]&gt;5,"&gt;5 Years")</f>
        <v>&gt;5 Years</v>
      </c>
    </row>
    <row r="11" spans="1:39" hidden="1" x14ac:dyDescent="0.45">
      <c r="A11">
        <v>36</v>
      </c>
      <c r="B11" t="s">
        <v>43</v>
      </c>
      <c r="C11" t="s">
        <v>64</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_xlfn.IFS(Table1[[#This Row],[Age]]&lt;30,"Young",Table1[[#This Row],[Age]]&lt;=40,"Adult",Table1[[#This Row],[Age]]&gt;40,"Senior")</f>
        <v>Adult</v>
      </c>
      <c r="AK11" t="str" cm="1">
        <f t="array" ref="AK11">_xlfn.IFS(Table1[[#This Row],[MonthlyIncome]]&lt;5000,"Low",Table1[[#This Row],[MonthlyIncome]]&lt;10000,"Medium",Table1[[#This Row],[MonthlyIncome]]&gt;10000,"High")</f>
        <v>Medium</v>
      </c>
      <c r="AL11" t="str" cm="1">
        <f t="array" ref="AL11">_xlfn.IFS(Table1[[#This Row],[Attrition]]="Yes","Resigned",Table1[[#This Row],[Attrition]]="No","Active")</f>
        <v>Active</v>
      </c>
      <c r="AM11" t="str" cm="1">
        <f t="array" ref="AM11">_xlfn.IFS(Table1[[#This Row],[YearsAtCompany]]&lt;=1,"0-1 Year",Table1[[#This Row],[YearsAtCompany]]&lt;=2,"1-2 Years",Table1[[#This Row],[YearsAtCompany]]&lt;=3,"2-3 Years",Table1[[#This Row],[YearsAtCompany]]&lt;=4,"3-4 Years",Table1[[#This Row],[YearsAtCompany]]&lt;=5,"4-5 Years",Table1[[#This Row],[YearsAtCompany]]&gt;5,"&gt;5 Years")</f>
        <v>&gt;5 Years</v>
      </c>
    </row>
    <row r="12" spans="1:39" hidden="1" x14ac:dyDescent="0.45">
      <c r="A12">
        <v>35</v>
      </c>
      <c r="B12" t="s">
        <v>43</v>
      </c>
      <c r="C12" t="s">
        <v>64</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_xlfn.IFS(Table1[[#This Row],[Age]]&lt;30,"Young",Table1[[#This Row],[Age]]&lt;=40,"Adult",Table1[[#This Row],[Age]]&gt;40,"Senior")</f>
        <v>Adult</v>
      </c>
      <c r="AK12" t="str" cm="1">
        <f t="array" ref="AK12">_xlfn.IFS(Table1[[#This Row],[MonthlyIncome]]&lt;5000,"Low",Table1[[#This Row],[MonthlyIncome]]&lt;10000,"Medium",Table1[[#This Row],[MonthlyIncome]]&gt;10000,"High")</f>
        <v>Low</v>
      </c>
      <c r="AL12" t="str" cm="1">
        <f t="array" ref="AL12">_xlfn.IFS(Table1[[#This Row],[Attrition]]="Yes","Resigned",Table1[[#This Row],[Attrition]]="No","Active")</f>
        <v>Active</v>
      </c>
      <c r="AM12" t="str" cm="1">
        <f t="array" ref="AM12">_xlfn.IFS(Table1[[#This Row],[YearsAtCompany]]&lt;=1,"0-1 Year",Table1[[#This Row],[YearsAtCompany]]&lt;=2,"1-2 Years",Table1[[#This Row],[YearsAtCompany]]&lt;=3,"2-3 Years",Table1[[#This Row],[YearsAtCompany]]&lt;=4,"3-4 Years",Table1[[#This Row],[YearsAtCompany]]&lt;=5,"4-5 Years",Table1[[#This Row],[YearsAtCompany]]&gt;5,"&gt;5 Years")</f>
        <v>4-5 Years</v>
      </c>
    </row>
    <row r="13" spans="1:39" hidden="1" x14ac:dyDescent="0.45">
      <c r="A13">
        <v>29</v>
      </c>
      <c r="B13" t="s">
        <v>43</v>
      </c>
      <c r="C13" t="s">
        <v>64</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_xlfn.IFS(Table1[[#This Row],[Age]]&lt;30,"Young",Table1[[#This Row],[Age]]&lt;=40,"Adult",Table1[[#This Row],[Age]]&gt;40,"Senior")</f>
        <v>Young</v>
      </c>
      <c r="AK13" t="str" cm="1">
        <f t="array" ref="AK13">_xlfn.IFS(Table1[[#This Row],[MonthlyIncome]]&lt;5000,"Low",Table1[[#This Row],[MonthlyIncome]]&lt;10000,"Medium",Table1[[#This Row],[MonthlyIncome]]&gt;10000,"High")</f>
        <v>Low</v>
      </c>
      <c r="AL13" t="str" cm="1">
        <f t="array" ref="AL13">_xlfn.IFS(Table1[[#This Row],[Attrition]]="Yes","Resigned",Table1[[#This Row],[Attrition]]="No","Active")</f>
        <v>Active</v>
      </c>
      <c r="AM13" t="str" cm="1">
        <f t="array" ref="AM13">_xlfn.IFS(Table1[[#This Row],[YearsAtCompany]]&lt;=1,"0-1 Year",Table1[[#This Row],[YearsAtCompany]]&lt;=2,"1-2 Years",Table1[[#This Row],[YearsAtCompany]]&lt;=3,"2-3 Years",Table1[[#This Row],[YearsAtCompany]]&lt;=4,"3-4 Years",Table1[[#This Row],[YearsAtCompany]]&lt;=5,"4-5 Years",Table1[[#This Row],[YearsAtCompany]]&gt;5,"&gt;5 Years")</f>
        <v>&gt;5 Years</v>
      </c>
    </row>
    <row r="14" spans="1:39" hidden="1" x14ac:dyDescent="0.45">
      <c r="A14">
        <v>31</v>
      </c>
      <c r="B14" t="s">
        <v>43</v>
      </c>
      <c r="C14" t="s">
        <v>64</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_xlfn.IFS(Table1[[#This Row],[Age]]&lt;30,"Young",Table1[[#This Row],[Age]]&lt;=40,"Adult",Table1[[#This Row],[Age]]&gt;40,"Senior")</f>
        <v>Adult</v>
      </c>
      <c r="AK14" t="str" cm="1">
        <f t="array" ref="AK14">_xlfn.IFS(Table1[[#This Row],[MonthlyIncome]]&lt;5000,"Low",Table1[[#This Row],[MonthlyIncome]]&lt;10000,"Medium",Table1[[#This Row],[MonthlyIncome]]&gt;10000,"High")</f>
        <v>Low</v>
      </c>
      <c r="AL14" t="str" cm="1">
        <f t="array" ref="AL14">_xlfn.IFS(Table1[[#This Row],[Attrition]]="Yes","Resigned",Table1[[#This Row],[Attrition]]="No","Active")</f>
        <v>Active</v>
      </c>
      <c r="AM14" t="str" cm="1">
        <f t="array" ref="AM14">_xlfn.IFS(Table1[[#This Row],[YearsAtCompany]]&lt;=1,"0-1 Year",Table1[[#This Row],[YearsAtCompany]]&lt;=2,"1-2 Years",Table1[[#This Row],[YearsAtCompany]]&lt;=3,"2-3 Years",Table1[[#This Row],[YearsAtCompany]]&lt;=4,"3-4 Years",Table1[[#This Row],[YearsAtCompany]]&lt;=5,"4-5 Years",Table1[[#This Row],[YearsAtCompany]]&gt;5,"&gt;5 Years")</f>
        <v>4-5 Years</v>
      </c>
    </row>
    <row r="15" spans="1:39" hidden="1" x14ac:dyDescent="0.45">
      <c r="A15">
        <v>34</v>
      </c>
      <c r="B15" t="s">
        <v>43</v>
      </c>
      <c r="C15" t="s">
        <v>64</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_xlfn.IFS(Table1[[#This Row],[Age]]&lt;30,"Young",Table1[[#This Row],[Age]]&lt;=40,"Adult",Table1[[#This Row],[Age]]&gt;40,"Senior")</f>
        <v>Adult</v>
      </c>
      <c r="AK15" t="str" cm="1">
        <f t="array" ref="AK15">_xlfn.IFS(Table1[[#This Row],[MonthlyIncome]]&lt;5000,"Low",Table1[[#This Row],[MonthlyIncome]]&lt;10000,"Medium",Table1[[#This Row],[MonthlyIncome]]&gt;10000,"High")</f>
        <v>Low</v>
      </c>
      <c r="AL15" t="str" cm="1">
        <f t="array" ref="AL15">_xlfn.IFS(Table1[[#This Row],[Attrition]]="Yes","Resigned",Table1[[#This Row],[Attrition]]="No","Active")</f>
        <v>Active</v>
      </c>
      <c r="AM15" t="str" cm="1">
        <f t="array" ref="AM15">_xlfn.IFS(Table1[[#This Row],[YearsAtCompany]]&lt;=1,"0-1 Year",Table1[[#This Row],[YearsAtCompany]]&lt;=2,"1-2 Years",Table1[[#This Row],[YearsAtCompany]]&lt;=3,"2-3 Years",Table1[[#This Row],[YearsAtCompany]]&lt;=4,"3-4 Years",Table1[[#This Row],[YearsAtCompany]]&lt;=5,"4-5 Years",Table1[[#This Row],[YearsAtCompany]]&gt;5,"&gt;5 Years")</f>
        <v>1-2 Years</v>
      </c>
    </row>
    <row r="16" spans="1:39" hidden="1" x14ac:dyDescent="0.45">
      <c r="A16">
        <v>28</v>
      </c>
      <c r="B16" t="s">
        <v>35</v>
      </c>
      <c r="C16" t="s">
        <v>64</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_xlfn.IFS(Table1[[#This Row],[Age]]&lt;30,"Young",Table1[[#This Row],[Age]]&lt;=40,"Adult",Table1[[#This Row],[Age]]&gt;40,"Senior")</f>
        <v>Young</v>
      </c>
      <c r="AK16" t="str" cm="1">
        <f t="array" ref="AK16">_xlfn.IFS(Table1[[#This Row],[MonthlyIncome]]&lt;5000,"Low",Table1[[#This Row],[MonthlyIncome]]&lt;10000,"Medium",Table1[[#This Row],[MonthlyIncome]]&gt;10000,"High")</f>
        <v>Low</v>
      </c>
      <c r="AL16" t="str" cm="1">
        <f t="array" ref="AL16">_xlfn.IFS(Table1[[#This Row],[Attrition]]="Yes","Resigned",Table1[[#This Row],[Attrition]]="No","Active")</f>
        <v>Resigned</v>
      </c>
      <c r="AM16" t="str" cm="1">
        <f t="array" ref="AM16">_xlfn.IFS(Table1[[#This Row],[YearsAtCompany]]&lt;=1,"0-1 Year",Table1[[#This Row],[YearsAtCompany]]&lt;=2,"1-2 Years",Table1[[#This Row],[YearsAtCompany]]&lt;=3,"2-3 Years",Table1[[#This Row],[YearsAtCompany]]&lt;=4,"3-4 Years",Table1[[#This Row],[YearsAtCompany]]&lt;=5,"4-5 Years",Table1[[#This Row],[YearsAtCompany]]&gt;5,"&gt;5 Years")</f>
        <v>3-4 Years</v>
      </c>
    </row>
    <row r="17" spans="1:39" hidden="1" x14ac:dyDescent="0.45">
      <c r="A17">
        <v>29</v>
      </c>
      <c r="B17" t="s">
        <v>43</v>
      </c>
      <c r="C17" t="s">
        <v>64</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_xlfn.IFS(Table1[[#This Row],[Age]]&lt;30,"Young",Table1[[#This Row],[Age]]&lt;=40,"Adult",Table1[[#This Row],[Age]]&gt;40,"Senior")</f>
        <v>Young</v>
      </c>
      <c r="AK17" t="str" cm="1">
        <f t="array" ref="AK17">_xlfn.IFS(Table1[[#This Row],[MonthlyIncome]]&lt;5000,"Low",Table1[[#This Row],[MonthlyIncome]]&lt;10000,"Medium",Table1[[#This Row],[MonthlyIncome]]&gt;10000,"High")</f>
        <v>Medium</v>
      </c>
      <c r="AL17" t="str" cm="1">
        <f t="array" ref="AL17">_xlfn.IFS(Table1[[#This Row],[Attrition]]="Yes","Resigned",Table1[[#This Row],[Attrition]]="No","Active")</f>
        <v>Active</v>
      </c>
      <c r="AM17" t="str" cm="1">
        <f t="array" ref="AM17">_xlfn.IFS(Table1[[#This Row],[YearsAtCompany]]&lt;=1,"0-1 Year",Table1[[#This Row],[YearsAtCompany]]&lt;=2,"1-2 Years",Table1[[#This Row],[YearsAtCompany]]&lt;=3,"2-3 Years",Table1[[#This Row],[YearsAtCompany]]&lt;=4,"3-4 Years",Table1[[#This Row],[YearsAtCompany]]&lt;=5,"4-5 Years",Table1[[#This Row],[YearsAtCompany]]&gt;5,"&gt;5 Years")</f>
        <v>&gt;5 Years</v>
      </c>
    </row>
    <row r="18" spans="1:39" hidden="1" x14ac:dyDescent="0.45">
      <c r="A18">
        <v>32</v>
      </c>
      <c r="B18" t="s">
        <v>43</v>
      </c>
      <c r="C18" t="s">
        <v>64</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_xlfn.IFS(Table1[[#This Row],[Age]]&lt;30,"Young",Table1[[#This Row],[Age]]&lt;=40,"Adult",Table1[[#This Row],[Age]]&gt;40,"Senior")</f>
        <v>Adult</v>
      </c>
      <c r="AK18" t="str" cm="1">
        <f t="array" ref="AK18">_xlfn.IFS(Table1[[#This Row],[MonthlyIncome]]&lt;5000,"Low",Table1[[#This Row],[MonthlyIncome]]&lt;10000,"Medium",Table1[[#This Row],[MonthlyIncome]]&gt;10000,"High")</f>
        <v>Low</v>
      </c>
      <c r="AL18" t="str" cm="1">
        <f t="array" ref="AL18">_xlfn.IFS(Table1[[#This Row],[Attrition]]="Yes","Resigned",Table1[[#This Row],[Attrition]]="No","Active")</f>
        <v>Active</v>
      </c>
      <c r="AM18" t="str" cm="1">
        <f t="array" ref="AM18">_xlfn.IFS(Table1[[#This Row],[YearsAtCompany]]&lt;=1,"0-1 Year",Table1[[#This Row],[YearsAtCompany]]&lt;=2,"1-2 Years",Table1[[#This Row],[YearsAtCompany]]&lt;=3,"2-3 Years",Table1[[#This Row],[YearsAtCompany]]&lt;=4,"3-4 Years",Table1[[#This Row],[YearsAtCompany]]&lt;=5,"4-5 Years",Table1[[#This Row],[YearsAtCompany]]&gt;5,"&gt;5 Years")</f>
        <v>&gt;5 Years</v>
      </c>
    </row>
    <row r="19" spans="1:39" hidden="1" x14ac:dyDescent="0.45">
      <c r="A19">
        <v>22</v>
      </c>
      <c r="B19" t="s">
        <v>43</v>
      </c>
      <c r="C19" t="s">
        <v>62</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_xlfn.IFS(Table1[[#This Row],[Age]]&lt;30,"Young",Table1[[#This Row],[Age]]&lt;=40,"Adult",Table1[[#This Row],[Age]]&gt;40,"Senior")</f>
        <v>Young</v>
      </c>
      <c r="AK19" t="str" cm="1">
        <f t="array" ref="AK19">_xlfn.IFS(Table1[[#This Row],[MonthlyIncome]]&lt;5000,"Low",Table1[[#This Row],[MonthlyIncome]]&lt;10000,"Medium",Table1[[#This Row],[MonthlyIncome]]&gt;10000,"High")</f>
        <v>Low</v>
      </c>
      <c r="AL19" t="str" cm="1">
        <f t="array" ref="AL19">_xlfn.IFS(Table1[[#This Row],[Attrition]]="Yes","Resigned",Table1[[#This Row],[Attrition]]="No","Active")</f>
        <v>Active</v>
      </c>
      <c r="AM19" t="str" cm="1">
        <f t="array" ref="AM19">_xlfn.IFS(Table1[[#This Row],[YearsAtCompany]]&lt;=1,"0-1 Year",Table1[[#This Row],[YearsAtCompany]]&lt;=2,"1-2 Years",Table1[[#This Row],[YearsAtCompany]]&lt;=3,"2-3 Years",Table1[[#This Row],[YearsAtCompany]]&lt;=4,"3-4 Years",Table1[[#This Row],[YearsAtCompany]]&lt;=5,"4-5 Years",Table1[[#This Row],[YearsAtCompany]]&gt;5,"&gt;5 Years")</f>
        <v>0-1 Year</v>
      </c>
    </row>
    <row r="20" spans="1:39" x14ac:dyDescent="0.45">
      <c r="A20">
        <v>53</v>
      </c>
      <c r="B20" t="s">
        <v>43</v>
      </c>
      <c r="C20" t="s">
        <v>64</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_xlfn.IFS(Table1[[#This Row],[Age]]&lt;30,"Young",Table1[[#This Row],[Age]]&lt;=40,"Adult",Table1[[#This Row],[Age]]&gt;40,"Senior")</f>
        <v>Senior</v>
      </c>
      <c r="AK20" t="str" cm="1">
        <f t="array" ref="AK20">_xlfn.IFS(Table1[[#This Row],[MonthlyIncome]]&lt;5000,"Low",Table1[[#This Row],[MonthlyIncome]]&lt;10000,"Medium",Table1[[#This Row],[MonthlyIncome]]&gt;10000,"High")</f>
        <v>High</v>
      </c>
      <c r="AL20" t="str" cm="1">
        <f t="array" ref="AL20">_xlfn.IFS(Table1[[#This Row],[Attrition]]="Yes","Resigned",Table1[[#This Row],[Attrition]]="No","Active")</f>
        <v>Active</v>
      </c>
      <c r="AM20" t="str" cm="1">
        <f t="array" ref="AM20">_xlfn.IFS(Table1[[#This Row],[YearsAtCompany]]&lt;=1,"0-1 Year",Table1[[#This Row],[YearsAtCompany]]&lt;=2,"1-2 Years",Table1[[#This Row],[YearsAtCompany]]&lt;=3,"2-3 Years",Table1[[#This Row],[YearsAtCompany]]&lt;=4,"3-4 Years",Table1[[#This Row],[YearsAtCompany]]&lt;=5,"4-5 Years",Table1[[#This Row],[YearsAtCompany]]&gt;5,"&gt;5 Years")</f>
        <v>&gt;5 Years</v>
      </c>
    </row>
    <row r="21" spans="1:39" hidden="1" x14ac:dyDescent="0.45">
      <c r="A21">
        <v>38</v>
      </c>
      <c r="B21" t="s">
        <v>43</v>
      </c>
      <c r="C21" t="s">
        <v>64</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_xlfn.IFS(Table1[[#This Row],[Age]]&lt;30,"Young",Table1[[#This Row],[Age]]&lt;=40,"Adult",Table1[[#This Row],[Age]]&gt;40,"Senior")</f>
        <v>Adult</v>
      </c>
      <c r="AK21" t="str" cm="1">
        <f t="array" ref="AK21">_xlfn.IFS(Table1[[#This Row],[MonthlyIncome]]&lt;5000,"Low",Table1[[#This Row],[MonthlyIncome]]&lt;10000,"Medium",Table1[[#This Row],[MonthlyIncome]]&gt;10000,"High")</f>
        <v>Low</v>
      </c>
      <c r="AL21" t="str" cm="1">
        <f t="array" ref="AL21">_xlfn.IFS(Table1[[#This Row],[Attrition]]="Yes","Resigned",Table1[[#This Row],[Attrition]]="No","Active")</f>
        <v>Active</v>
      </c>
      <c r="AM21" t="str" cm="1">
        <f t="array" ref="AM21">_xlfn.IFS(Table1[[#This Row],[YearsAtCompany]]&lt;=1,"0-1 Year",Table1[[#This Row],[YearsAtCompany]]&lt;=2,"1-2 Years",Table1[[#This Row],[YearsAtCompany]]&lt;=3,"2-3 Years",Table1[[#This Row],[YearsAtCompany]]&lt;=4,"3-4 Years",Table1[[#This Row],[YearsAtCompany]]&lt;=5,"4-5 Years",Table1[[#This Row],[YearsAtCompany]]&gt;5,"&gt;5 Years")</f>
        <v>2-3 Years</v>
      </c>
    </row>
    <row r="22" spans="1:39" hidden="1" x14ac:dyDescent="0.45">
      <c r="A22">
        <v>24</v>
      </c>
      <c r="B22" t="s">
        <v>43</v>
      </c>
      <c r="C22" t="s">
        <v>62</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_xlfn.IFS(Table1[[#This Row],[Age]]&lt;30,"Young",Table1[[#This Row],[Age]]&lt;=40,"Adult",Table1[[#This Row],[Age]]&gt;40,"Senior")</f>
        <v>Young</v>
      </c>
      <c r="AK22" t="str" cm="1">
        <f t="array" ref="AK22">_xlfn.IFS(Table1[[#This Row],[MonthlyIncome]]&lt;5000,"Low",Table1[[#This Row],[MonthlyIncome]]&lt;10000,"Medium",Table1[[#This Row],[MonthlyIncome]]&gt;10000,"High")</f>
        <v>Low</v>
      </c>
      <c r="AL22" t="str" cm="1">
        <f t="array" ref="AL22">_xlfn.IFS(Table1[[#This Row],[Attrition]]="Yes","Resigned",Table1[[#This Row],[Attrition]]="No","Active")</f>
        <v>Active</v>
      </c>
      <c r="AM22" t="str" cm="1">
        <f t="array" ref="AM22">_xlfn.IFS(Table1[[#This Row],[YearsAtCompany]]&lt;=1,"0-1 Year",Table1[[#This Row],[YearsAtCompany]]&lt;=2,"1-2 Years",Table1[[#This Row],[YearsAtCompany]]&lt;=3,"2-3 Years",Table1[[#This Row],[YearsAtCompany]]&lt;=4,"3-4 Years",Table1[[#This Row],[YearsAtCompany]]&lt;=5,"4-5 Years",Table1[[#This Row],[YearsAtCompany]]&gt;5,"&gt;5 Years")</f>
        <v>3-4 Years</v>
      </c>
    </row>
    <row r="23" spans="1:39" x14ac:dyDescent="0.45">
      <c r="A23">
        <v>36</v>
      </c>
      <c r="B23" t="s">
        <v>35</v>
      </c>
      <c r="C23" t="s">
        <v>64</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_xlfn.IFS(Table1[[#This Row],[Age]]&lt;30,"Young",Table1[[#This Row],[Age]]&lt;=40,"Adult",Table1[[#This Row],[Age]]&gt;40,"Senior")</f>
        <v>Adult</v>
      </c>
      <c r="AK23" t="str" cm="1">
        <f t="array" ref="AK23">_xlfn.IFS(Table1[[#This Row],[MonthlyIncome]]&lt;5000,"Low",Table1[[#This Row],[MonthlyIncome]]&lt;10000,"Medium",Table1[[#This Row],[MonthlyIncome]]&gt;10000,"High")</f>
        <v>Low</v>
      </c>
      <c r="AL23" t="str" cm="1">
        <f t="array" ref="AL23">_xlfn.IFS(Table1[[#This Row],[Attrition]]="Yes","Resigned",Table1[[#This Row],[Attrition]]="No","Active")</f>
        <v>Resigned</v>
      </c>
      <c r="AM23" t="str" cm="1">
        <f t="array" ref="AM23">_xlfn.IFS(Table1[[#This Row],[YearsAtCompany]]&lt;=1,"0-1 Year",Table1[[#This Row],[YearsAtCompany]]&lt;=2,"1-2 Years",Table1[[#This Row],[YearsAtCompany]]&lt;=3,"2-3 Years",Table1[[#This Row],[YearsAtCompany]]&lt;=4,"3-4 Years",Table1[[#This Row],[YearsAtCompany]]&lt;=5,"4-5 Years",Table1[[#This Row],[YearsAtCompany]]&gt;5,"&gt;5 Years")</f>
        <v>4-5 Years</v>
      </c>
    </row>
    <row r="24" spans="1:39" hidden="1" x14ac:dyDescent="0.45">
      <c r="A24">
        <v>34</v>
      </c>
      <c r="B24" t="s">
        <v>43</v>
      </c>
      <c r="C24" t="s">
        <v>64</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_xlfn.IFS(Table1[[#This Row],[Age]]&lt;30,"Young",Table1[[#This Row],[Age]]&lt;=40,"Adult",Table1[[#This Row],[Age]]&gt;40,"Senior")</f>
        <v>Adult</v>
      </c>
      <c r="AK24" t="str" cm="1">
        <f t="array" ref="AK24">_xlfn.IFS(Table1[[#This Row],[MonthlyIncome]]&lt;5000,"Low",Table1[[#This Row],[MonthlyIncome]]&lt;10000,"Medium",Table1[[#This Row],[MonthlyIncome]]&gt;10000,"High")</f>
        <v>High</v>
      </c>
      <c r="AL24" t="str" cm="1">
        <f t="array" ref="AL24">_xlfn.IFS(Table1[[#This Row],[Attrition]]="Yes","Resigned",Table1[[#This Row],[Attrition]]="No","Active")</f>
        <v>Active</v>
      </c>
      <c r="AM24" t="str" cm="1">
        <f t="array" ref="AM24">_xlfn.IFS(Table1[[#This Row],[YearsAtCompany]]&lt;=1,"0-1 Year",Table1[[#This Row],[YearsAtCompany]]&lt;=2,"1-2 Years",Table1[[#This Row],[YearsAtCompany]]&lt;=3,"2-3 Years",Table1[[#This Row],[YearsAtCompany]]&lt;=4,"3-4 Years",Table1[[#This Row],[YearsAtCompany]]&lt;=5,"4-5 Years",Table1[[#This Row],[YearsAtCompany]]&gt;5,"&gt;5 Years")</f>
        <v>&gt;5 Years</v>
      </c>
    </row>
    <row r="25" spans="1:39" hidden="1" x14ac:dyDescent="0.45">
      <c r="A25">
        <v>21</v>
      </c>
      <c r="B25" t="s">
        <v>43</v>
      </c>
      <c r="C25" t="s">
        <v>64</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_xlfn.IFS(Table1[[#This Row],[Age]]&lt;30,"Young",Table1[[#This Row],[Age]]&lt;=40,"Adult",Table1[[#This Row],[Age]]&gt;40,"Senior")</f>
        <v>Young</v>
      </c>
      <c r="AK25" t="str" cm="1">
        <f t="array" ref="AK25">_xlfn.IFS(Table1[[#This Row],[MonthlyIncome]]&lt;5000,"Low",Table1[[#This Row],[MonthlyIncome]]&lt;10000,"Medium",Table1[[#This Row],[MonthlyIncome]]&gt;10000,"High")</f>
        <v>Low</v>
      </c>
      <c r="AL25" t="str" cm="1">
        <f t="array" ref="AL25">_xlfn.IFS(Table1[[#This Row],[Attrition]]="Yes","Resigned",Table1[[#This Row],[Attrition]]="No","Active")</f>
        <v>Active</v>
      </c>
      <c r="AM25" t="str" cm="1">
        <f t="array" ref="AM25">_xlfn.IFS(Table1[[#This Row],[YearsAtCompany]]&lt;=1,"0-1 Year",Table1[[#This Row],[YearsAtCompany]]&lt;=2,"1-2 Years",Table1[[#This Row],[YearsAtCompany]]&lt;=3,"2-3 Years",Table1[[#This Row],[YearsAtCompany]]&lt;=4,"3-4 Years",Table1[[#This Row],[YearsAtCompany]]&lt;=5,"4-5 Years",Table1[[#This Row],[YearsAtCompany]]&gt;5,"&gt;5 Years")</f>
        <v>0-1 Year</v>
      </c>
    </row>
    <row r="26" spans="1:39" hidden="1" x14ac:dyDescent="0.45">
      <c r="A26">
        <v>34</v>
      </c>
      <c r="B26" t="s">
        <v>35</v>
      </c>
      <c r="C26" t="s">
        <v>64</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_xlfn.IFS(Table1[[#This Row],[Age]]&lt;30,"Young",Table1[[#This Row],[Age]]&lt;=40,"Adult",Table1[[#This Row],[Age]]&gt;40,"Senior")</f>
        <v>Adult</v>
      </c>
      <c r="AK26" t="str" cm="1">
        <f t="array" ref="AK26">_xlfn.IFS(Table1[[#This Row],[MonthlyIncome]]&lt;5000,"Low",Table1[[#This Row],[MonthlyIncome]]&lt;10000,"Medium",Table1[[#This Row],[MonthlyIncome]]&gt;10000,"High")</f>
        <v>Low</v>
      </c>
      <c r="AL26" t="str" cm="1">
        <f t="array" ref="AL26">_xlfn.IFS(Table1[[#This Row],[Attrition]]="Yes","Resigned",Table1[[#This Row],[Attrition]]="No","Active")</f>
        <v>Resigned</v>
      </c>
      <c r="AM26" t="str" cm="1">
        <f t="array" ref="AM26">_xlfn.IFS(Table1[[#This Row],[YearsAtCompany]]&lt;=1,"0-1 Year",Table1[[#This Row],[YearsAtCompany]]&lt;=2,"1-2 Years",Table1[[#This Row],[YearsAtCompany]]&lt;=3,"2-3 Years",Table1[[#This Row],[YearsAtCompany]]&lt;=4,"3-4 Years",Table1[[#This Row],[YearsAtCompany]]&lt;=5,"4-5 Years",Table1[[#This Row],[YearsAtCompany]]&gt;5,"&gt;5 Years")</f>
        <v>3-4 Years</v>
      </c>
    </row>
    <row r="27" spans="1:39" hidden="1" x14ac:dyDescent="0.45">
      <c r="A27">
        <v>53</v>
      </c>
      <c r="B27" t="s">
        <v>43</v>
      </c>
      <c r="C27" t="s">
        <v>64</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_xlfn.IFS(Table1[[#This Row],[Age]]&lt;30,"Young",Table1[[#This Row],[Age]]&lt;=40,"Adult",Table1[[#This Row],[Age]]&gt;40,"Senior")</f>
        <v>Senior</v>
      </c>
      <c r="AK27" t="str" cm="1">
        <f t="array" ref="AK27">_xlfn.IFS(Table1[[#This Row],[MonthlyIncome]]&lt;5000,"Low",Table1[[#This Row],[MonthlyIncome]]&lt;10000,"Medium",Table1[[#This Row],[MonthlyIncome]]&gt;10000,"High")</f>
        <v>High</v>
      </c>
      <c r="AL27" t="str" cm="1">
        <f t="array" ref="AL27">_xlfn.IFS(Table1[[#This Row],[Attrition]]="Yes","Resigned",Table1[[#This Row],[Attrition]]="No","Active")</f>
        <v>Active</v>
      </c>
      <c r="AM27" t="str" cm="1">
        <f t="array" ref="AM27">_xlfn.IFS(Table1[[#This Row],[YearsAtCompany]]&lt;=1,"0-1 Year",Table1[[#This Row],[YearsAtCompany]]&lt;=2,"1-2 Years",Table1[[#This Row],[YearsAtCompany]]&lt;=3,"2-3 Years",Table1[[#This Row],[YearsAtCompany]]&lt;=4,"3-4 Years",Table1[[#This Row],[YearsAtCompany]]&lt;=5,"4-5 Years",Table1[[#This Row],[YearsAtCompany]]&gt;5,"&gt;5 Years")</f>
        <v>&gt;5 Years</v>
      </c>
    </row>
    <row r="28" spans="1:39" hidden="1" x14ac:dyDescent="0.45">
      <c r="A28">
        <v>32</v>
      </c>
      <c r="B28" t="s">
        <v>35</v>
      </c>
      <c r="C28" t="s">
        <v>63</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_xlfn.IFS(Table1[[#This Row],[Age]]&lt;30,"Young",Table1[[#This Row],[Age]]&lt;=40,"Adult",Table1[[#This Row],[Age]]&gt;40,"Senior")</f>
        <v>Adult</v>
      </c>
      <c r="AK28" t="str" cm="1">
        <f t="array" ref="AK28">_xlfn.IFS(Table1[[#This Row],[MonthlyIncome]]&lt;5000,"Low",Table1[[#This Row],[MonthlyIncome]]&lt;10000,"Medium",Table1[[#This Row],[MonthlyIncome]]&gt;10000,"High")</f>
        <v>Low</v>
      </c>
      <c r="AL28" t="str" cm="1">
        <f t="array" ref="AL28">_xlfn.IFS(Table1[[#This Row],[Attrition]]="Yes","Resigned",Table1[[#This Row],[Attrition]]="No","Active")</f>
        <v>Resigned</v>
      </c>
      <c r="AM28" t="str" cm="1">
        <f t="array" ref="AM28">_xlfn.IFS(Table1[[#This Row],[YearsAtCompany]]&lt;=1,"0-1 Year",Table1[[#This Row],[YearsAtCompany]]&lt;=2,"1-2 Years",Table1[[#This Row],[YearsAtCompany]]&lt;=3,"2-3 Years",Table1[[#This Row],[YearsAtCompany]]&lt;=4,"3-4 Years",Table1[[#This Row],[YearsAtCompany]]&lt;=5,"4-5 Years",Table1[[#This Row],[YearsAtCompany]]&gt;5,"&gt;5 Years")</f>
        <v>&gt;5 Years</v>
      </c>
    </row>
    <row r="29" spans="1:39" x14ac:dyDescent="0.45">
      <c r="A29">
        <v>42</v>
      </c>
      <c r="B29" t="s">
        <v>43</v>
      </c>
      <c r="C29" t="s">
        <v>64</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_xlfn.IFS(Table1[[#This Row],[Age]]&lt;30,"Young",Table1[[#This Row],[Age]]&lt;=40,"Adult",Table1[[#This Row],[Age]]&gt;40,"Senior")</f>
        <v>Senior</v>
      </c>
      <c r="AK29" t="str" cm="1">
        <f t="array" ref="AK29">_xlfn.IFS(Table1[[#This Row],[MonthlyIncome]]&lt;5000,"Low",Table1[[#This Row],[MonthlyIncome]]&lt;10000,"Medium",Table1[[#This Row],[MonthlyIncome]]&gt;10000,"High")</f>
        <v>Medium</v>
      </c>
      <c r="AL29" t="str" cm="1">
        <f t="array" ref="AL29">_xlfn.IFS(Table1[[#This Row],[Attrition]]="Yes","Resigned",Table1[[#This Row],[Attrition]]="No","Active")</f>
        <v>Active</v>
      </c>
      <c r="AM29" t="str" cm="1">
        <f t="array" ref="AM29">_xlfn.IFS(Table1[[#This Row],[YearsAtCompany]]&lt;=1,"0-1 Year",Table1[[#This Row],[YearsAtCompany]]&lt;=2,"1-2 Years",Table1[[#This Row],[YearsAtCompany]]&lt;=3,"2-3 Years",Table1[[#This Row],[YearsAtCompany]]&lt;=4,"3-4 Years",Table1[[#This Row],[YearsAtCompany]]&lt;=5,"4-5 Years",Table1[[#This Row],[YearsAtCompany]]&gt;5,"&gt;5 Years")</f>
        <v>&gt;5 Years</v>
      </c>
    </row>
    <row r="30" spans="1:39" hidden="1" x14ac:dyDescent="0.45">
      <c r="A30">
        <v>44</v>
      </c>
      <c r="B30" t="s">
        <v>43</v>
      </c>
      <c r="C30" t="s">
        <v>64</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_xlfn.IFS(Table1[[#This Row],[Age]]&lt;30,"Young",Table1[[#This Row],[Age]]&lt;=40,"Adult",Table1[[#This Row],[Age]]&gt;40,"Senior")</f>
        <v>Senior</v>
      </c>
      <c r="AK30" t="str" cm="1">
        <f t="array" ref="AK30">_xlfn.IFS(Table1[[#This Row],[MonthlyIncome]]&lt;5000,"Low",Table1[[#This Row],[MonthlyIncome]]&lt;10000,"Medium",Table1[[#This Row],[MonthlyIncome]]&gt;10000,"High")</f>
        <v>High</v>
      </c>
      <c r="AL30" t="str" cm="1">
        <f t="array" ref="AL30">_xlfn.IFS(Table1[[#This Row],[Attrition]]="Yes","Resigned",Table1[[#This Row],[Attrition]]="No","Active")</f>
        <v>Active</v>
      </c>
      <c r="AM30" t="str" cm="1">
        <f t="array" ref="AM30">_xlfn.IFS(Table1[[#This Row],[YearsAtCompany]]&lt;=1,"0-1 Year",Table1[[#This Row],[YearsAtCompany]]&lt;=2,"1-2 Years",Table1[[#This Row],[YearsAtCompany]]&lt;=3,"2-3 Years",Table1[[#This Row],[YearsAtCompany]]&lt;=4,"3-4 Years",Table1[[#This Row],[YearsAtCompany]]&lt;=5,"4-5 Years",Table1[[#This Row],[YearsAtCompany]]&gt;5,"&gt;5 Years")</f>
        <v>&gt;5 Years</v>
      </c>
    </row>
    <row r="31" spans="1:39" x14ac:dyDescent="0.45">
      <c r="A31">
        <v>46</v>
      </c>
      <c r="B31" t="s">
        <v>43</v>
      </c>
      <c r="C31" t="s">
        <v>64</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_xlfn.IFS(Table1[[#This Row],[Age]]&lt;30,"Young",Table1[[#This Row],[Age]]&lt;=40,"Adult",Table1[[#This Row],[Age]]&gt;40,"Senior")</f>
        <v>Senior</v>
      </c>
      <c r="AK31" t="str" cm="1">
        <f t="array" ref="AK31">_xlfn.IFS(Table1[[#This Row],[MonthlyIncome]]&lt;5000,"Low",Table1[[#This Row],[MonthlyIncome]]&lt;10000,"Medium",Table1[[#This Row],[MonthlyIncome]]&gt;10000,"High")</f>
        <v>High</v>
      </c>
      <c r="AL31" t="str" cm="1">
        <f t="array" ref="AL31">_xlfn.IFS(Table1[[#This Row],[Attrition]]="Yes","Resigned",Table1[[#This Row],[Attrition]]="No","Active")</f>
        <v>Active</v>
      </c>
      <c r="AM31" t="str" cm="1">
        <f t="array" ref="AM31">_xlfn.IFS(Table1[[#This Row],[YearsAtCompany]]&lt;=1,"0-1 Year",Table1[[#This Row],[YearsAtCompany]]&lt;=2,"1-2 Years",Table1[[#This Row],[YearsAtCompany]]&lt;=3,"2-3 Years",Table1[[#This Row],[YearsAtCompany]]&lt;=4,"3-4 Years",Table1[[#This Row],[YearsAtCompany]]&lt;=5,"4-5 Years",Table1[[#This Row],[YearsAtCompany]]&gt;5,"&gt;5 Years")</f>
        <v>1-2 Years</v>
      </c>
    </row>
    <row r="32" spans="1:39" hidden="1" x14ac:dyDescent="0.45">
      <c r="A32">
        <v>33</v>
      </c>
      <c r="B32" t="s">
        <v>43</v>
      </c>
      <c r="C32" t="s">
        <v>64</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_xlfn.IFS(Table1[[#This Row],[Age]]&lt;30,"Young",Table1[[#This Row],[Age]]&lt;=40,"Adult",Table1[[#This Row],[Age]]&gt;40,"Senior")</f>
        <v>Adult</v>
      </c>
      <c r="AK32" t="str" cm="1">
        <f t="array" ref="AK32">_xlfn.IFS(Table1[[#This Row],[MonthlyIncome]]&lt;5000,"Low",Table1[[#This Row],[MonthlyIncome]]&lt;10000,"Medium",Table1[[#This Row],[MonthlyIncome]]&gt;10000,"High")</f>
        <v>Low</v>
      </c>
      <c r="AL32" t="str" cm="1">
        <f t="array" ref="AL32">_xlfn.IFS(Table1[[#This Row],[Attrition]]="Yes","Resigned",Table1[[#This Row],[Attrition]]="No","Active")</f>
        <v>Active</v>
      </c>
      <c r="AM32" t="str" cm="1">
        <f t="array" ref="AM32">_xlfn.IFS(Table1[[#This Row],[YearsAtCompany]]&lt;=1,"0-1 Year",Table1[[#This Row],[YearsAtCompany]]&lt;=2,"1-2 Years",Table1[[#This Row],[YearsAtCompany]]&lt;=3,"2-3 Years",Table1[[#This Row],[YearsAtCompany]]&lt;=4,"3-4 Years",Table1[[#This Row],[YearsAtCompany]]&lt;=5,"4-5 Years",Table1[[#This Row],[YearsAtCompany]]&gt;5,"&gt;5 Years")</f>
        <v>0-1 Year</v>
      </c>
    </row>
    <row r="33" spans="1:39" hidden="1" x14ac:dyDescent="0.45">
      <c r="A33">
        <v>44</v>
      </c>
      <c r="B33" t="s">
        <v>43</v>
      </c>
      <c r="C33" t="s">
        <v>64</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_xlfn.IFS(Table1[[#This Row],[Age]]&lt;30,"Young",Table1[[#This Row],[Age]]&lt;=40,"Adult",Table1[[#This Row],[Age]]&gt;40,"Senior")</f>
        <v>Senior</v>
      </c>
      <c r="AK33" t="str" cm="1">
        <f t="array" ref="AK33">_xlfn.IFS(Table1[[#This Row],[MonthlyIncome]]&lt;5000,"Low",Table1[[#This Row],[MonthlyIncome]]&lt;10000,"Medium",Table1[[#This Row],[MonthlyIncome]]&gt;10000,"High")</f>
        <v>Medium</v>
      </c>
      <c r="AL33" t="str" cm="1">
        <f t="array" ref="AL33">_xlfn.IFS(Table1[[#This Row],[Attrition]]="Yes","Resigned",Table1[[#This Row],[Attrition]]="No","Active")</f>
        <v>Active</v>
      </c>
      <c r="AM33" t="str" cm="1">
        <f t="array" ref="AM33">_xlfn.IFS(Table1[[#This Row],[YearsAtCompany]]&lt;=1,"0-1 Year",Table1[[#This Row],[YearsAtCompany]]&lt;=2,"1-2 Years",Table1[[#This Row],[YearsAtCompany]]&lt;=3,"2-3 Years",Table1[[#This Row],[YearsAtCompany]]&lt;=4,"3-4 Years",Table1[[#This Row],[YearsAtCompany]]&lt;=5,"4-5 Years",Table1[[#This Row],[YearsAtCompany]]&gt;5,"&gt;5 Years")</f>
        <v>3-4 Years</v>
      </c>
    </row>
    <row r="34" spans="1:39" hidden="1" x14ac:dyDescent="0.45">
      <c r="A34">
        <v>30</v>
      </c>
      <c r="B34" t="s">
        <v>43</v>
      </c>
      <c r="C34" t="s">
        <v>64</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_xlfn.IFS(Table1[[#This Row],[Age]]&lt;30,"Young",Table1[[#This Row],[Age]]&lt;=40,"Adult",Table1[[#This Row],[Age]]&gt;40,"Senior")</f>
        <v>Adult</v>
      </c>
      <c r="AK34" t="str" cm="1">
        <f t="array" ref="AK34">_xlfn.IFS(Table1[[#This Row],[MonthlyIncome]]&lt;5000,"Low",Table1[[#This Row],[MonthlyIncome]]&lt;10000,"Medium",Table1[[#This Row],[MonthlyIncome]]&gt;10000,"High")</f>
        <v>Low</v>
      </c>
      <c r="AL34" t="str" cm="1">
        <f t="array" ref="AL34">_xlfn.IFS(Table1[[#This Row],[Attrition]]="Yes","Resigned",Table1[[#This Row],[Attrition]]="No","Active")</f>
        <v>Active</v>
      </c>
      <c r="AM34" t="str" cm="1">
        <f t="array" ref="AM34">_xlfn.IFS(Table1[[#This Row],[YearsAtCompany]]&lt;=1,"0-1 Year",Table1[[#This Row],[YearsAtCompany]]&lt;=2,"1-2 Years",Table1[[#This Row],[YearsAtCompany]]&lt;=3,"2-3 Years",Table1[[#This Row],[YearsAtCompany]]&lt;=4,"3-4 Years",Table1[[#This Row],[YearsAtCompany]]&lt;=5,"4-5 Years",Table1[[#This Row],[YearsAtCompany]]&gt;5,"&gt;5 Years")</f>
        <v>&gt;5 Years</v>
      </c>
    </row>
    <row r="35" spans="1:39" x14ac:dyDescent="0.45">
      <c r="A35">
        <v>39</v>
      </c>
      <c r="B35" t="s">
        <v>35</v>
      </c>
      <c r="C35" t="s">
        <v>64</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_xlfn.IFS(Table1[[#This Row],[Age]]&lt;30,"Young",Table1[[#This Row],[Age]]&lt;=40,"Adult",Table1[[#This Row],[Age]]&gt;40,"Senior")</f>
        <v>Adult</v>
      </c>
      <c r="AK35" t="str" cm="1">
        <f t="array" ref="AK35">_xlfn.IFS(Table1[[#This Row],[MonthlyIncome]]&lt;5000,"Low",Table1[[#This Row],[MonthlyIncome]]&lt;10000,"Medium",Table1[[#This Row],[MonthlyIncome]]&gt;10000,"High")</f>
        <v>Low</v>
      </c>
      <c r="AL35" t="str" cm="1">
        <f t="array" ref="AL35">_xlfn.IFS(Table1[[#This Row],[Attrition]]="Yes","Resigned",Table1[[#This Row],[Attrition]]="No","Active")</f>
        <v>Resigned</v>
      </c>
      <c r="AM35" t="str" cm="1">
        <f t="array" ref="AM35">_xlfn.IFS(Table1[[#This Row],[YearsAtCompany]]&lt;=1,"0-1 Year",Table1[[#This Row],[YearsAtCompany]]&lt;=2,"1-2 Years",Table1[[#This Row],[YearsAtCompany]]&lt;=3,"2-3 Years",Table1[[#This Row],[YearsAtCompany]]&lt;=4,"3-4 Years",Table1[[#This Row],[YearsAtCompany]]&lt;=5,"4-5 Years",Table1[[#This Row],[YearsAtCompany]]&gt;5,"&gt;5 Years")</f>
        <v>0-1 Year</v>
      </c>
    </row>
    <row r="36" spans="1:39" hidden="1" x14ac:dyDescent="0.45">
      <c r="A36">
        <v>24</v>
      </c>
      <c r="B36" t="s">
        <v>35</v>
      </c>
      <c r="C36" t="s">
        <v>64</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_xlfn.IFS(Table1[[#This Row],[Age]]&lt;30,"Young",Table1[[#This Row],[Age]]&lt;=40,"Adult",Table1[[#This Row],[Age]]&gt;40,"Senior")</f>
        <v>Young</v>
      </c>
      <c r="AK36" t="str" cm="1">
        <f t="array" ref="AK36">_xlfn.IFS(Table1[[#This Row],[MonthlyIncome]]&lt;5000,"Low",Table1[[#This Row],[MonthlyIncome]]&lt;10000,"Medium",Table1[[#This Row],[MonthlyIncome]]&gt;10000,"High")</f>
        <v>Low</v>
      </c>
      <c r="AL36" t="str" cm="1">
        <f t="array" ref="AL36">_xlfn.IFS(Table1[[#This Row],[Attrition]]="Yes","Resigned",Table1[[#This Row],[Attrition]]="No","Active")</f>
        <v>Resigned</v>
      </c>
      <c r="AM36" t="str" cm="1">
        <f t="array" ref="AM36">_xlfn.IFS(Table1[[#This Row],[YearsAtCompany]]&lt;=1,"0-1 Year",Table1[[#This Row],[YearsAtCompany]]&lt;=2,"1-2 Years",Table1[[#This Row],[YearsAtCompany]]&lt;=3,"2-3 Years",Table1[[#This Row],[YearsAtCompany]]&lt;=4,"3-4 Years",Table1[[#This Row],[YearsAtCompany]]&lt;=5,"4-5 Years",Table1[[#This Row],[YearsAtCompany]]&gt;5,"&gt;5 Years")</f>
        <v>1-2 Years</v>
      </c>
    </row>
    <row r="37" spans="1:39" hidden="1" x14ac:dyDescent="0.45">
      <c r="A37">
        <v>43</v>
      </c>
      <c r="B37" t="s">
        <v>43</v>
      </c>
      <c r="C37" t="s">
        <v>64</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_xlfn.IFS(Table1[[#This Row],[Age]]&lt;30,"Young",Table1[[#This Row],[Age]]&lt;=40,"Adult",Table1[[#This Row],[Age]]&gt;40,"Senior")</f>
        <v>Senior</v>
      </c>
      <c r="AK37" t="str" cm="1">
        <f t="array" ref="AK37">_xlfn.IFS(Table1[[#This Row],[MonthlyIncome]]&lt;5000,"Low",Table1[[#This Row],[MonthlyIncome]]&lt;10000,"Medium",Table1[[#This Row],[MonthlyIncome]]&gt;10000,"High")</f>
        <v>Low</v>
      </c>
      <c r="AL37" t="str" cm="1">
        <f t="array" ref="AL37">_xlfn.IFS(Table1[[#This Row],[Attrition]]="Yes","Resigned",Table1[[#This Row],[Attrition]]="No","Active")</f>
        <v>Active</v>
      </c>
      <c r="AM37" t="str" cm="1">
        <f t="array" ref="AM37">_xlfn.IFS(Table1[[#This Row],[YearsAtCompany]]&lt;=1,"0-1 Year",Table1[[#This Row],[YearsAtCompany]]&lt;=2,"1-2 Years",Table1[[#This Row],[YearsAtCompany]]&lt;=3,"2-3 Years",Table1[[#This Row],[YearsAtCompany]]&lt;=4,"3-4 Years",Table1[[#This Row],[YearsAtCompany]]&lt;=5,"4-5 Years",Table1[[#This Row],[YearsAtCompany]]&gt;5,"&gt;5 Years")</f>
        <v>4-5 Years</v>
      </c>
    </row>
    <row r="38" spans="1:39" x14ac:dyDescent="0.45">
      <c r="A38">
        <v>50</v>
      </c>
      <c r="B38" t="s">
        <v>35</v>
      </c>
      <c r="C38" t="s">
        <v>64</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_xlfn.IFS(Table1[[#This Row],[Age]]&lt;30,"Young",Table1[[#This Row],[Age]]&lt;=40,"Adult",Table1[[#This Row],[Age]]&gt;40,"Senior")</f>
        <v>Senior</v>
      </c>
      <c r="AK38" t="str" cm="1">
        <f t="array" ref="AK38">_xlfn.IFS(Table1[[#This Row],[MonthlyIncome]]&lt;5000,"Low",Table1[[#This Row],[MonthlyIncome]]&lt;10000,"Medium",Table1[[#This Row],[MonthlyIncome]]&gt;10000,"High")</f>
        <v>Low</v>
      </c>
      <c r="AL38" t="str" cm="1">
        <f t="array" ref="AL38">_xlfn.IFS(Table1[[#This Row],[Attrition]]="Yes","Resigned",Table1[[#This Row],[Attrition]]="No","Active")</f>
        <v>Resigned</v>
      </c>
      <c r="AM38" t="str" cm="1">
        <f t="array" ref="AM38">_xlfn.IFS(Table1[[#This Row],[YearsAtCompany]]&lt;=1,"0-1 Year",Table1[[#This Row],[YearsAtCompany]]&lt;=2,"1-2 Years",Table1[[#This Row],[YearsAtCompany]]&lt;=3,"2-3 Years",Table1[[#This Row],[YearsAtCompany]]&lt;=4,"3-4 Years",Table1[[#This Row],[YearsAtCompany]]&lt;=5,"4-5 Years",Table1[[#This Row],[YearsAtCompany]]&gt;5,"&gt;5 Years")</f>
        <v>2-3 Years</v>
      </c>
    </row>
    <row r="39" spans="1:39" x14ac:dyDescent="0.45">
      <c r="A39">
        <v>35</v>
      </c>
      <c r="B39" t="s">
        <v>43</v>
      </c>
      <c r="C39" t="s">
        <v>64</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_xlfn.IFS(Table1[[#This Row],[Age]]&lt;30,"Young",Table1[[#This Row],[Age]]&lt;=40,"Adult",Table1[[#This Row],[Age]]&gt;40,"Senior")</f>
        <v>Adult</v>
      </c>
      <c r="AK39" t="str" cm="1">
        <f t="array" ref="AK39">_xlfn.IFS(Table1[[#This Row],[MonthlyIncome]]&lt;5000,"Low",Table1[[#This Row],[MonthlyIncome]]&lt;10000,"Medium",Table1[[#This Row],[MonthlyIncome]]&gt;10000,"High")</f>
        <v>Low</v>
      </c>
      <c r="AL39" t="str" cm="1">
        <f t="array" ref="AL39">_xlfn.IFS(Table1[[#This Row],[Attrition]]="Yes","Resigned",Table1[[#This Row],[Attrition]]="No","Active")</f>
        <v>Active</v>
      </c>
      <c r="AM39" t="str" cm="1">
        <f t="array" ref="AM39">_xlfn.IFS(Table1[[#This Row],[YearsAtCompany]]&lt;=1,"0-1 Year",Table1[[#This Row],[YearsAtCompany]]&lt;=2,"1-2 Years",Table1[[#This Row],[YearsAtCompany]]&lt;=3,"2-3 Years",Table1[[#This Row],[YearsAtCompany]]&lt;=4,"3-4 Years",Table1[[#This Row],[YearsAtCompany]]&lt;=5,"4-5 Years",Table1[[#This Row],[YearsAtCompany]]&gt;5,"&gt;5 Years")</f>
        <v>1-2 Years</v>
      </c>
    </row>
    <row r="40" spans="1:39" hidden="1" x14ac:dyDescent="0.45">
      <c r="A40">
        <v>36</v>
      </c>
      <c r="B40" t="s">
        <v>43</v>
      </c>
      <c r="C40" t="s">
        <v>64</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_xlfn.IFS(Table1[[#This Row],[Age]]&lt;30,"Young",Table1[[#This Row],[Age]]&lt;=40,"Adult",Table1[[#This Row],[Age]]&gt;40,"Senior")</f>
        <v>Adult</v>
      </c>
      <c r="AK40" t="str" cm="1">
        <f t="array" ref="AK40">_xlfn.IFS(Table1[[#This Row],[MonthlyIncome]]&lt;5000,"Low",Table1[[#This Row],[MonthlyIncome]]&lt;10000,"Medium",Table1[[#This Row],[MonthlyIncome]]&gt;10000,"High")</f>
        <v>Low</v>
      </c>
      <c r="AL40" t="str" cm="1">
        <f t="array" ref="AL40">_xlfn.IFS(Table1[[#This Row],[Attrition]]="Yes","Resigned",Table1[[#This Row],[Attrition]]="No","Active")</f>
        <v>Active</v>
      </c>
      <c r="AM40" t="str" cm="1">
        <f t="array" ref="AM40">_xlfn.IFS(Table1[[#This Row],[YearsAtCompany]]&lt;=1,"0-1 Year",Table1[[#This Row],[YearsAtCompany]]&lt;=2,"1-2 Years",Table1[[#This Row],[YearsAtCompany]]&lt;=3,"2-3 Years",Table1[[#This Row],[YearsAtCompany]]&lt;=4,"3-4 Years",Table1[[#This Row],[YearsAtCompany]]&lt;=5,"4-5 Years",Table1[[#This Row],[YearsAtCompany]]&gt;5,"&gt;5 Years")</f>
        <v>0-1 Year</v>
      </c>
    </row>
    <row r="41" spans="1:39" x14ac:dyDescent="0.45">
      <c r="A41">
        <v>33</v>
      </c>
      <c r="B41" t="s">
        <v>43</v>
      </c>
      <c r="C41" t="s">
        <v>63</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_xlfn.IFS(Table1[[#This Row],[Age]]&lt;30,"Young",Table1[[#This Row],[Age]]&lt;=40,"Adult",Table1[[#This Row],[Age]]&gt;40,"Senior")</f>
        <v>Adult</v>
      </c>
      <c r="AK41" t="str" cm="1">
        <f t="array" ref="AK41">_xlfn.IFS(Table1[[#This Row],[MonthlyIncome]]&lt;5000,"Low",Table1[[#This Row],[MonthlyIncome]]&lt;10000,"Medium",Table1[[#This Row],[MonthlyIncome]]&gt;10000,"High")</f>
        <v>Medium</v>
      </c>
      <c r="AL41" t="str" cm="1">
        <f t="array" ref="AL41">_xlfn.IFS(Table1[[#This Row],[Attrition]]="Yes","Resigned",Table1[[#This Row],[Attrition]]="No","Active")</f>
        <v>Active</v>
      </c>
      <c r="AM41" t="str" cm="1">
        <f t="array" ref="AM41">_xlfn.IFS(Table1[[#This Row],[YearsAtCompany]]&lt;=1,"0-1 Year",Table1[[#This Row],[YearsAtCompany]]&lt;=2,"1-2 Years",Table1[[#This Row],[YearsAtCompany]]&lt;=3,"2-3 Years",Table1[[#This Row],[YearsAtCompany]]&lt;=4,"3-4 Years",Table1[[#This Row],[YearsAtCompany]]&lt;=5,"4-5 Years",Table1[[#This Row],[YearsAtCompany]]&gt;5,"&gt;5 Years")</f>
        <v>4-5 Years</v>
      </c>
    </row>
    <row r="42" spans="1:39" hidden="1" x14ac:dyDescent="0.45">
      <c r="A42">
        <v>35</v>
      </c>
      <c r="B42" t="s">
        <v>43</v>
      </c>
      <c r="C42" t="s">
        <v>64</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_xlfn.IFS(Table1[[#This Row],[Age]]&lt;30,"Young",Table1[[#This Row],[Age]]&lt;=40,"Adult",Table1[[#This Row],[Age]]&gt;40,"Senior")</f>
        <v>Adult</v>
      </c>
      <c r="AK42" t="str" cm="1">
        <f t="array" ref="AK42">_xlfn.IFS(Table1[[#This Row],[MonthlyIncome]]&lt;5000,"Low",Table1[[#This Row],[MonthlyIncome]]&lt;10000,"Medium",Table1[[#This Row],[MonthlyIncome]]&gt;10000,"High")</f>
        <v>Low</v>
      </c>
      <c r="AL42" t="str" cm="1">
        <f t="array" ref="AL42">_xlfn.IFS(Table1[[#This Row],[Attrition]]="Yes","Resigned",Table1[[#This Row],[Attrition]]="No","Active")</f>
        <v>Active</v>
      </c>
      <c r="AM42" t="str" cm="1">
        <f t="array" ref="AM42">_xlfn.IFS(Table1[[#This Row],[YearsAtCompany]]&lt;=1,"0-1 Year",Table1[[#This Row],[YearsAtCompany]]&lt;=2,"1-2 Years",Table1[[#This Row],[YearsAtCompany]]&lt;=3,"2-3 Years",Table1[[#This Row],[YearsAtCompany]]&lt;=4,"3-4 Years",Table1[[#This Row],[YearsAtCompany]]&lt;=5,"4-5 Years",Table1[[#This Row],[YearsAtCompany]]&gt;5,"&gt;5 Years")</f>
        <v>0-1 Year</v>
      </c>
    </row>
    <row r="43" spans="1:39" hidden="1" x14ac:dyDescent="0.45">
      <c r="A43">
        <v>27</v>
      </c>
      <c r="B43" t="s">
        <v>43</v>
      </c>
      <c r="C43" t="s">
        <v>64</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_xlfn.IFS(Table1[[#This Row],[Age]]&lt;30,"Young",Table1[[#This Row],[Age]]&lt;=40,"Adult",Table1[[#This Row],[Age]]&gt;40,"Senior")</f>
        <v>Young</v>
      </c>
      <c r="AK43" t="str" cm="1">
        <f t="array" ref="AK43">_xlfn.IFS(Table1[[#This Row],[MonthlyIncome]]&lt;5000,"Low",Table1[[#This Row],[MonthlyIncome]]&lt;10000,"Medium",Table1[[#This Row],[MonthlyIncome]]&gt;10000,"High")</f>
        <v>Low</v>
      </c>
      <c r="AL43" t="str" cm="1">
        <f t="array" ref="AL43">_xlfn.IFS(Table1[[#This Row],[Attrition]]="Yes","Resigned",Table1[[#This Row],[Attrition]]="No","Active")</f>
        <v>Active</v>
      </c>
      <c r="AM43" t="str" cm="1">
        <f t="array" ref="AM43">_xlfn.IFS(Table1[[#This Row],[YearsAtCompany]]&lt;=1,"0-1 Year",Table1[[#This Row],[YearsAtCompany]]&lt;=2,"1-2 Years",Table1[[#This Row],[YearsAtCompany]]&lt;=3,"2-3 Years",Table1[[#This Row],[YearsAtCompany]]&lt;=4,"3-4 Years",Table1[[#This Row],[YearsAtCompany]]&lt;=5,"4-5 Years",Table1[[#This Row],[YearsAtCompany]]&gt;5,"&gt;5 Years")</f>
        <v>0-1 Year</v>
      </c>
    </row>
    <row r="44" spans="1:39" hidden="1" x14ac:dyDescent="0.45">
      <c r="A44">
        <v>26</v>
      </c>
      <c r="B44" t="s">
        <v>35</v>
      </c>
      <c r="C44" t="s">
        <v>64</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_xlfn.IFS(Table1[[#This Row],[Age]]&lt;30,"Young",Table1[[#This Row],[Age]]&lt;=40,"Adult",Table1[[#This Row],[Age]]&gt;40,"Senior")</f>
        <v>Young</v>
      </c>
      <c r="AK44" t="str" cm="1">
        <f t="array" ref="AK44">_xlfn.IFS(Table1[[#This Row],[MonthlyIncome]]&lt;5000,"Low",Table1[[#This Row],[MonthlyIncome]]&lt;10000,"Medium",Table1[[#This Row],[MonthlyIncome]]&gt;10000,"High")</f>
        <v>Low</v>
      </c>
      <c r="AL44" t="str" cm="1">
        <f t="array" ref="AL44">_xlfn.IFS(Table1[[#This Row],[Attrition]]="Yes","Resigned",Table1[[#This Row],[Attrition]]="No","Active")</f>
        <v>Resigned</v>
      </c>
      <c r="AM44" t="str" cm="1">
        <f t="array" ref="AM44">_xlfn.IFS(Table1[[#This Row],[YearsAtCompany]]&lt;=1,"0-1 Year",Table1[[#This Row],[YearsAtCompany]]&lt;=2,"1-2 Years",Table1[[#This Row],[YearsAtCompany]]&lt;=3,"2-3 Years",Table1[[#This Row],[YearsAtCompany]]&lt;=4,"3-4 Years",Table1[[#This Row],[YearsAtCompany]]&lt;=5,"4-5 Years",Table1[[#This Row],[YearsAtCompany]]&gt;5,"&gt;5 Years")</f>
        <v>0-1 Year</v>
      </c>
    </row>
    <row r="45" spans="1:39" x14ac:dyDescent="0.45">
      <c r="A45">
        <v>27</v>
      </c>
      <c r="B45" t="s">
        <v>43</v>
      </c>
      <c r="C45" t="s">
        <v>63</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_xlfn.IFS(Table1[[#This Row],[Age]]&lt;30,"Young",Table1[[#This Row],[Age]]&lt;=40,"Adult",Table1[[#This Row],[Age]]&gt;40,"Senior")</f>
        <v>Young</v>
      </c>
      <c r="AK45" t="str" cm="1">
        <f t="array" ref="AK45">_xlfn.IFS(Table1[[#This Row],[MonthlyIncome]]&lt;5000,"Low",Table1[[#This Row],[MonthlyIncome]]&lt;10000,"Medium",Table1[[#This Row],[MonthlyIncome]]&gt;10000,"High")</f>
        <v>Medium</v>
      </c>
      <c r="AL45" t="str" cm="1">
        <f t="array" ref="AL45">_xlfn.IFS(Table1[[#This Row],[Attrition]]="Yes","Resigned",Table1[[#This Row],[Attrition]]="No","Active")</f>
        <v>Active</v>
      </c>
      <c r="AM45" t="str" cm="1">
        <f t="array" ref="AM45">_xlfn.IFS(Table1[[#This Row],[YearsAtCompany]]&lt;=1,"0-1 Year",Table1[[#This Row],[YearsAtCompany]]&lt;=2,"1-2 Years",Table1[[#This Row],[YearsAtCompany]]&lt;=3,"2-3 Years",Table1[[#This Row],[YearsAtCompany]]&lt;=4,"3-4 Years",Table1[[#This Row],[YearsAtCompany]]&lt;=5,"4-5 Years",Table1[[#This Row],[YearsAtCompany]]&gt;5,"&gt;5 Years")</f>
        <v>&gt;5 Years</v>
      </c>
    </row>
    <row r="46" spans="1:39" hidden="1" x14ac:dyDescent="0.45">
      <c r="A46">
        <v>30</v>
      </c>
      <c r="B46" t="s">
        <v>43</v>
      </c>
      <c r="C46" t="s">
        <v>63</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_xlfn.IFS(Table1[[#This Row],[Age]]&lt;30,"Young",Table1[[#This Row],[Age]]&lt;=40,"Adult",Table1[[#This Row],[Age]]&gt;40,"Senior")</f>
        <v>Adult</v>
      </c>
      <c r="AK46" t="str" cm="1">
        <f t="array" ref="AK46">_xlfn.IFS(Table1[[#This Row],[MonthlyIncome]]&lt;5000,"Low",Table1[[#This Row],[MonthlyIncome]]&lt;10000,"Medium",Table1[[#This Row],[MonthlyIncome]]&gt;10000,"High")</f>
        <v>Low</v>
      </c>
      <c r="AL46" t="str" cm="1">
        <f t="array" ref="AL46">_xlfn.IFS(Table1[[#This Row],[Attrition]]="Yes","Resigned",Table1[[#This Row],[Attrition]]="No","Active")</f>
        <v>Active</v>
      </c>
      <c r="AM46" t="str" cm="1">
        <f t="array" ref="AM46">_xlfn.IFS(Table1[[#This Row],[YearsAtCompany]]&lt;=1,"0-1 Year",Table1[[#This Row],[YearsAtCompany]]&lt;=2,"1-2 Years",Table1[[#This Row],[YearsAtCompany]]&lt;=3,"2-3 Years",Table1[[#This Row],[YearsAtCompany]]&lt;=4,"3-4 Years",Table1[[#This Row],[YearsAtCompany]]&lt;=5,"4-5 Years",Table1[[#This Row],[YearsAtCompany]]&gt;5,"&gt;5 Years")</f>
        <v>&gt;5 Years</v>
      </c>
    </row>
    <row r="47" spans="1:39" hidden="1" x14ac:dyDescent="0.45">
      <c r="A47">
        <v>41</v>
      </c>
      <c r="B47" t="s">
        <v>35</v>
      </c>
      <c r="C47" t="s">
        <v>64</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_xlfn.IFS(Table1[[#This Row],[Age]]&lt;30,"Young",Table1[[#This Row],[Age]]&lt;=40,"Adult",Table1[[#This Row],[Age]]&gt;40,"Senior")</f>
        <v>Senior</v>
      </c>
      <c r="AK47" t="str" cm="1">
        <f t="array" ref="AK47">_xlfn.IFS(Table1[[#This Row],[MonthlyIncome]]&lt;5000,"Low",Table1[[#This Row],[MonthlyIncome]]&lt;10000,"Medium",Table1[[#This Row],[MonthlyIncome]]&gt;10000,"High")</f>
        <v>High</v>
      </c>
      <c r="AL47" t="str" cm="1">
        <f t="array" ref="AL47">_xlfn.IFS(Table1[[#This Row],[Attrition]]="Yes","Resigned",Table1[[#This Row],[Attrition]]="No","Active")</f>
        <v>Resigned</v>
      </c>
      <c r="AM47" t="str" cm="1">
        <f t="array" ref="AM47">_xlfn.IFS(Table1[[#This Row],[YearsAtCompany]]&lt;=1,"0-1 Year",Table1[[#This Row],[YearsAtCompany]]&lt;=2,"1-2 Years",Table1[[#This Row],[YearsAtCompany]]&lt;=3,"2-3 Years",Table1[[#This Row],[YearsAtCompany]]&lt;=4,"3-4 Years",Table1[[#This Row],[YearsAtCompany]]&lt;=5,"4-5 Years",Table1[[#This Row],[YearsAtCompany]]&gt;5,"&gt;5 Years")</f>
        <v>&gt;5 Years</v>
      </c>
    </row>
    <row r="48" spans="1:39" x14ac:dyDescent="0.45">
      <c r="A48">
        <v>34</v>
      </c>
      <c r="B48" t="s">
        <v>43</v>
      </c>
      <c r="C48" t="s">
        <v>62</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_xlfn.IFS(Table1[[#This Row],[Age]]&lt;30,"Young",Table1[[#This Row],[Age]]&lt;=40,"Adult",Table1[[#This Row],[Age]]&gt;40,"Senior")</f>
        <v>Adult</v>
      </c>
      <c r="AK48" t="str" cm="1">
        <f t="array" ref="AK48">_xlfn.IFS(Table1[[#This Row],[MonthlyIncome]]&lt;5000,"Low",Table1[[#This Row],[MonthlyIncome]]&lt;10000,"Medium",Table1[[#This Row],[MonthlyIncome]]&gt;10000,"High")</f>
        <v>Low</v>
      </c>
      <c r="AL48" t="str" cm="1">
        <f t="array" ref="AL48">_xlfn.IFS(Table1[[#This Row],[Attrition]]="Yes","Resigned",Table1[[#This Row],[Attrition]]="No","Active")</f>
        <v>Active</v>
      </c>
      <c r="AM48" t="str" cm="1">
        <f t="array" ref="AM48">_xlfn.IFS(Table1[[#This Row],[YearsAtCompany]]&lt;=1,"0-1 Year",Table1[[#This Row],[YearsAtCompany]]&lt;=2,"1-2 Years",Table1[[#This Row],[YearsAtCompany]]&lt;=3,"2-3 Years",Table1[[#This Row],[YearsAtCompany]]&lt;=4,"3-4 Years",Table1[[#This Row],[YearsAtCompany]]&lt;=5,"4-5 Years",Table1[[#This Row],[YearsAtCompany]]&gt;5,"&gt;5 Years")</f>
        <v>&gt;5 Years</v>
      </c>
    </row>
    <row r="49" spans="1:39" hidden="1" x14ac:dyDescent="0.45">
      <c r="A49">
        <v>37</v>
      </c>
      <c r="B49" t="s">
        <v>43</v>
      </c>
      <c r="C49" t="s">
        <v>64</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_xlfn.IFS(Table1[[#This Row],[Age]]&lt;30,"Young",Table1[[#This Row],[Age]]&lt;=40,"Adult",Table1[[#This Row],[Age]]&gt;40,"Senior")</f>
        <v>Adult</v>
      </c>
      <c r="AK49" t="str" cm="1">
        <f t="array" ref="AK49">_xlfn.IFS(Table1[[#This Row],[MonthlyIncome]]&lt;5000,"Low",Table1[[#This Row],[MonthlyIncome]]&lt;10000,"Medium",Table1[[#This Row],[MonthlyIncome]]&gt;10000,"High")</f>
        <v>Low</v>
      </c>
      <c r="AL49" t="str" cm="1">
        <f t="array" ref="AL49">_xlfn.IFS(Table1[[#This Row],[Attrition]]="Yes","Resigned",Table1[[#This Row],[Attrition]]="No","Active")</f>
        <v>Active</v>
      </c>
      <c r="AM49" t="str" cm="1">
        <f t="array" ref="AM49">_xlfn.IFS(Table1[[#This Row],[YearsAtCompany]]&lt;=1,"0-1 Year",Table1[[#This Row],[YearsAtCompany]]&lt;=2,"1-2 Years",Table1[[#This Row],[YearsAtCompany]]&lt;=3,"2-3 Years",Table1[[#This Row],[YearsAtCompany]]&lt;=4,"3-4 Years",Table1[[#This Row],[YearsAtCompany]]&lt;=5,"4-5 Years",Table1[[#This Row],[YearsAtCompany]]&gt;5,"&gt;5 Years")</f>
        <v>0-1 Year</v>
      </c>
    </row>
    <row r="50" spans="1:39" x14ac:dyDescent="0.45">
      <c r="A50">
        <v>46</v>
      </c>
      <c r="B50" t="s">
        <v>43</v>
      </c>
      <c r="C50" t="s">
        <v>63</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_xlfn.IFS(Table1[[#This Row],[Age]]&lt;30,"Young",Table1[[#This Row],[Age]]&lt;=40,"Adult",Table1[[#This Row],[Age]]&gt;40,"Senior")</f>
        <v>Senior</v>
      </c>
      <c r="AK50" t="str" cm="1">
        <f t="array" ref="AK50">_xlfn.IFS(Table1[[#This Row],[MonthlyIncome]]&lt;5000,"Low",Table1[[#This Row],[MonthlyIncome]]&lt;10000,"Medium",Table1[[#This Row],[MonthlyIncome]]&gt;10000,"High")</f>
        <v>Medium</v>
      </c>
      <c r="AL50" t="str" cm="1">
        <f t="array" ref="AL50">_xlfn.IFS(Table1[[#This Row],[Attrition]]="Yes","Resigned",Table1[[#This Row],[Attrition]]="No","Active")</f>
        <v>Active</v>
      </c>
      <c r="AM50" t="str" cm="1">
        <f t="array" ref="AM50">_xlfn.IFS(Table1[[#This Row],[YearsAtCompany]]&lt;=1,"0-1 Year",Table1[[#This Row],[YearsAtCompany]]&lt;=2,"1-2 Years",Table1[[#This Row],[YearsAtCompany]]&lt;=3,"2-3 Years",Table1[[#This Row],[YearsAtCompany]]&lt;=4,"3-4 Years",Table1[[#This Row],[YearsAtCompany]]&lt;=5,"4-5 Years",Table1[[#This Row],[YearsAtCompany]]&gt;5,"&gt;5 Years")</f>
        <v>&gt;5 Years</v>
      </c>
    </row>
    <row r="51" spans="1:39" hidden="1" x14ac:dyDescent="0.45">
      <c r="A51">
        <v>35</v>
      </c>
      <c r="B51" t="s">
        <v>43</v>
      </c>
      <c r="C51" t="s">
        <v>64</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_xlfn.IFS(Table1[[#This Row],[Age]]&lt;30,"Young",Table1[[#This Row],[Age]]&lt;=40,"Adult",Table1[[#This Row],[Age]]&gt;40,"Senior")</f>
        <v>Adult</v>
      </c>
      <c r="AK51" t="str" cm="1">
        <f t="array" ref="AK51">_xlfn.IFS(Table1[[#This Row],[MonthlyIncome]]&lt;5000,"Low",Table1[[#This Row],[MonthlyIncome]]&lt;10000,"Medium",Table1[[#This Row],[MonthlyIncome]]&gt;10000,"High")</f>
        <v>Low</v>
      </c>
      <c r="AL51" t="str" cm="1">
        <f t="array" ref="AL51">_xlfn.IFS(Table1[[#This Row],[Attrition]]="Yes","Resigned",Table1[[#This Row],[Attrition]]="No","Active")</f>
        <v>Active</v>
      </c>
      <c r="AM51" t="str" cm="1">
        <f t="array" ref="AM51">_xlfn.IFS(Table1[[#This Row],[YearsAtCompany]]&lt;=1,"0-1 Year",Table1[[#This Row],[YearsAtCompany]]&lt;=2,"1-2 Years",Table1[[#This Row],[YearsAtCompany]]&lt;=3,"2-3 Years",Table1[[#This Row],[YearsAtCompany]]&lt;=4,"3-4 Years",Table1[[#This Row],[YearsAtCompany]]&lt;=5,"4-5 Years",Table1[[#This Row],[YearsAtCompany]]&gt;5,"&gt;5 Years")</f>
        <v>0-1 Year</v>
      </c>
    </row>
    <row r="52" spans="1:39" hidden="1" x14ac:dyDescent="0.45">
      <c r="A52">
        <v>48</v>
      </c>
      <c r="B52" t="s">
        <v>35</v>
      </c>
      <c r="C52" t="s">
        <v>64</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_xlfn.IFS(Table1[[#This Row],[Age]]&lt;30,"Young",Table1[[#This Row],[Age]]&lt;=40,"Adult",Table1[[#This Row],[Age]]&gt;40,"Senior")</f>
        <v>Senior</v>
      </c>
      <c r="AK52" t="str" cm="1">
        <f t="array" ref="AK52">_xlfn.IFS(Table1[[#This Row],[MonthlyIncome]]&lt;5000,"Low",Table1[[#This Row],[MonthlyIncome]]&lt;10000,"Medium",Table1[[#This Row],[MonthlyIncome]]&gt;10000,"High")</f>
        <v>Medium</v>
      </c>
      <c r="AL52" t="str" cm="1">
        <f t="array" ref="AL52">_xlfn.IFS(Table1[[#This Row],[Attrition]]="Yes","Resigned",Table1[[#This Row],[Attrition]]="No","Active")</f>
        <v>Resigned</v>
      </c>
      <c r="AM52" t="str" cm="1">
        <f t="array" ref="AM52">_xlfn.IFS(Table1[[#This Row],[YearsAtCompany]]&lt;=1,"0-1 Year",Table1[[#This Row],[YearsAtCompany]]&lt;=2,"1-2 Years",Table1[[#This Row],[YearsAtCompany]]&lt;=3,"2-3 Years",Table1[[#This Row],[YearsAtCompany]]&lt;=4,"3-4 Years",Table1[[#This Row],[YearsAtCompany]]&lt;=5,"4-5 Years",Table1[[#This Row],[YearsAtCompany]]&gt;5,"&gt;5 Years")</f>
        <v>0-1 Year</v>
      </c>
    </row>
    <row r="53" spans="1:39" hidden="1" x14ac:dyDescent="0.45">
      <c r="A53">
        <v>28</v>
      </c>
      <c r="B53" t="s">
        <v>35</v>
      </c>
      <c r="C53" t="s">
        <v>64</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_xlfn.IFS(Table1[[#This Row],[Age]]&lt;30,"Young",Table1[[#This Row],[Age]]&lt;=40,"Adult",Table1[[#This Row],[Age]]&gt;40,"Senior")</f>
        <v>Young</v>
      </c>
      <c r="AK53" t="str" cm="1">
        <f t="array" ref="AK53">_xlfn.IFS(Table1[[#This Row],[MonthlyIncome]]&lt;5000,"Low",Table1[[#This Row],[MonthlyIncome]]&lt;10000,"Medium",Table1[[#This Row],[MonthlyIncome]]&gt;10000,"High")</f>
        <v>Low</v>
      </c>
      <c r="AL53" t="str" cm="1">
        <f t="array" ref="AL53">_xlfn.IFS(Table1[[#This Row],[Attrition]]="Yes","Resigned",Table1[[#This Row],[Attrition]]="No","Active")</f>
        <v>Resigned</v>
      </c>
      <c r="AM53" t="str" cm="1">
        <f t="array" ref="AM53">_xlfn.IFS(Table1[[#This Row],[YearsAtCompany]]&lt;=1,"0-1 Year",Table1[[#This Row],[YearsAtCompany]]&lt;=2,"1-2 Years",Table1[[#This Row],[YearsAtCompany]]&lt;=3,"2-3 Years",Table1[[#This Row],[YearsAtCompany]]&lt;=4,"3-4 Years",Table1[[#This Row],[YearsAtCompany]]&lt;=5,"4-5 Years",Table1[[#This Row],[YearsAtCompany]]&gt;5,"&gt;5 Years")</f>
        <v>1-2 Years</v>
      </c>
    </row>
    <row r="54" spans="1:39" x14ac:dyDescent="0.45">
      <c r="A54">
        <v>44</v>
      </c>
      <c r="B54" t="s">
        <v>43</v>
      </c>
      <c r="C54" t="s">
        <v>64</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_xlfn.IFS(Table1[[#This Row],[Age]]&lt;30,"Young",Table1[[#This Row],[Age]]&lt;=40,"Adult",Table1[[#This Row],[Age]]&gt;40,"Senior")</f>
        <v>Senior</v>
      </c>
      <c r="AK54" t="str" cm="1">
        <f t="array" ref="AK54">_xlfn.IFS(Table1[[#This Row],[MonthlyIncome]]&lt;5000,"Low",Table1[[#This Row],[MonthlyIncome]]&lt;10000,"Medium",Table1[[#This Row],[MonthlyIncome]]&gt;10000,"High")</f>
        <v>Medium</v>
      </c>
      <c r="AL54" t="str" cm="1">
        <f t="array" ref="AL54">_xlfn.IFS(Table1[[#This Row],[Attrition]]="Yes","Resigned",Table1[[#This Row],[Attrition]]="No","Active")</f>
        <v>Active</v>
      </c>
      <c r="AM54" t="str" cm="1">
        <f t="array" ref="AM54">_xlfn.IFS(Table1[[#This Row],[YearsAtCompany]]&lt;=1,"0-1 Year",Table1[[#This Row],[YearsAtCompany]]&lt;=2,"1-2 Years",Table1[[#This Row],[YearsAtCompany]]&lt;=3,"2-3 Years",Table1[[#This Row],[YearsAtCompany]]&lt;=4,"3-4 Years",Table1[[#This Row],[YearsAtCompany]]&lt;=5,"4-5 Years",Table1[[#This Row],[YearsAtCompany]]&gt;5,"&gt;5 Years")</f>
        <v>3-4 Years</v>
      </c>
    </row>
    <row r="55" spans="1:39" hidden="1" x14ac:dyDescent="0.45">
      <c r="A55">
        <v>35</v>
      </c>
      <c r="B55" t="s">
        <v>43</v>
      </c>
      <c r="C55" t="s">
        <v>62</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_xlfn.IFS(Table1[[#This Row],[Age]]&lt;30,"Young",Table1[[#This Row],[Age]]&lt;=40,"Adult",Table1[[#This Row],[Age]]&gt;40,"Senior")</f>
        <v>Adult</v>
      </c>
      <c r="AK55" t="str" cm="1">
        <f t="array" ref="AK55">_xlfn.IFS(Table1[[#This Row],[MonthlyIncome]]&lt;5000,"Low",Table1[[#This Row],[MonthlyIncome]]&lt;10000,"Medium",Table1[[#This Row],[MonthlyIncome]]&gt;10000,"High")</f>
        <v>Medium</v>
      </c>
      <c r="AL55" t="str" cm="1">
        <f t="array" ref="AL55">_xlfn.IFS(Table1[[#This Row],[Attrition]]="Yes","Resigned",Table1[[#This Row],[Attrition]]="No","Active")</f>
        <v>Active</v>
      </c>
      <c r="AM55" t="str" cm="1">
        <f t="array" ref="AM55">_xlfn.IFS(Table1[[#This Row],[YearsAtCompany]]&lt;=1,"0-1 Year",Table1[[#This Row],[YearsAtCompany]]&lt;=2,"1-2 Years",Table1[[#This Row],[YearsAtCompany]]&lt;=3,"2-3 Years",Table1[[#This Row],[YearsAtCompany]]&lt;=4,"3-4 Years",Table1[[#This Row],[YearsAtCompany]]&lt;=5,"4-5 Years",Table1[[#This Row],[YearsAtCompany]]&gt;5,"&gt;5 Years")</f>
        <v>3-4 Years</v>
      </c>
    </row>
    <row r="56" spans="1:39" x14ac:dyDescent="0.45">
      <c r="A56">
        <v>26</v>
      </c>
      <c r="B56" t="s">
        <v>43</v>
      </c>
      <c r="C56" t="s">
        <v>64</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_xlfn.IFS(Table1[[#This Row],[Age]]&lt;30,"Young",Table1[[#This Row],[Age]]&lt;=40,"Adult",Table1[[#This Row],[Age]]&gt;40,"Senior")</f>
        <v>Young</v>
      </c>
      <c r="AK56" t="str" cm="1">
        <f t="array" ref="AK56">_xlfn.IFS(Table1[[#This Row],[MonthlyIncome]]&lt;5000,"Low",Table1[[#This Row],[MonthlyIncome]]&lt;10000,"Medium",Table1[[#This Row],[MonthlyIncome]]&gt;10000,"High")</f>
        <v>Low</v>
      </c>
      <c r="AL56" t="str" cm="1">
        <f t="array" ref="AL56">_xlfn.IFS(Table1[[#This Row],[Attrition]]="Yes","Resigned",Table1[[#This Row],[Attrition]]="No","Active")</f>
        <v>Active</v>
      </c>
      <c r="AM56" t="str" cm="1">
        <f t="array" ref="AM56">_xlfn.IFS(Table1[[#This Row],[YearsAtCompany]]&lt;=1,"0-1 Year",Table1[[#This Row],[YearsAtCompany]]&lt;=2,"1-2 Years",Table1[[#This Row],[YearsAtCompany]]&lt;=3,"2-3 Years",Table1[[#This Row],[YearsAtCompany]]&lt;=4,"3-4 Years",Table1[[#This Row],[YearsAtCompany]]&lt;=5,"4-5 Years",Table1[[#This Row],[YearsAtCompany]]&gt;5,"&gt;5 Years")</f>
        <v>1-2 Years</v>
      </c>
    </row>
    <row r="57" spans="1:39" hidden="1" x14ac:dyDescent="0.45">
      <c r="A57">
        <v>33</v>
      </c>
      <c r="B57" t="s">
        <v>43</v>
      </c>
      <c r="C57" t="s">
        <v>63</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_xlfn.IFS(Table1[[#This Row],[Age]]&lt;30,"Young",Table1[[#This Row],[Age]]&lt;=40,"Adult",Table1[[#This Row],[Age]]&gt;40,"Senior")</f>
        <v>Adult</v>
      </c>
      <c r="AK57" t="str" cm="1">
        <f t="array" ref="AK57">_xlfn.IFS(Table1[[#This Row],[MonthlyIncome]]&lt;5000,"Low",Table1[[#This Row],[MonthlyIncome]]&lt;10000,"Medium",Table1[[#This Row],[MonthlyIncome]]&gt;10000,"High")</f>
        <v>High</v>
      </c>
      <c r="AL57" t="str" cm="1">
        <f t="array" ref="AL57">_xlfn.IFS(Table1[[#This Row],[Attrition]]="Yes","Resigned",Table1[[#This Row],[Attrition]]="No","Active")</f>
        <v>Active</v>
      </c>
      <c r="AM57" t="str" cm="1">
        <f t="array" ref="AM57">_xlfn.IFS(Table1[[#This Row],[YearsAtCompany]]&lt;=1,"0-1 Year",Table1[[#This Row],[YearsAtCompany]]&lt;=2,"1-2 Years",Table1[[#This Row],[YearsAtCompany]]&lt;=3,"2-3 Years",Table1[[#This Row],[YearsAtCompany]]&lt;=4,"3-4 Years",Table1[[#This Row],[YearsAtCompany]]&lt;=5,"4-5 Years",Table1[[#This Row],[YearsAtCompany]]&gt;5,"&gt;5 Years")</f>
        <v>&gt;5 Years</v>
      </c>
    </row>
    <row r="58" spans="1:39" x14ac:dyDescent="0.45">
      <c r="A58">
        <v>35</v>
      </c>
      <c r="B58" t="s">
        <v>43</v>
      </c>
      <c r="C58" t="s">
        <v>63</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_xlfn.IFS(Table1[[#This Row],[Age]]&lt;30,"Young",Table1[[#This Row],[Age]]&lt;=40,"Adult",Table1[[#This Row],[Age]]&gt;40,"Senior")</f>
        <v>Adult</v>
      </c>
      <c r="AK58" t="str" cm="1">
        <f t="array" ref="AK58">_xlfn.IFS(Table1[[#This Row],[MonthlyIncome]]&lt;5000,"Low",Table1[[#This Row],[MonthlyIncome]]&lt;10000,"Medium",Table1[[#This Row],[MonthlyIncome]]&gt;10000,"High")</f>
        <v>Medium</v>
      </c>
      <c r="AL58" t="str" cm="1">
        <f t="array" ref="AL58">_xlfn.IFS(Table1[[#This Row],[Attrition]]="Yes","Resigned",Table1[[#This Row],[Attrition]]="No","Active")</f>
        <v>Active</v>
      </c>
      <c r="AM58" t="str" cm="1">
        <f t="array" ref="AM58">_xlfn.IFS(Table1[[#This Row],[YearsAtCompany]]&lt;=1,"0-1 Year",Table1[[#This Row],[YearsAtCompany]]&lt;=2,"1-2 Years",Table1[[#This Row],[YearsAtCompany]]&lt;=3,"2-3 Years",Table1[[#This Row],[YearsAtCompany]]&lt;=4,"3-4 Years",Table1[[#This Row],[YearsAtCompany]]&lt;=5,"4-5 Years",Table1[[#This Row],[YearsAtCompany]]&gt;5,"&gt;5 Years")</f>
        <v>&gt;5 Years</v>
      </c>
    </row>
    <row r="59" spans="1:39" hidden="1" x14ac:dyDescent="0.45">
      <c r="A59">
        <v>35</v>
      </c>
      <c r="B59" t="s">
        <v>43</v>
      </c>
      <c r="C59" t="s">
        <v>64</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_xlfn.IFS(Table1[[#This Row],[Age]]&lt;30,"Young",Table1[[#This Row],[Age]]&lt;=40,"Adult",Table1[[#This Row],[Age]]&gt;40,"Senior")</f>
        <v>Adult</v>
      </c>
      <c r="AK59" t="str" cm="1">
        <f t="array" ref="AK59">_xlfn.IFS(Table1[[#This Row],[MonthlyIncome]]&lt;5000,"Low",Table1[[#This Row],[MonthlyIncome]]&lt;10000,"Medium",Table1[[#This Row],[MonthlyIncome]]&gt;10000,"High")</f>
        <v>Low</v>
      </c>
      <c r="AL59" t="str" cm="1">
        <f t="array" ref="AL59">_xlfn.IFS(Table1[[#This Row],[Attrition]]="Yes","Resigned",Table1[[#This Row],[Attrition]]="No","Active")</f>
        <v>Active</v>
      </c>
      <c r="AM59" t="str" cm="1">
        <f t="array" ref="AM59">_xlfn.IFS(Table1[[#This Row],[YearsAtCompany]]&lt;=1,"0-1 Year",Table1[[#This Row],[YearsAtCompany]]&lt;=2,"1-2 Years",Table1[[#This Row],[YearsAtCompany]]&lt;=3,"2-3 Years",Table1[[#This Row],[YearsAtCompany]]&lt;=4,"3-4 Years",Table1[[#This Row],[YearsAtCompany]]&lt;=5,"4-5 Years",Table1[[#This Row],[YearsAtCompany]]&gt;5,"&gt;5 Years")</f>
        <v>1-2 Years</v>
      </c>
    </row>
    <row r="60" spans="1:39" hidden="1" x14ac:dyDescent="0.45">
      <c r="A60">
        <v>31</v>
      </c>
      <c r="B60" t="s">
        <v>43</v>
      </c>
      <c r="C60" t="s">
        <v>64</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_xlfn.IFS(Table1[[#This Row],[Age]]&lt;30,"Young",Table1[[#This Row],[Age]]&lt;=40,"Adult",Table1[[#This Row],[Age]]&gt;40,"Senior")</f>
        <v>Adult</v>
      </c>
      <c r="AK60" t="str" cm="1">
        <f t="array" ref="AK60">_xlfn.IFS(Table1[[#This Row],[MonthlyIncome]]&lt;5000,"Low",Table1[[#This Row],[MonthlyIncome]]&lt;10000,"Medium",Table1[[#This Row],[MonthlyIncome]]&gt;10000,"High")</f>
        <v>Medium</v>
      </c>
      <c r="AL60" t="str" cm="1">
        <f t="array" ref="AL60">_xlfn.IFS(Table1[[#This Row],[Attrition]]="Yes","Resigned",Table1[[#This Row],[Attrition]]="No","Active")</f>
        <v>Active</v>
      </c>
      <c r="AM60" t="str" cm="1">
        <f t="array" ref="AM60">_xlfn.IFS(Table1[[#This Row],[YearsAtCompany]]&lt;=1,"0-1 Year",Table1[[#This Row],[YearsAtCompany]]&lt;=2,"1-2 Years",Table1[[#This Row],[YearsAtCompany]]&lt;=3,"2-3 Years",Table1[[#This Row],[YearsAtCompany]]&lt;=4,"3-4 Years",Table1[[#This Row],[YearsAtCompany]]&lt;=5,"4-5 Years",Table1[[#This Row],[YearsAtCompany]]&gt;5,"&gt;5 Years")</f>
        <v>&gt;5 Years</v>
      </c>
    </row>
    <row r="61" spans="1:39" hidden="1" x14ac:dyDescent="0.45">
      <c r="A61">
        <v>37</v>
      </c>
      <c r="B61" t="s">
        <v>43</v>
      </c>
      <c r="C61" t="s">
        <v>64</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_xlfn.IFS(Table1[[#This Row],[Age]]&lt;30,"Young",Table1[[#This Row],[Age]]&lt;=40,"Adult",Table1[[#This Row],[Age]]&gt;40,"Senior")</f>
        <v>Adult</v>
      </c>
      <c r="AK61" t="str" cm="1">
        <f t="array" ref="AK61">_xlfn.IFS(Table1[[#This Row],[MonthlyIncome]]&lt;5000,"Low",Table1[[#This Row],[MonthlyIncome]]&lt;10000,"Medium",Table1[[#This Row],[MonthlyIncome]]&gt;10000,"High")</f>
        <v>Medium</v>
      </c>
      <c r="AL61" t="str" cm="1">
        <f t="array" ref="AL61">_xlfn.IFS(Table1[[#This Row],[Attrition]]="Yes","Resigned",Table1[[#This Row],[Attrition]]="No","Active")</f>
        <v>Active</v>
      </c>
      <c r="AM61" t="str" cm="1">
        <f t="array" ref="AM61">_xlfn.IFS(Table1[[#This Row],[YearsAtCompany]]&lt;=1,"0-1 Year",Table1[[#This Row],[YearsAtCompany]]&lt;=2,"1-2 Years",Table1[[#This Row],[YearsAtCompany]]&lt;=3,"2-3 Years",Table1[[#This Row],[YearsAtCompany]]&lt;=4,"3-4 Years",Table1[[#This Row],[YearsAtCompany]]&lt;=5,"4-5 Years",Table1[[#This Row],[YearsAtCompany]]&gt;5,"&gt;5 Years")</f>
        <v>&gt;5 Years</v>
      </c>
    </row>
    <row r="62" spans="1:39" hidden="1" x14ac:dyDescent="0.45">
      <c r="A62">
        <v>32</v>
      </c>
      <c r="B62" t="s">
        <v>43</v>
      </c>
      <c r="C62" t="s">
        <v>64</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_xlfn.IFS(Table1[[#This Row],[Age]]&lt;30,"Young",Table1[[#This Row],[Age]]&lt;=40,"Adult",Table1[[#This Row],[Age]]&gt;40,"Senior")</f>
        <v>Adult</v>
      </c>
      <c r="AK62" t="str" cm="1">
        <f t="array" ref="AK62">_xlfn.IFS(Table1[[#This Row],[MonthlyIncome]]&lt;5000,"Low",Table1[[#This Row],[MonthlyIncome]]&lt;10000,"Medium",Table1[[#This Row],[MonthlyIncome]]&gt;10000,"High")</f>
        <v>Medium</v>
      </c>
      <c r="AL62" t="str" cm="1">
        <f t="array" ref="AL62">_xlfn.IFS(Table1[[#This Row],[Attrition]]="Yes","Resigned",Table1[[#This Row],[Attrition]]="No","Active")</f>
        <v>Active</v>
      </c>
      <c r="AM62" t="str" cm="1">
        <f t="array" ref="AM62">_xlfn.IFS(Table1[[#This Row],[YearsAtCompany]]&lt;=1,"0-1 Year",Table1[[#This Row],[YearsAtCompany]]&lt;=2,"1-2 Years",Table1[[#This Row],[YearsAtCompany]]&lt;=3,"2-3 Years",Table1[[#This Row],[YearsAtCompany]]&lt;=4,"3-4 Years",Table1[[#This Row],[YearsAtCompany]]&lt;=5,"4-5 Years",Table1[[#This Row],[YearsAtCompany]]&gt;5,"&gt;5 Years")</f>
        <v>&gt;5 Years</v>
      </c>
    </row>
    <row r="63" spans="1:39" hidden="1" x14ac:dyDescent="0.45">
      <c r="A63">
        <v>38</v>
      </c>
      <c r="B63" t="s">
        <v>43</v>
      </c>
      <c r="C63" t="s">
        <v>63</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_xlfn.IFS(Table1[[#This Row],[Age]]&lt;30,"Young",Table1[[#This Row],[Age]]&lt;=40,"Adult",Table1[[#This Row],[Age]]&gt;40,"Senior")</f>
        <v>Adult</v>
      </c>
      <c r="AK63" t="str" cm="1">
        <f t="array" ref="AK63">_xlfn.IFS(Table1[[#This Row],[MonthlyIncome]]&lt;5000,"Low",Table1[[#This Row],[MonthlyIncome]]&lt;10000,"Medium",Table1[[#This Row],[MonthlyIncome]]&gt;10000,"High")</f>
        <v>Low</v>
      </c>
      <c r="AL63" t="str" cm="1">
        <f t="array" ref="AL63">_xlfn.IFS(Table1[[#This Row],[Attrition]]="Yes","Resigned",Table1[[#This Row],[Attrition]]="No","Active")</f>
        <v>Active</v>
      </c>
      <c r="AM63" t="str" cm="1">
        <f t="array" ref="AM63">_xlfn.IFS(Table1[[#This Row],[YearsAtCompany]]&lt;=1,"0-1 Year",Table1[[#This Row],[YearsAtCompany]]&lt;=2,"1-2 Years",Table1[[#This Row],[YearsAtCompany]]&lt;=3,"2-3 Years",Table1[[#This Row],[YearsAtCompany]]&lt;=4,"3-4 Years",Table1[[#This Row],[YearsAtCompany]]&lt;=5,"4-5 Years",Table1[[#This Row],[YearsAtCompany]]&gt;5,"&gt;5 Years")</f>
        <v>&gt;5 Years</v>
      </c>
    </row>
    <row r="64" spans="1:39" hidden="1" x14ac:dyDescent="0.45">
      <c r="A64">
        <v>50</v>
      </c>
      <c r="B64" t="s">
        <v>43</v>
      </c>
      <c r="C64" t="s">
        <v>64</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_xlfn.IFS(Table1[[#This Row],[Age]]&lt;30,"Young",Table1[[#This Row],[Age]]&lt;=40,"Adult",Table1[[#This Row],[Age]]&gt;40,"Senior")</f>
        <v>Senior</v>
      </c>
      <c r="AK64" t="str" cm="1">
        <f t="array" ref="AK64">_xlfn.IFS(Table1[[#This Row],[MonthlyIncome]]&lt;5000,"Low",Table1[[#This Row],[MonthlyIncome]]&lt;10000,"Medium",Table1[[#This Row],[MonthlyIncome]]&gt;10000,"High")</f>
        <v>High</v>
      </c>
      <c r="AL64" t="str" cm="1">
        <f t="array" ref="AL64">_xlfn.IFS(Table1[[#This Row],[Attrition]]="Yes","Resigned",Table1[[#This Row],[Attrition]]="No","Active")</f>
        <v>Active</v>
      </c>
      <c r="AM64" t="str" cm="1">
        <f t="array" ref="AM64">_xlfn.IFS(Table1[[#This Row],[YearsAtCompany]]&lt;=1,"0-1 Year",Table1[[#This Row],[YearsAtCompany]]&lt;=2,"1-2 Years",Table1[[#This Row],[YearsAtCompany]]&lt;=3,"2-3 Years",Table1[[#This Row],[YearsAtCompany]]&lt;=4,"3-4 Years",Table1[[#This Row],[YearsAtCompany]]&lt;=5,"4-5 Years",Table1[[#This Row],[YearsAtCompany]]&gt;5,"&gt;5 Years")</f>
        <v>&gt;5 Years</v>
      </c>
    </row>
    <row r="65" spans="1:39" x14ac:dyDescent="0.45">
      <c r="A65">
        <v>59</v>
      </c>
      <c r="B65" t="s">
        <v>43</v>
      </c>
      <c r="C65" t="s">
        <v>64</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_xlfn.IFS(Table1[[#This Row],[Age]]&lt;30,"Young",Table1[[#This Row],[Age]]&lt;=40,"Adult",Table1[[#This Row],[Age]]&gt;40,"Senior")</f>
        <v>Senior</v>
      </c>
      <c r="AK65" t="str" cm="1">
        <f t="array" ref="AK65">_xlfn.IFS(Table1[[#This Row],[MonthlyIncome]]&lt;5000,"Low",Table1[[#This Row],[MonthlyIncome]]&lt;10000,"Medium",Table1[[#This Row],[MonthlyIncome]]&gt;10000,"High")</f>
        <v>Medium</v>
      </c>
      <c r="AL65" t="str" cm="1">
        <f t="array" ref="AL65">_xlfn.IFS(Table1[[#This Row],[Attrition]]="Yes","Resigned",Table1[[#This Row],[Attrition]]="No","Active")</f>
        <v>Active</v>
      </c>
      <c r="AM65" t="str" cm="1">
        <f t="array" ref="AM65">_xlfn.IFS(Table1[[#This Row],[YearsAtCompany]]&lt;=1,"0-1 Year",Table1[[#This Row],[YearsAtCompany]]&lt;=2,"1-2 Years",Table1[[#This Row],[YearsAtCompany]]&lt;=3,"2-3 Years",Table1[[#This Row],[YearsAtCompany]]&lt;=4,"3-4 Years",Table1[[#This Row],[YearsAtCompany]]&lt;=5,"4-5 Years",Table1[[#This Row],[YearsAtCompany]]&gt;5,"&gt;5 Years")</f>
        <v>&gt;5 Years</v>
      </c>
    </row>
    <row r="66" spans="1:39" hidden="1" x14ac:dyDescent="0.45">
      <c r="A66">
        <v>36</v>
      </c>
      <c r="B66" t="s">
        <v>43</v>
      </c>
      <c r="C66" t="s">
        <v>64</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_xlfn.IFS(Table1[[#This Row],[Age]]&lt;30,"Young",Table1[[#This Row],[Age]]&lt;=40,"Adult",Table1[[#This Row],[Age]]&gt;40,"Senior")</f>
        <v>Adult</v>
      </c>
      <c r="AK66" t="str" cm="1">
        <f t="array" ref="AK66">_xlfn.IFS(Table1[[#This Row],[MonthlyIncome]]&lt;5000,"Low",Table1[[#This Row],[MonthlyIncome]]&lt;10000,"Medium",Table1[[#This Row],[MonthlyIncome]]&gt;10000,"High")</f>
        <v>High</v>
      </c>
      <c r="AL66" t="str" cm="1">
        <f t="array" ref="AL66">_xlfn.IFS(Table1[[#This Row],[Attrition]]="Yes","Resigned",Table1[[#This Row],[Attrition]]="No","Active")</f>
        <v>Active</v>
      </c>
      <c r="AM66" t="str" cm="1">
        <f t="array" ref="AM66">_xlfn.IFS(Table1[[#This Row],[YearsAtCompany]]&lt;=1,"0-1 Year",Table1[[#This Row],[YearsAtCompany]]&lt;=2,"1-2 Years",Table1[[#This Row],[YearsAtCompany]]&lt;=3,"2-3 Years",Table1[[#This Row],[YearsAtCompany]]&lt;=4,"3-4 Years",Table1[[#This Row],[YearsAtCompany]]&lt;=5,"4-5 Years",Table1[[#This Row],[YearsAtCompany]]&gt;5,"&gt;5 Years")</f>
        <v>&gt;5 Years</v>
      </c>
    </row>
    <row r="67" spans="1:39" hidden="1" x14ac:dyDescent="0.45">
      <c r="A67">
        <v>55</v>
      </c>
      <c r="B67" t="s">
        <v>43</v>
      </c>
      <c r="C67" t="s">
        <v>64</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_xlfn.IFS(Table1[[#This Row],[Age]]&lt;30,"Young",Table1[[#This Row],[Age]]&lt;=40,"Adult",Table1[[#This Row],[Age]]&gt;40,"Senior")</f>
        <v>Senior</v>
      </c>
      <c r="AK67" t="str" cm="1">
        <f t="array" ref="AK67">_xlfn.IFS(Table1[[#This Row],[MonthlyIncome]]&lt;5000,"Low",Table1[[#This Row],[MonthlyIncome]]&lt;10000,"Medium",Table1[[#This Row],[MonthlyIncome]]&gt;10000,"High")</f>
        <v>High</v>
      </c>
      <c r="AL67" t="str" cm="1">
        <f t="array" ref="AL67">_xlfn.IFS(Table1[[#This Row],[Attrition]]="Yes","Resigned",Table1[[#This Row],[Attrition]]="No","Active")</f>
        <v>Active</v>
      </c>
      <c r="AM67" t="str" cm="1">
        <f t="array" ref="AM67">_xlfn.IFS(Table1[[#This Row],[YearsAtCompany]]&lt;=1,"0-1 Year",Table1[[#This Row],[YearsAtCompany]]&lt;=2,"1-2 Years",Table1[[#This Row],[YearsAtCompany]]&lt;=3,"2-3 Years",Table1[[#This Row],[YearsAtCompany]]&lt;=4,"3-4 Years",Table1[[#This Row],[YearsAtCompany]]&lt;=5,"4-5 Years",Table1[[#This Row],[YearsAtCompany]]&gt;5,"&gt;5 Years")</f>
        <v>4-5 Years</v>
      </c>
    </row>
    <row r="68" spans="1:39" hidden="1" x14ac:dyDescent="0.45">
      <c r="A68">
        <v>36</v>
      </c>
      <c r="B68" t="s">
        <v>43</v>
      </c>
      <c r="C68" t="s">
        <v>63</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_xlfn.IFS(Table1[[#This Row],[Age]]&lt;30,"Young",Table1[[#This Row],[Age]]&lt;=40,"Adult",Table1[[#This Row],[Age]]&gt;40,"Senior")</f>
        <v>Adult</v>
      </c>
      <c r="AK68" t="str" cm="1">
        <f t="array" ref="AK68">_xlfn.IFS(Table1[[#This Row],[MonthlyIncome]]&lt;5000,"Low",Table1[[#This Row],[MonthlyIncome]]&lt;10000,"Medium",Table1[[#This Row],[MonthlyIncome]]&gt;10000,"High")</f>
        <v>Medium</v>
      </c>
      <c r="AL68" t="str" cm="1">
        <f t="array" ref="AL68">_xlfn.IFS(Table1[[#This Row],[Attrition]]="Yes","Resigned",Table1[[#This Row],[Attrition]]="No","Active")</f>
        <v>Active</v>
      </c>
      <c r="AM68" t="str" cm="1">
        <f t="array" ref="AM68">_xlfn.IFS(Table1[[#This Row],[YearsAtCompany]]&lt;=1,"0-1 Year",Table1[[#This Row],[YearsAtCompany]]&lt;=2,"1-2 Years",Table1[[#This Row],[YearsAtCompany]]&lt;=3,"2-3 Years",Table1[[#This Row],[YearsAtCompany]]&lt;=4,"3-4 Years",Table1[[#This Row],[YearsAtCompany]]&lt;=5,"4-5 Years",Table1[[#This Row],[YearsAtCompany]]&gt;5,"&gt;5 Years")</f>
        <v>&gt;5 Years</v>
      </c>
    </row>
    <row r="69" spans="1:39" hidden="1" x14ac:dyDescent="0.45">
      <c r="A69">
        <v>45</v>
      </c>
      <c r="B69" t="s">
        <v>43</v>
      </c>
      <c r="C69" t="s">
        <v>64</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_xlfn.IFS(Table1[[#This Row],[Age]]&lt;30,"Young",Table1[[#This Row],[Age]]&lt;=40,"Adult",Table1[[#This Row],[Age]]&gt;40,"Senior")</f>
        <v>Senior</v>
      </c>
      <c r="AK69" t="str" cm="1">
        <f t="array" ref="AK69">_xlfn.IFS(Table1[[#This Row],[MonthlyIncome]]&lt;5000,"Low",Table1[[#This Row],[MonthlyIncome]]&lt;10000,"Medium",Table1[[#This Row],[MonthlyIncome]]&gt;10000,"High")</f>
        <v>Medium</v>
      </c>
      <c r="AL69" t="str" cm="1">
        <f t="array" ref="AL69">_xlfn.IFS(Table1[[#This Row],[Attrition]]="Yes","Resigned",Table1[[#This Row],[Attrition]]="No","Active")</f>
        <v>Active</v>
      </c>
      <c r="AM69" t="str" cm="1">
        <f t="array" ref="AM69">_xlfn.IFS(Table1[[#This Row],[YearsAtCompany]]&lt;=1,"0-1 Year",Table1[[#This Row],[YearsAtCompany]]&lt;=2,"1-2 Years",Table1[[#This Row],[YearsAtCompany]]&lt;=3,"2-3 Years",Table1[[#This Row],[YearsAtCompany]]&lt;=4,"3-4 Years",Table1[[#This Row],[YearsAtCompany]]&lt;=5,"4-5 Years",Table1[[#This Row],[YearsAtCompany]]&gt;5,"&gt;5 Years")</f>
        <v>0-1 Year</v>
      </c>
    </row>
    <row r="70" spans="1:39" hidden="1" x14ac:dyDescent="0.45">
      <c r="A70">
        <v>35</v>
      </c>
      <c r="B70" t="s">
        <v>43</v>
      </c>
      <c r="C70" t="s">
        <v>63</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_xlfn.IFS(Table1[[#This Row],[Age]]&lt;30,"Young",Table1[[#This Row],[Age]]&lt;=40,"Adult",Table1[[#This Row],[Age]]&gt;40,"Senior")</f>
        <v>Adult</v>
      </c>
      <c r="AK70" t="str" cm="1">
        <f t="array" ref="AK70">_xlfn.IFS(Table1[[#This Row],[MonthlyIncome]]&lt;5000,"Low",Table1[[#This Row],[MonthlyIncome]]&lt;10000,"Medium",Table1[[#This Row],[MonthlyIncome]]&gt;10000,"High")</f>
        <v>Low</v>
      </c>
      <c r="AL70" t="str" cm="1">
        <f t="array" ref="AL70">_xlfn.IFS(Table1[[#This Row],[Attrition]]="Yes","Resigned",Table1[[#This Row],[Attrition]]="No","Active")</f>
        <v>Active</v>
      </c>
      <c r="AM70" t="str" cm="1">
        <f t="array" ref="AM70">_xlfn.IFS(Table1[[#This Row],[YearsAtCompany]]&lt;=1,"0-1 Year",Table1[[#This Row],[YearsAtCompany]]&lt;=2,"1-2 Years",Table1[[#This Row],[YearsAtCompany]]&lt;=3,"2-3 Years",Table1[[#This Row],[YearsAtCompany]]&lt;=4,"3-4 Years",Table1[[#This Row],[YearsAtCompany]]&lt;=5,"4-5 Years",Table1[[#This Row],[YearsAtCompany]]&gt;5,"&gt;5 Years")</f>
        <v>2-3 Years</v>
      </c>
    </row>
    <row r="71" spans="1:39" hidden="1" x14ac:dyDescent="0.45">
      <c r="A71">
        <v>36</v>
      </c>
      <c r="B71" t="s">
        <v>35</v>
      </c>
      <c r="C71" t="s">
        <v>64</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_xlfn.IFS(Table1[[#This Row],[Age]]&lt;30,"Young",Table1[[#This Row],[Age]]&lt;=40,"Adult",Table1[[#This Row],[Age]]&gt;40,"Senior")</f>
        <v>Adult</v>
      </c>
      <c r="AK71" t="str" cm="1">
        <f t="array" ref="AK71">_xlfn.IFS(Table1[[#This Row],[MonthlyIncome]]&lt;5000,"Low",Table1[[#This Row],[MonthlyIncome]]&lt;10000,"Medium",Table1[[#This Row],[MonthlyIncome]]&gt;10000,"High")</f>
        <v>Low</v>
      </c>
      <c r="AL71" t="str" cm="1">
        <f t="array" ref="AL71">_xlfn.IFS(Table1[[#This Row],[Attrition]]="Yes","Resigned",Table1[[#This Row],[Attrition]]="No","Active")</f>
        <v>Resigned</v>
      </c>
      <c r="AM71" t="str" cm="1">
        <f t="array" ref="AM71">_xlfn.IFS(Table1[[#This Row],[YearsAtCompany]]&lt;=1,"0-1 Year",Table1[[#This Row],[YearsAtCompany]]&lt;=2,"1-2 Years",Table1[[#This Row],[YearsAtCompany]]&lt;=3,"2-3 Years",Table1[[#This Row],[YearsAtCompany]]&lt;=4,"3-4 Years",Table1[[#This Row],[YearsAtCompany]]&lt;=5,"4-5 Years",Table1[[#This Row],[YearsAtCompany]]&gt;5,"&gt;5 Years")</f>
        <v>0-1 Year</v>
      </c>
    </row>
    <row r="72" spans="1:39" x14ac:dyDescent="0.45">
      <c r="A72">
        <v>59</v>
      </c>
      <c r="B72" t="s">
        <v>43</v>
      </c>
      <c r="C72" t="s">
        <v>63</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_xlfn.IFS(Table1[[#This Row],[Age]]&lt;30,"Young",Table1[[#This Row],[Age]]&lt;=40,"Adult",Table1[[#This Row],[Age]]&gt;40,"Senior")</f>
        <v>Senior</v>
      </c>
      <c r="AK72" t="str" cm="1">
        <f t="array" ref="AK72">_xlfn.IFS(Table1[[#This Row],[MonthlyIncome]]&lt;5000,"Low",Table1[[#This Row],[MonthlyIncome]]&lt;10000,"Medium",Table1[[#This Row],[MonthlyIncome]]&gt;10000,"High")</f>
        <v>Medium</v>
      </c>
      <c r="AL72" t="str" cm="1">
        <f t="array" ref="AL72">_xlfn.IFS(Table1[[#This Row],[Attrition]]="Yes","Resigned",Table1[[#This Row],[Attrition]]="No","Active")</f>
        <v>Active</v>
      </c>
      <c r="AM72" t="str" cm="1">
        <f t="array" ref="AM72">_xlfn.IFS(Table1[[#This Row],[YearsAtCompany]]&lt;=1,"0-1 Year",Table1[[#This Row],[YearsAtCompany]]&lt;=2,"1-2 Years",Table1[[#This Row],[YearsAtCompany]]&lt;=3,"2-3 Years",Table1[[#This Row],[YearsAtCompany]]&lt;=4,"3-4 Years",Table1[[#This Row],[YearsAtCompany]]&lt;=5,"4-5 Years",Table1[[#This Row],[YearsAtCompany]]&gt;5,"&gt;5 Years")</f>
        <v>3-4 Years</v>
      </c>
    </row>
    <row r="73" spans="1:39" hidden="1" x14ac:dyDescent="0.45">
      <c r="A73">
        <v>29</v>
      </c>
      <c r="B73" t="s">
        <v>43</v>
      </c>
      <c r="C73" t="s">
        <v>64</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_xlfn.IFS(Table1[[#This Row],[Age]]&lt;30,"Young",Table1[[#This Row],[Age]]&lt;=40,"Adult",Table1[[#This Row],[Age]]&gt;40,"Senior")</f>
        <v>Young</v>
      </c>
      <c r="AK73" t="str" cm="1">
        <f t="array" ref="AK73">_xlfn.IFS(Table1[[#This Row],[MonthlyIncome]]&lt;5000,"Low",Table1[[#This Row],[MonthlyIncome]]&lt;10000,"Medium",Table1[[#This Row],[MonthlyIncome]]&gt;10000,"High")</f>
        <v>Low</v>
      </c>
      <c r="AL73" t="str" cm="1">
        <f t="array" ref="AL73">_xlfn.IFS(Table1[[#This Row],[Attrition]]="Yes","Resigned",Table1[[#This Row],[Attrition]]="No","Active")</f>
        <v>Active</v>
      </c>
      <c r="AM73" t="str" cm="1">
        <f t="array" ref="AM73">_xlfn.IFS(Table1[[#This Row],[YearsAtCompany]]&lt;=1,"0-1 Year",Table1[[#This Row],[YearsAtCompany]]&lt;=2,"1-2 Years",Table1[[#This Row],[YearsAtCompany]]&lt;=3,"2-3 Years",Table1[[#This Row],[YearsAtCompany]]&lt;=4,"3-4 Years",Table1[[#This Row],[YearsAtCompany]]&lt;=5,"4-5 Years",Table1[[#This Row],[YearsAtCompany]]&gt;5,"&gt;5 Years")</f>
        <v>4-5 Years</v>
      </c>
    </row>
    <row r="74" spans="1:39" hidden="1" x14ac:dyDescent="0.45">
      <c r="A74">
        <v>31</v>
      </c>
      <c r="B74" t="s">
        <v>43</v>
      </c>
      <c r="C74" t="s">
        <v>64</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_xlfn.IFS(Table1[[#This Row],[Age]]&lt;30,"Young",Table1[[#This Row],[Age]]&lt;=40,"Adult",Table1[[#This Row],[Age]]&gt;40,"Senior")</f>
        <v>Adult</v>
      </c>
      <c r="AK74" t="str" cm="1">
        <f t="array" ref="AK74">_xlfn.IFS(Table1[[#This Row],[MonthlyIncome]]&lt;5000,"Low",Table1[[#This Row],[MonthlyIncome]]&lt;10000,"Medium",Table1[[#This Row],[MonthlyIncome]]&gt;10000,"High")</f>
        <v>Low</v>
      </c>
      <c r="AL74" t="str" cm="1">
        <f t="array" ref="AL74">_xlfn.IFS(Table1[[#This Row],[Attrition]]="Yes","Resigned",Table1[[#This Row],[Attrition]]="No","Active")</f>
        <v>Active</v>
      </c>
      <c r="AM74" t="str" cm="1">
        <f t="array" ref="AM74">_xlfn.IFS(Table1[[#This Row],[YearsAtCompany]]&lt;=1,"0-1 Year",Table1[[#This Row],[YearsAtCompany]]&lt;=2,"1-2 Years",Table1[[#This Row],[YearsAtCompany]]&lt;=3,"2-3 Years",Table1[[#This Row],[YearsAtCompany]]&lt;=4,"3-4 Years",Table1[[#This Row],[YearsAtCompany]]&lt;=5,"4-5 Years",Table1[[#This Row],[YearsAtCompany]]&gt;5,"&gt;5 Years")</f>
        <v>0-1 Year</v>
      </c>
    </row>
    <row r="75" spans="1:39" hidden="1" x14ac:dyDescent="0.45">
      <c r="A75">
        <v>32</v>
      </c>
      <c r="B75" t="s">
        <v>43</v>
      </c>
      <c r="C75" t="s">
        <v>64</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_xlfn.IFS(Table1[[#This Row],[Age]]&lt;30,"Young",Table1[[#This Row],[Age]]&lt;=40,"Adult",Table1[[#This Row],[Age]]&gt;40,"Senior")</f>
        <v>Adult</v>
      </c>
      <c r="AK75" t="str" cm="1">
        <f t="array" ref="AK75">_xlfn.IFS(Table1[[#This Row],[MonthlyIncome]]&lt;5000,"Low",Table1[[#This Row],[MonthlyIncome]]&lt;10000,"Medium",Table1[[#This Row],[MonthlyIncome]]&gt;10000,"High")</f>
        <v>Medium</v>
      </c>
      <c r="AL75" t="str" cm="1">
        <f t="array" ref="AL75">_xlfn.IFS(Table1[[#This Row],[Attrition]]="Yes","Resigned",Table1[[#This Row],[Attrition]]="No","Active")</f>
        <v>Active</v>
      </c>
      <c r="AM75" t="str" cm="1">
        <f t="array" ref="AM75">_xlfn.IFS(Table1[[#This Row],[YearsAtCompany]]&lt;=1,"0-1 Year",Table1[[#This Row],[YearsAtCompany]]&lt;=2,"1-2 Years",Table1[[#This Row],[YearsAtCompany]]&lt;=3,"2-3 Years",Table1[[#This Row],[YearsAtCompany]]&lt;=4,"3-4 Years",Table1[[#This Row],[YearsAtCompany]]&lt;=5,"4-5 Years",Table1[[#This Row],[YearsAtCompany]]&gt;5,"&gt;5 Years")</f>
        <v>&gt;5 Years</v>
      </c>
    </row>
    <row r="76" spans="1:39" hidden="1" x14ac:dyDescent="0.45">
      <c r="A76">
        <v>36</v>
      </c>
      <c r="B76" t="s">
        <v>43</v>
      </c>
      <c r="C76" t="s">
        <v>64</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_xlfn.IFS(Table1[[#This Row],[Age]]&lt;30,"Young",Table1[[#This Row],[Age]]&lt;=40,"Adult",Table1[[#This Row],[Age]]&gt;40,"Senior")</f>
        <v>Adult</v>
      </c>
      <c r="AK76" t="str" cm="1">
        <f t="array" ref="AK76">_xlfn.IFS(Table1[[#This Row],[MonthlyIncome]]&lt;5000,"Low",Table1[[#This Row],[MonthlyIncome]]&lt;10000,"Medium",Table1[[#This Row],[MonthlyIncome]]&gt;10000,"High")</f>
        <v>Low</v>
      </c>
      <c r="AL76" t="str" cm="1">
        <f t="array" ref="AL76">_xlfn.IFS(Table1[[#This Row],[Attrition]]="Yes","Resigned",Table1[[#This Row],[Attrition]]="No","Active")</f>
        <v>Active</v>
      </c>
      <c r="AM76" t="str" cm="1">
        <f t="array" ref="AM76">_xlfn.IFS(Table1[[#This Row],[YearsAtCompany]]&lt;=1,"0-1 Year",Table1[[#This Row],[YearsAtCompany]]&lt;=2,"1-2 Years",Table1[[#This Row],[YearsAtCompany]]&lt;=3,"2-3 Years",Table1[[#This Row],[YearsAtCompany]]&lt;=4,"3-4 Years",Table1[[#This Row],[YearsAtCompany]]&lt;=5,"4-5 Years",Table1[[#This Row],[YearsAtCompany]]&gt;5,"&gt;5 Years")</f>
        <v>0-1 Year</v>
      </c>
    </row>
    <row r="77" spans="1:39" hidden="1" x14ac:dyDescent="0.45">
      <c r="A77">
        <v>31</v>
      </c>
      <c r="B77" t="s">
        <v>43</v>
      </c>
      <c r="C77" t="s">
        <v>64</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_xlfn.IFS(Table1[[#This Row],[Age]]&lt;30,"Young",Table1[[#This Row],[Age]]&lt;=40,"Adult",Table1[[#This Row],[Age]]&gt;40,"Senior")</f>
        <v>Adult</v>
      </c>
      <c r="AK77" t="str" cm="1">
        <f t="array" ref="AK77">_xlfn.IFS(Table1[[#This Row],[MonthlyIncome]]&lt;5000,"Low",Table1[[#This Row],[MonthlyIncome]]&lt;10000,"Medium",Table1[[#This Row],[MonthlyIncome]]&gt;10000,"High")</f>
        <v>Low</v>
      </c>
      <c r="AL77" t="str" cm="1">
        <f t="array" ref="AL77">_xlfn.IFS(Table1[[#This Row],[Attrition]]="Yes","Resigned",Table1[[#This Row],[Attrition]]="No","Active")</f>
        <v>Active</v>
      </c>
      <c r="AM77" t="str" cm="1">
        <f t="array" ref="AM77">_xlfn.IFS(Table1[[#This Row],[YearsAtCompany]]&lt;=1,"0-1 Year",Table1[[#This Row],[YearsAtCompany]]&lt;=2,"1-2 Years",Table1[[#This Row],[YearsAtCompany]]&lt;=3,"2-3 Years",Table1[[#This Row],[YearsAtCompany]]&lt;=4,"3-4 Years",Table1[[#This Row],[YearsAtCompany]]&lt;=5,"4-5 Years",Table1[[#This Row],[YearsAtCompany]]&gt;5,"&gt;5 Years")</f>
        <v>&gt;5 Years</v>
      </c>
    </row>
    <row r="78" spans="1:39" x14ac:dyDescent="0.45">
      <c r="A78">
        <v>35</v>
      </c>
      <c r="B78" t="s">
        <v>43</v>
      </c>
      <c r="C78" t="s">
        <v>64</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_xlfn.IFS(Table1[[#This Row],[Age]]&lt;30,"Young",Table1[[#This Row],[Age]]&lt;=40,"Adult",Table1[[#This Row],[Age]]&gt;40,"Senior")</f>
        <v>Adult</v>
      </c>
      <c r="AK78" t="str" cm="1">
        <f t="array" ref="AK78">_xlfn.IFS(Table1[[#This Row],[MonthlyIncome]]&lt;5000,"Low",Table1[[#This Row],[MonthlyIncome]]&lt;10000,"Medium",Table1[[#This Row],[MonthlyIncome]]&gt;10000,"High")</f>
        <v>Low</v>
      </c>
      <c r="AL78" t="str" cm="1">
        <f t="array" ref="AL78">_xlfn.IFS(Table1[[#This Row],[Attrition]]="Yes","Resigned",Table1[[#This Row],[Attrition]]="No","Active")</f>
        <v>Active</v>
      </c>
      <c r="AM78" t="str" cm="1">
        <f t="array" ref="AM78">_xlfn.IFS(Table1[[#This Row],[YearsAtCompany]]&lt;=1,"0-1 Year",Table1[[#This Row],[YearsAtCompany]]&lt;=2,"1-2 Years",Table1[[#This Row],[YearsAtCompany]]&lt;=3,"2-3 Years",Table1[[#This Row],[YearsAtCompany]]&lt;=4,"3-4 Years",Table1[[#This Row],[YearsAtCompany]]&lt;=5,"4-5 Years",Table1[[#This Row],[YearsAtCompany]]&gt;5,"&gt;5 Years")</f>
        <v>&gt;5 Years</v>
      </c>
    </row>
    <row r="79" spans="1:39" hidden="1" x14ac:dyDescent="0.45">
      <c r="A79">
        <v>45</v>
      </c>
      <c r="B79" t="s">
        <v>43</v>
      </c>
      <c r="C79" t="s">
        <v>64</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_xlfn.IFS(Table1[[#This Row],[Age]]&lt;30,"Young",Table1[[#This Row],[Age]]&lt;=40,"Adult",Table1[[#This Row],[Age]]&gt;40,"Senior")</f>
        <v>Senior</v>
      </c>
      <c r="AK79" t="str" cm="1">
        <f t="array" ref="AK79">_xlfn.IFS(Table1[[#This Row],[MonthlyIncome]]&lt;5000,"Low",Table1[[#This Row],[MonthlyIncome]]&lt;10000,"Medium",Table1[[#This Row],[MonthlyIncome]]&gt;10000,"High")</f>
        <v>High</v>
      </c>
      <c r="AL79" t="str" cm="1">
        <f t="array" ref="AL79">_xlfn.IFS(Table1[[#This Row],[Attrition]]="Yes","Resigned",Table1[[#This Row],[Attrition]]="No","Active")</f>
        <v>Active</v>
      </c>
      <c r="AM79" t="str" cm="1">
        <f t="array" ref="AM79">_xlfn.IFS(Table1[[#This Row],[YearsAtCompany]]&lt;=1,"0-1 Year",Table1[[#This Row],[YearsAtCompany]]&lt;=2,"1-2 Years",Table1[[#This Row],[YearsAtCompany]]&lt;=3,"2-3 Years",Table1[[#This Row],[YearsAtCompany]]&lt;=4,"3-4 Years",Table1[[#This Row],[YearsAtCompany]]&lt;=5,"4-5 Years",Table1[[#This Row],[YearsAtCompany]]&gt;5,"&gt;5 Years")</f>
        <v>0-1 Year</v>
      </c>
    </row>
    <row r="80" spans="1:39" hidden="1" x14ac:dyDescent="0.45">
      <c r="A80">
        <v>37</v>
      </c>
      <c r="B80" t="s">
        <v>43</v>
      </c>
      <c r="C80" t="s">
        <v>64</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_xlfn.IFS(Table1[[#This Row],[Age]]&lt;30,"Young",Table1[[#This Row],[Age]]&lt;=40,"Adult",Table1[[#This Row],[Age]]&gt;40,"Senior")</f>
        <v>Adult</v>
      </c>
      <c r="AK80" t="str" cm="1">
        <f t="array" ref="AK80">_xlfn.IFS(Table1[[#This Row],[MonthlyIncome]]&lt;5000,"Low",Table1[[#This Row],[MonthlyIncome]]&lt;10000,"Medium",Table1[[#This Row],[MonthlyIncome]]&gt;10000,"High")</f>
        <v>High</v>
      </c>
      <c r="AL80" t="str" cm="1">
        <f t="array" ref="AL80">_xlfn.IFS(Table1[[#This Row],[Attrition]]="Yes","Resigned",Table1[[#This Row],[Attrition]]="No","Active")</f>
        <v>Active</v>
      </c>
      <c r="AM80" t="str" cm="1">
        <f t="array" ref="AM80">_xlfn.IFS(Table1[[#This Row],[YearsAtCompany]]&lt;=1,"0-1 Year",Table1[[#This Row],[YearsAtCompany]]&lt;=2,"1-2 Years",Table1[[#This Row],[YearsAtCompany]]&lt;=3,"2-3 Years",Table1[[#This Row],[YearsAtCompany]]&lt;=4,"3-4 Years",Table1[[#This Row],[YearsAtCompany]]&lt;=5,"4-5 Years",Table1[[#This Row],[YearsAtCompany]]&gt;5,"&gt;5 Years")</f>
        <v>4-5 Years</v>
      </c>
    </row>
    <row r="81" spans="1:39" hidden="1" x14ac:dyDescent="0.45">
      <c r="A81">
        <v>46</v>
      </c>
      <c r="B81" t="s">
        <v>43</v>
      </c>
      <c r="C81" t="s">
        <v>64</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_xlfn.IFS(Table1[[#This Row],[Age]]&lt;30,"Young",Table1[[#This Row],[Age]]&lt;=40,"Adult",Table1[[#This Row],[Age]]&gt;40,"Senior")</f>
        <v>Senior</v>
      </c>
      <c r="AK81" t="str" cm="1">
        <f t="array" ref="AK81">_xlfn.IFS(Table1[[#This Row],[MonthlyIncome]]&lt;5000,"Low",Table1[[#This Row],[MonthlyIncome]]&lt;10000,"Medium",Table1[[#This Row],[MonthlyIncome]]&gt;10000,"High")</f>
        <v>Medium</v>
      </c>
      <c r="AL81" t="str" cm="1">
        <f t="array" ref="AL81">_xlfn.IFS(Table1[[#This Row],[Attrition]]="Yes","Resigned",Table1[[#This Row],[Attrition]]="No","Active")</f>
        <v>Active</v>
      </c>
      <c r="AM81" t="str" cm="1">
        <f t="array" ref="AM81">_xlfn.IFS(Table1[[#This Row],[YearsAtCompany]]&lt;=1,"0-1 Year",Table1[[#This Row],[YearsAtCompany]]&lt;=2,"1-2 Years",Table1[[#This Row],[YearsAtCompany]]&lt;=3,"2-3 Years",Table1[[#This Row],[YearsAtCompany]]&lt;=4,"3-4 Years",Table1[[#This Row],[YearsAtCompany]]&lt;=5,"4-5 Years",Table1[[#This Row],[YearsAtCompany]]&gt;5,"&gt;5 Years")</f>
        <v>3-4 Years</v>
      </c>
    </row>
    <row r="82" spans="1:39" hidden="1" x14ac:dyDescent="0.45">
      <c r="A82">
        <v>30</v>
      </c>
      <c r="B82" t="s">
        <v>43</v>
      </c>
      <c r="C82" t="s">
        <v>64</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_xlfn.IFS(Table1[[#This Row],[Age]]&lt;30,"Young",Table1[[#This Row],[Age]]&lt;=40,"Adult",Table1[[#This Row],[Age]]&gt;40,"Senior")</f>
        <v>Adult</v>
      </c>
      <c r="AK82" t="str" cm="1">
        <f t="array" ref="AK82">_xlfn.IFS(Table1[[#This Row],[MonthlyIncome]]&lt;5000,"Low",Table1[[#This Row],[MonthlyIncome]]&lt;10000,"Medium",Table1[[#This Row],[MonthlyIncome]]&gt;10000,"High")</f>
        <v>Medium</v>
      </c>
      <c r="AL82" t="str" cm="1">
        <f t="array" ref="AL82">_xlfn.IFS(Table1[[#This Row],[Attrition]]="Yes","Resigned",Table1[[#This Row],[Attrition]]="No","Active")</f>
        <v>Active</v>
      </c>
      <c r="AM82" t="str" cm="1">
        <f t="array" ref="AM82">_xlfn.IFS(Table1[[#This Row],[YearsAtCompany]]&lt;=1,"0-1 Year",Table1[[#This Row],[YearsAtCompany]]&lt;=2,"1-2 Years",Table1[[#This Row],[YearsAtCompany]]&lt;=3,"2-3 Years",Table1[[#This Row],[YearsAtCompany]]&lt;=4,"3-4 Years",Table1[[#This Row],[YearsAtCompany]]&lt;=5,"4-5 Years",Table1[[#This Row],[YearsAtCompany]]&gt;5,"&gt;5 Years")</f>
        <v>&gt;5 Years</v>
      </c>
    </row>
    <row r="83" spans="1:39" hidden="1" x14ac:dyDescent="0.45">
      <c r="A83">
        <v>35</v>
      </c>
      <c r="B83" t="s">
        <v>43</v>
      </c>
      <c r="C83" t="s">
        <v>64</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_xlfn.IFS(Table1[[#This Row],[Age]]&lt;30,"Young",Table1[[#This Row],[Age]]&lt;=40,"Adult",Table1[[#This Row],[Age]]&gt;40,"Senior")</f>
        <v>Adult</v>
      </c>
      <c r="AK83" t="str" cm="1">
        <f t="array" ref="AK83">_xlfn.IFS(Table1[[#This Row],[MonthlyIncome]]&lt;5000,"Low",Table1[[#This Row],[MonthlyIncome]]&lt;10000,"Medium",Table1[[#This Row],[MonthlyIncome]]&gt;10000,"High")</f>
        <v>Low</v>
      </c>
      <c r="AL83" t="str" cm="1">
        <f t="array" ref="AL83">_xlfn.IFS(Table1[[#This Row],[Attrition]]="Yes","Resigned",Table1[[#This Row],[Attrition]]="No","Active")</f>
        <v>Active</v>
      </c>
      <c r="AM83" t="str" cm="1">
        <f t="array" ref="AM83">_xlfn.IFS(Table1[[#This Row],[YearsAtCompany]]&lt;=1,"0-1 Year",Table1[[#This Row],[YearsAtCompany]]&lt;=2,"1-2 Years",Table1[[#This Row],[YearsAtCompany]]&lt;=3,"2-3 Years",Table1[[#This Row],[YearsAtCompany]]&lt;=4,"3-4 Years",Table1[[#This Row],[YearsAtCompany]]&lt;=5,"4-5 Years",Table1[[#This Row],[YearsAtCompany]]&gt;5,"&gt;5 Years")</f>
        <v>&gt;5 Years</v>
      </c>
    </row>
    <row r="84" spans="1:39" x14ac:dyDescent="0.45">
      <c r="A84">
        <v>55</v>
      </c>
      <c r="B84" t="s">
        <v>43</v>
      </c>
      <c r="C84" t="s">
        <v>64</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_xlfn.IFS(Table1[[#This Row],[Age]]&lt;30,"Young",Table1[[#This Row],[Age]]&lt;=40,"Adult",Table1[[#This Row],[Age]]&gt;40,"Senior")</f>
        <v>Senior</v>
      </c>
      <c r="AK84" t="str" cm="1">
        <f t="array" ref="AK84">_xlfn.IFS(Table1[[#This Row],[MonthlyIncome]]&lt;5000,"Low",Table1[[#This Row],[MonthlyIncome]]&lt;10000,"Medium",Table1[[#This Row],[MonthlyIncome]]&gt;10000,"High")</f>
        <v>High</v>
      </c>
      <c r="AL84" t="str" cm="1">
        <f t="array" ref="AL84">_xlfn.IFS(Table1[[#This Row],[Attrition]]="Yes","Resigned",Table1[[#This Row],[Attrition]]="No","Active")</f>
        <v>Active</v>
      </c>
      <c r="AM84" t="str" cm="1">
        <f t="array" ref="AM84">_xlfn.IFS(Table1[[#This Row],[YearsAtCompany]]&lt;=1,"0-1 Year",Table1[[#This Row],[YearsAtCompany]]&lt;=2,"1-2 Years",Table1[[#This Row],[YearsAtCompany]]&lt;=3,"2-3 Years",Table1[[#This Row],[YearsAtCompany]]&lt;=4,"3-4 Years",Table1[[#This Row],[YearsAtCompany]]&lt;=5,"4-5 Years",Table1[[#This Row],[YearsAtCompany]]&gt;5,"&gt;5 Years")</f>
        <v>0-1 Year</v>
      </c>
    </row>
    <row r="85" spans="1:39" hidden="1" x14ac:dyDescent="0.45">
      <c r="A85">
        <v>38</v>
      </c>
      <c r="B85" t="s">
        <v>43</v>
      </c>
      <c r="C85" t="s">
        <v>62</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_xlfn.IFS(Table1[[#This Row],[Age]]&lt;30,"Young",Table1[[#This Row],[Age]]&lt;=40,"Adult",Table1[[#This Row],[Age]]&gt;40,"Senior")</f>
        <v>Adult</v>
      </c>
      <c r="AK85" t="str" cm="1">
        <f t="array" ref="AK85">_xlfn.IFS(Table1[[#This Row],[MonthlyIncome]]&lt;5000,"Low",Table1[[#This Row],[MonthlyIncome]]&lt;10000,"Medium",Table1[[#This Row],[MonthlyIncome]]&gt;10000,"High")</f>
        <v>Medium</v>
      </c>
      <c r="AL85" t="str" cm="1">
        <f t="array" ref="AL85">_xlfn.IFS(Table1[[#This Row],[Attrition]]="Yes","Resigned",Table1[[#This Row],[Attrition]]="No","Active")</f>
        <v>Active</v>
      </c>
      <c r="AM85" t="str" cm="1">
        <f t="array" ref="AM85">_xlfn.IFS(Table1[[#This Row],[YearsAtCompany]]&lt;=1,"0-1 Year",Table1[[#This Row],[YearsAtCompany]]&lt;=2,"1-2 Years",Table1[[#This Row],[YearsAtCompany]]&lt;=3,"2-3 Years",Table1[[#This Row],[YearsAtCompany]]&lt;=4,"3-4 Years",Table1[[#This Row],[YearsAtCompany]]&lt;=5,"4-5 Years",Table1[[#This Row],[YearsAtCompany]]&gt;5,"&gt;5 Years")</f>
        <v>&gt;5 Years</v>
      </c>
    </row>
    <row r="86" spans="1:39" hidden="1" x14ac:dyDescent="0.45">
      <c r="A86">
        <v>34</v>
      </c>
      <c r="B86" t="s">
        <v>43</v>
      </c>
      <c r="C86" t="s">
        <v>64</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_xlfn.IFS(Table1[[#This Row],[Age]]&lt;30,"Young",Table1[[#This Row],[Age]]&lt;=40,"Adult",Table1[[#This Row],[Age]]&gt;40,"Senior")</f>
        <v>Adult</v>
      </c>
      <c r="AK86" t="str" cm="1">
        <f t="array" ref="AK86">_xlfn.IFS(Table1[[#This Row],[MonthlyIncome]]&lt;5000,"Low",Table1[[#This Row],[MonthlyIncome]]&lt;10000,"Medium",Table1[[#This Row],[MonthlyIncome]]&gt;10000,"High")</f>
        <v>Low</v>
      </c>
      <c r="AL86" t="str" cm="1">
        <f t="array" ref="AL86">_xlfn.IFS(Table1[[#This Row],[Attrition]]="Yes","Resigned",Table1[[#This Row],[Attrition]]="No","Active")</f>
        <v>Active</v>
      </c>
      <c r="AM86" t="str" cm="1">
        <f t="array" ref="AM86">_xlfn.IFS(Table1[[#This Row],[YearsAtCompany]]&lt;=1,"0-1 Year",Table1[[#This Row],[YearsAtCompany]]&lt;=2,"1-2 Years",Table1[[#This Row],[YearsAtCompany]]&lt;=3,"2-3 Years",Table1[[#This Row],[YearsAtCompany]]&lt;=4,"3-4 Years",Table1[[#This Row],[YearsAtCompany]]&lt;=5,"4-5 Years",Table1[[#This Row],[YearsAtCompany]]&gt;5,"&gt;5 Years")</f>
        <v>4-5 Years</v>
      </c>
    </row>
    <row r="87" spans="1:39" hidden="1" x14ac:dyDescent="0.45">
      <c r="A87">
        <v>56</v>
      </c>
      <c r="B87" t="s">
        <v>43</v>
      </c>
      <c r="C87" t="s">
        <v>64</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_xlfn.IFS(Table1[[#This Row],[Age]]&lt;30,"Young",Table1[[#This Row],[Age]]&lt;=40,"Adult",Table1[[#This Row],[Age]]&gt;40,"Senior")</f>
        <v>Senior</v>
      </c>
      <c r="AK87" t="str" cm="1">
        <f t="array" ref="AK87">_xlfn.IFS(Table1[[#This Row],[MonthlyIncome]]&lt;5000,"Low",Table1[[#This Row],[MonthlyIncome]]&lt;10000,"Medium",Table1[[#This Row],[MonthlyIncome]]&gt;10000,"High")</f>
        <v>Medium</v>
      </c>
      <c r="AL87" t="str" cm="1">
        <f t="array" ref="AL87">_xlfn.IFS(Table1[[#This Row],[Attrition]]="Yes","Resigned",Table1[[#This Row],[Attrition]]="No","Active")</f>
        <v>Active</v>
      </c>
      <c r="AM87" t="str" cm="1">
        <f t="array" ref="AM87">_xlfn.IFS(Table1[[#This Row],[YearsAtCompany]]&lt;=1,"0-1 Year",Table1[[#This Row],[YearsAtCompany]]&lt;=2,"1-2 Years",Table1[[#This Row],[YearsAtCompany]]&lt;=3,"2-3 Years",Table1[[#This Row],[YearsAtCompany]]&lt;=4,"3-4 Years",Table1[[#This Row],[YearsAtCompany]]&lt;=5,"4-5 Years",Table1[[#This Row],[YearsAtCompany]]&gt;5,"&gt;5 Years")</f>
        <v>&gt;5 Years</v>
      </c>
    </row>
    <row r="88" spans="1:39" x14ac:dyDescent="0.45">
      <c r="A88">
        <v>23</v>
      </c>
      <c r="B88" t="s">
        <v>43</v>
      </c>
      <c r="C88" t="s">
        <v>64</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_xlfn.IFS(Table1[[#This Row],[Age]]&lt;30,"Young",Table1[[#This Row],[Age]]&lt;=40,"Adult",Table1[[#This Row],[Age]]&gt;40,"Senior")</f>
        <v>Young</v>
      </c>
      <c r="AK88" t="str" cm="1">
        <f t="array" ref="AK88">_xlfn.IFS(Table1[[#This Row],[MonthlyIncome]]&lt;5000,"Low",Table1[[#This Row],[MonthlyIncome]]&lt;10000,"Medium",Table1[[#This Row],[MonthlyIncome]]&gt;10000,"High")</f>
        <v>Low</v>
      </c>
      <c r="AL88" t="str" cm="1">
        <f t="array" ref="AL88">_xlfn.IFS(Table1[[#This Row],[Attrition]]="Yes","Resigned",Table1[[#This Row],[Attrition]]="No","Active")</f>
        <v>Active</v>
      </c>
      <c r="AM88" t="str" cm="1">
        <f t="array" ref="AM88">_xlfn.IFS(Table1[[#This Row],[YearsAtCompany]]&lt;=1,"0-1 Year",Table1[[#This Row],[YearsAtCompany]]&lt;=2,"1-2 Years",Table1[[#This Row],[YearsAtCompany]]&lt;=3,"2-3 Years",Table1[[#This Row],[YearsAtCompany]]&lt;=4,"3-4 Years",Table1[[#This Row],[YearsAtCompany]]&lt;=5,"4-5 Years",Table1[[#This Row],[YearsAtCompany]]&gt;5,"&gt;5 Years")</f>
        <v>0-1 Year</v>
      </c>
    </row>
    <row r="89" spans="1:39" hidden="1" x14ac:dyDescent="0.45">
      <c r="A89">
        <v>51</v>
      </c>
      <c r="B89" t="s">
        <v>43</v>
      </c>
      <c r="C89" t="s">
        <v>64</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_xlfn.IFS(Table1[[#This Row],[Age]]&lt;30,"Young",Table1[[#This Row],[Age]]&lt;=40,"Adult",Table1[[#This Row],[Age]]&gt;40,"Senior")</f>
        <v>Senior</v>
      </c>
      <c r="AK89" t="str" cm="1">
        <f t="array" ref="AK89">_xlfn.IFS(Table1[[#This Row],[MonthlyIncome]]&lt;5000,"Low",Table1[[#This Row],[MonthlyIncome]]&lt;10000,"Medium",Table1[[#This Row],[MonthlyIncome]]&gt;10000,"High")</f>
        <v>Low</v>
      </c>
      <c r="AL89" t="str" cm="1">
        <f t="array" ref="AL89">_xlfn.IFS(Table1[[#This Row],[Attrition]]="Yes","Resigned",Table1[[#This Row],[Attrition]]="No","Active")</f>
        <v>Active</v>
      </c>
      <c r="AM89" t="str" cm="1">
        <f t="array" ref="AM89">_xlfn.IFS(Table1[[#This Row],[YearsAtCompany]]&lt;=1,"0-1 Year",Table1[[#This Row],[YearsAtCompany]]&lt;=2,"1-2 Years",Table1[[#This Row],[YearsAtCompany]]&lt;=3,"2-3 Years",Table1[[#This Row],[YearsAtCompany]]&lt;=4,"3-4 Years",Table1[[#This Row],[YearsAtCompany]]&lt;=5,"4-5 Years",Table1[[#This Row],[YearsAtCompany]]&gt;5,"&gt;5 Years")</f>
        <v>3-4 Years</v>
      </c>
    </row>
    <row r="90" spans="1:39" hidden="1" x14ac:dyDescent="0.45">
      <c r="A90">
        <v>30</v>
      </c>
      <c r="B90" t="s">
        <v>43</v>
      </c>
      <c r="C90" t="s">
        <v>64</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_xlfn.IFS(Table1[[#This Row],[Age]]&lt;30,"Young",Table1[[#This Row],[Age]]&lt;=40,"Adult",Table1[[#This Row],[Age]]&gt;40,"Senior")</f>
        <v>Adult</v>
      </c>
      <c r="AK90" t="str" cm="1">
        <f t="array" ref="AK90">_xlfn.IFS(Table1[[#This Row],[MonthlyIncome]]&lt;5000,"Low",Table1[[#This Row],[MonthlyIncome]]&lt;10000,"Medium",Table1[[#This Row],[MonthlyIncome]]&gt;10000,"High")</f>
        <v>Low</v>
      </c>
      <c r="AL90" t="str" cm="1">
        <f t="array" ref="AL90">_xlfn.IFS(Table1[[#This Row],[Attrition]]="Yes","Resigned",Table1[[#This Row],[Attrition]]="No","Active")</f>
        <v>Active</v>
      </c>
      <c r="AM90" t="str" cm="1">
        <f t="array" ref="AM90">_xlfn.IFS(Table1[[#This Row],[YearsAtCompany]]&lt;=1,"0-1 Year",Table1[[#This Row],[YearsAtCompany]]&lt;=2,"1-2 Years",Table1[[#This Row],[YearsAtCompany]]&lt;=3,"2-3 Years",Table1[[#This Row],[YearsAtCompany]]&lt;=4,"3-4 Years",Table1[[#This Row],[YearsAtCompany]]&lt;=5,"4-5 Years",Table1[[#This Row],[YearsAtCompany]]&gt;5,"&gt;5 Years")</f>
        <v>&gt;5 Years</v>
      </c>
    </row>
    <row r="91" spans="1:39" x14ac:dyDescent="0.45">
      <c r="A91">
        <v>46</v>
      </c>
      <c r="B91" t="s">
        <v>35</v>
      </c>
      <c r="C91" t="s">
        <v>64</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_xlfn.IFS(Table1[[#This Row],[Age]]&lt;30,"Young",Table1[[#This Row],[Age]]&lt;=40,"Adult",Table1[[#This Row],[Age]]&gt;40,"Senior")</f>
        <v>Senior</v>
      </c>
      <c r="AK91" t="str" cm="1">
        <f t="array" ref="AK91">_xlfn.IFS(Table1[[#This Row],[MonthlyIncome]]&lt;5000,"Low",Table1[[#This Row],[MonthlyIncome]]&lt;10000,"Medium",Table1[[#This Row],[MonthlyIncome]]&gt;10000,"High")</f>
        <v>Medium</v>
      </c>
      <c r="AL91" t="str" cm="1">
        <f t="array" ref="AL91">_xlfn.IFS(Table1[[#This Row],[Attrition]]="Yes","Resigned",Table1[[#This Row],[Attrition]]="No","Active")</f>
        <v>Resigned</v>
      </c>
      <c r="AM91" t="str" cm="1">
        <f t="array" ref="AM91">_xlfn.IFS(Table1[[#This Row],[YearsAtCompany]]&lt;=1,"0-1 Year",Table1[[#This Row],[YearsAtCompany]]&lt;=2,"1-2 Years",Table1[[#This Row],[YearsAtCompany]]&lt;=3,"2-3 Years",Table1[[#This Row],[YearsAtCompany]]&lt;=4,"3-4 Years",Table1[[#This Row],[YearsAtCompany]]&lt;=5,"4-5 Years",Table1[[#This Row],[YearsAtCompany]]&gt;5,"&gt;5 Years")</f>
        <v>&gt;5 Years</v>
      </c>
    </row>
    <row r="92" spans="1:39" hidden="1" x14ac:dyDescent="0.45">
      <c r="A92">
        <v>40</v>
      </c>
      <c r="B92" t="s">
        <v>43</v>
      </c>
      <c r="C92" t="s">
        <v>63</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_xlfn.IFS(Table1[[#This Row],[Age]]&lt;30,"Young",Table1[[#This Row],[Age]]&lt;=40,"Adult",Table1[[#This Row],[Age]]&gt;40,"Senior")</f>
        <v>Adult</v>
      </c>
      <c r="AK92" t="str" cm="1">
        <f t="array" ref="AK92">_xlfn.IFS(Table1[[#This Row],[MonthlyIncome]]&lt;5000,"Low",Table1[[#This Row],[MonthlyIncome]]&lt;10000,"Medium",Table1[[#This Row],[MonthlyIncome]]&gt;10000,"High")</f>
        <v>High</v>
      </c>
      <c r="AL92" t="str" cm="1">
        <f t="array" ref="AL92">_xlfn.IFS(Table1[[#This Row],[Attrition]]="Yes","Resigned",Table1[[#This Row],[Attrition]]="No","Active")</f>
        <v>Active</v>
      </c>
      <c r="AM92" t="str" cm="1">
        <f t="array" ref="AM92">_xlfn.IFS(Table1[[#This Row],[YearsAtCompany]]&lt;=1,"0-1 Year",Table1[[#This Row],[YearsAtCompany]]&lt;=2,"1-2 Years",Table1[[#This Row],[YearsAtCompany]]&lt;=3,"2-3 Years",Table1[[#This Row],[YearsAtCompany]]&lt;=4,"3-4 Years",Table1[[#This Row],[YearsAtCompany]]&lt;=5,"4-5 Years",Table1[[#This Row],[YearsAtCompany]]&gt;5,"&gt;5 Years")</f>
        <v>&gt;5 Years</v>
      </c>
    </row>
    <row r="93" spans="1:39" x14ac:dyDescent="0.45">
      <c r="A93">
        <v>51</v>
      </c>
      <c r="B93" t="s">
        <v>43</v>
      </c>
      <c r="C93" t="s">
        <v>64</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_xlfn.IFS(Table1[[#This Row],[Age]]&lt;30,"Young",Table1[[#This Row],[Age]]&lt;=40,"Adult",Table1[[#This Row],[Age]]&gt;40,"Senior")</f>
        <v>Senior</v>
      </c>
      <c r="AK93" t="str" cm="1">
        <f t="array" ref="AK93">_xlfn.IFS(Table1[[#This Row],[MonthlyIncome]]&lt;5000,"Low",Table1[[#This Row],[MonthlyIncome]]&lt;10000,"Medium",Table1[[#This Row],[MonthlyIncome]]&gt;10000,"High")</f>
        <v>Medium</v>
      </c>
      <c r="AL93" t="str" cm="1">
        <f t="array" ref="AL93">_xlfn.IFS(Table1[[#This Row],[Attrition]]="Yes","Resigned",Table1[[#This Row],[Attrition]]="No","Active")</f>
        <v>Active</v>
      </c>
      <c r="AM93" t="str" cm="1">
        <f t="array" ref="AM93">_xlfn.IFS(Table1[[#This Row],[YearsAtCompany]]&lt;=1,"0-1 Year",Table1[[#This Row],[YearsAtCompany]]&lt;=2,"1-2 Years",Table1[[#This Row],[YearsAtCompany]]&lt;=3,"2-3 Years",Table1[[#This Row],[YearsAtCompany]]&lt;=4,"3-4 Years",Table1[[#This Row],[YearsAtCompany]]&lt;=5,"4-5 Years",Table1[[#This Row],[YearsAtCompany]]&gt;5,"&gt;5 Years")</f>
        <v>&gt;5 Years</v>
      </c>
    </row>
    <row r="94" spans="1:39" x14ac:dyDescent="0.45">
      <c r="A94">
        <v>30</v>
      </c>
      <c r="B94" t="s">
        <v>43</v>
      </c>
      <c r="C94" t="s">
        <v>64</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_xlfn.IFS(Table1[[#This Row],[Age]]&lt;30,"Young",Table1[[#This Row],[Age]]&lt;=40,"Adult",Table1[[#This Row],[Age]]&gt;40,"Senior")</f>
        <v>Adult</v>
      </c>
      <c r="AK94" t="str" cm="1">
        <f t="array" ref="AK94">_xlfn.IFS(Table1[[#This Row],[MonthlyIncome]]&lt;5000,"Low",Table1[[#This Row],[MonthlyIncome]]&lt;10000,"Medium",Table1[[#This Row],[MonthlyIncome]]&gt;10000,"High")</f>
        <v>Medium</v>
      </c>
      <c r="AL94" t="str" cm="1">
        <f t="array" ref="AL94">_xlfn.IFS(Table1[[#This Row],[Attrition]]="Yes","Resigned",Table1[[#This Row],[Attrition]]="No","Active")</f>
        <v>Active</v>
      </c>
      <c r="AM94" t="str" cm="1">
        <f t="array" ref="AM94">_xlfn.IFS(Table1[[#This Row],[YearsAtCompany]]&lt;=1,"0-1 Year",Table1[[#This Row],[YearsAtCompany]]&lt;=2,"1-2 Years",Table1[[#This Row],[YearsAtCompany]]&lt;=3,"2-3 Years",Table1[[#This Row],[YearsAtCompany]]&lt;=4,"3-4 Years",Table1[[#This Row],[YearsAtCompany]]&lt;=5,"4-5 Years",Table1[[#This Row],[YearsAtCompany]]&gt;5,"&gt;5 Years")</f>
        <v>&gt;5 Years</v>
      </c>
    </row>
    <row r="95" spans="1:39" hidden="1" x14ac:dyDescent="0.45">
      <c r="A95">
        <v>46</v>
      </c>
      <c r="B95" t="s">
        <v>43</v>
      </c>
      <c r="C95" t="s">
        <v>63</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_xlfn.IFS(Table1[[#This Row],[Age]]&lt;30,"Young",Table1[[#This Row],[Age]]&lt;=40,"Adult",Table1[[#This Row],[Age]]&gt;40,"Senior")</f>
        <v>Senior</v>
      </c>
      <c r="AK95" t="str" cm="1">
        <f t="array" ref="AK95">_xlfn.IFS(Table1[[#This Row],[MonthlyIncome]]&lt;5000,"Low",Table1[[#This Row],[MonthlyIncome]]&lt;10000,"Medium",Table1[[#This Row],[MonthlyIncome]]&gt;10000,"High")</f>
        <v>High</v>
      </c>
      <c r="AL95" t="str" cm="1">
        <f t="array" ref="AL95">_xlfn.IFS(Table1[[#This Row],[Attrition]]="Yes","Resigned",Table1[[#This Row],[Attrition]]="No","Active")</f>
        <v>Active</v>
      </c>
      <c r="AM95" t="str" cm="1">
        <f t="array" ref="AM95">_xlfn.IFS(Table1[[#This Row],[YearsAtCompany]]&lt;=1,"0-1 Year",Table1[[#This Row],[YearsAtCompany]]&lt;=2,"1-2 Years",Table1[[#This Row],[YearsAtCompany]]&lt;=3,"2-3 Years",Table1[[#This Row],[YearsAtCompany]]&lt;=4,"3-4 Years",Table1[[#This Row],[YearsAtCompany]]&lt;=5,"4-5 Years",Table1[[#This Row],[YearsAtCompany]]&gt;5,"&gt;5 Years")</f>
        <v>&gt;5 Years</v>
      </c>
    </row>
    <row r="96" spans="1:39" x14ac:dyDescent="0.45">
      <c r="A96">
        <v>32</v>
      </c>
      <c r="B96" t="s">
        <v>43</v>
      </c>
      <c r="C96" t="s">
        <v>64</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_xlfn.IFS(Table1[[#This Row],[Age]]&lt;30,"Young",Table1[[#This Row],[Age]]&lt;=40,"Adult",Table1[[#This Row],[Age]]&gt;40,"Senior")</f>
        <v>Adult</v>
      </c>
      <c r="AK96" t="str" cm="1">
        <f t="array" ref="AK96">_xlfn.IFS(Table1[[#This Row],[MonthlyIncome]]&lt;5000,"Low",Table1[[#This Row],[MonthlyIncome]]&lt;10000,"Medium",Table1[[#This Row],[MonthlyIncome]]&gt;10000,"High")</f>
        <v>Medium</v>
      </c>
      <c r="AL96" t="str" cm="1">
        <f t="array" ref="AL96">_xlfn.IFS(Table1[[#This Row],[Attrition]]="Yes","Resigned",Table1[[#This Row],[Attrition]]="No","Active")</f>
        <v>Active</v>
      </c>
      <c r="AM96" t="str" cm="1">
        <f t="array" ref="AM96">_xlfn.IFS(Table1[[#This Row],[YearsAtCompany]]&lt;=1,"0-1 Year",Table1[[#This Row],[YearsAtCompany]]&lt;=2,"1-2 Years",Table1[[#This Row],[YearsAtCompany]]&lt;=3,"2-3 Years",Table1[[#This Row],[YearsAtCompany]]&lt;=4,"3-4 Years",Table1[[#This Row],[YearsAtCompany]]&lt;=5,"4-5 Years",Table1[[#This Row],[YearsAtCompany]]&gt;5,"&gt;5 Years")</f>
        <v>&gt;5 Years</v>
      </c>
    </row>
    <row r="97" spans="1:39" hidden="1" x14ac:dyDescent="0.45">
      <c r="A97">
        <v>54</v>
      </c>
      <c r="B97" t="s">
        <v>43</v>
      </c>
      <c r="C97" t="s">
        <v>64</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_xlfn.IFS(Table1[[#This Row],[Age]]&lt;30,"Young",Table1[[#This Row],[Age]]&lt;=40,"Adult",Table1[[#This Row],[Age]]&gt;40,"Senior")</f>
        <v>Senior</v>
      </c>
      <c r="AK97" t="str" cm="1">
        <f t="array" ref="AK97">_xlfn.IFS(Table1[[#This Row],[MonthlyIncome]]&lt;5000,"Low",Table1[[#This Row],[MonthlyIncome]]&lt;10000,"Medium",Table1[[#This Row],[MonthlyIncome]]&gt;10000,"High")</f>
        <v>High</v>
      </c>
      <c r="AL97" t="str" cm="1">
        <f t="array" ref="AL97">_xlfn.IFS(Table1[[#This Row],[Attrition]]="Yes","Resigned",Table1[[#This Row],[Attrition]]="No","Active")</f>
        <v>Active</v>
      </c>
      <c r="AM97" t="str" cm="1">
        <f t="array" ref="AM97">_xlfn.IFS(Table1[[#This Row],[YearsAtCompany]]&lt;=1,"0-1 Year",Table1[[#This Row],[YearsAtCompany]]&lt;=2,"1-2 Years",Table1[[#This Row],[YearsAtCompany]]&lt;=3,"2-3 Years",Table1[[#This Row],[YearsAtCompany]]&lt;=4,"3-4 Years",Table1[[#This Row],[YearsAtCompany]]&lt;=5,"4-5 Years",Table1[[#This Row],[YearsAtCompany]]&gt;5,"&gt;5 Years")</f>
        <v>3-4 Years</v>
      </c>
    </row>
    <row r="98" spans="1:39" x14ac:dyDescent="0.45">
      <c r="A98">
        <v>24</v>
      </c>
      <c r="B98" t="s">
        <v>43</v>
      </c>
      <c r="C98" t="s">
        <v>64</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_xlfn.IFS(Table1[[#This Row],[Age]]&lt;30,"Young",Table1[[#This Row],[Age]]&lt;=40,"Adult",Table1[[#This Row],[Age]]&gt;40,"Senior")</f>
        <v>Young</v>
      </c>
      <c r="AK98" t="str" cm="1">
        <f t="array" ref="AK98">_xlfn.IFS(Table1[[#This Row],[MonthlyIncome]]&lt;5000,"Low",Table1[[#This Row],[MonthlyIncome]]&lt;10000,"Medium",Table1[[#This Row],[MonthlyIncome]]&gt;10000,"High")</f>
        <v>Low</v>
      </c>
      <c r="AL98" t="str" cm="1">
        <f t="array" ref="AL98">_xlfn.IFS(Table1[[#This Row],[Attrition]]="Yes","Resigned",Table1[[#This Row],[Attrition]]="No","Active")</f>
        <v>Active</v>
      </c>
      <c r="AM98" t="str" cm="1">
        <f t="array" ref="AM98">_xlfn.IFS(Table1[[#This Row],[YearsAtCompany]]&lt;=1,"0-1 Year",Table1[[#This Row],[YearsAtCompany]]&lt;=2,"1-2 Years",Table1[[#This Row],[YearsAtCompany]]&lt;=3,"2-3 Years",Table1[[#This Row],[YearsAtCompany]]&lt;=4,"3-4 Years",Table1[[#This Row],[YearsAtCompany]]&lt;=5,"4-5 Years",Table1[[#This Row],[YearsAtCompany]]&gt;5,"&gt;5 Years")</f>
        <v>2-3 Years</v>
      </c>
    </row>
    <row r="99" spans="1:39" x14ac:dyDescent="0.45">
      <c r="A99">
        <v>28</v>
      </c>
      <c r="B99" t="s">
        <v>43</v>
      </c>
      <c r="C99" t="s">
        <v>62</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_xlfn.IFS(Table1[[#This Row],[Age]]&lt;30,"Young",Table1[[#This Row],[Age]]&lt;=40,"Adult",Table1[[#This Row],[Age]]&gt;40,"Senior")</f>
        <v>Young</v>
      </c>
      <c r="AK99" t="str" cm="1">
        <f t="array" ref="AK99">_xlfn.IFS(Table1[[#This Row],[MonthlyIncome]]&lt;5000,"Low",Table1[[#This Row],[MonthlyIncome]]&lt;10000,"Medium",Table1[[#This Row],[MonthlyIncome]]&gt;10000,"High")</f>
        <v>Low</v>
      </c>
      <c r="AL99" t="str" cm="1">
        <f t="array" ref="AL99">_xlfn.IFS(Table1[[#This Row],[Attrition]]="Yes","Resigned",Table1[[#This Row],[Attrition]]="No","Active")</f>
        <v>Active</v>
      </c>
      <c r="AM99" t="str" cm="1">
        <f t="array" ref="AM99">_xlfn.IFS(Table1[[#This Row],[YearsAtCompany]]&lt;=1,"0-1 Year",Table1[[#This Row],[YearsAtCompany]]&lt;=2,"1-2 Years",Table1[[#This Row],[YearsAtCompany]]&lt;=3,"2-3 Years",Table1[[#This Row],[YearsAtCompany]]&lt;=4,"3-4 Years",Table1[[#This Row],[YearsAtCompany]]&lt;=5,"4-5 Years",Table1[[#This Row],[YearsAtCompany]]&gt;5,"&gt;5 Years")</f>
        <v>4-5 Years</v>
      </c>
    </row>
    <row r="100" spans="1:39" x14ac:dyDescent="0.45">
      <c r="A100">
        <v>58</v>
      </c>
      <c r="B100" t="s">
        <v>43</v>
      </c>
      <c r="C100" t="s">
        <v>64</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_xlfn.IFS(Table1[[#This Row],[Age]]&lt;30,"Young",Table1[[#This Row],[Age]]&lt;=40,"Adult",Table1[[#This Row],[Age]]&gt;40,"Senior")</f>
        <v>Senior</v>
      </c>
      <c r="AK100" t="str" cm="1">
        <f t="array" ref="AK100">_xlfn.IFS(Table1[[#This Row],[MonthlyIncome]]&lt;5000,"Low",Table1[[#This Row],[MonthlyIncome]]&lt;10000,"Medium",Table1[[#This Row],[MonthlyIncome]]&gt;10000,"High")</f>
        <v>High</v>
      </c>
      <c r="AL100" t="str" cm="1">
        <f t="array" ref="AL100">_xlfn.IFS(Table1[[#This Row],[Attrition]]="Yes","Resigned",Table1[[#This Row],[Attrition]]="No","Active")</f>
        <v>Active</v>
      </c>
      <c r="AM100" t="str" cm="1">
        <f t="array" ref="AM100">_xlfn.IFS(Table1[[#This Row],[YearsAtCompany]]&lt;=1,"0-1 Year",Table1[[#This Row],[YearsAtCompany]]&lt;=2,"1-2 Years",Table1[[#This Row],[YearsAtCompany]]&lt;=3,"2-3 Years",Table1[[#This Row],[YearsAtCompany]]&lt;=4,"3-4 Years",Table1[[#This Row],[YearsAtCompany]]&lt;=5,"4-5 Years",Table1[[#This Row],[YearsAtCompany]]&gt;5,"&gt;5 Years")</f>
        <v>&gt;5 Years</v>
      </c>
    </row>
    <row r="101" spans="1:39" hidden="1" x14ac:dyDescent="0.45">
      <c r="A101">
        <v>44</v>
      </c>
      <c r="B101" t="s">
        <v>43</v>
      </c>
      <c r="C101" t="s">
        <v>62</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_xlfn.IFS(Table1[[#This Row],[Age]]&lt;30,"Young",Table1[[#This Row],[Age]]&lt;=40,"Adult",Table1[[#This Row],[Age]]&gt;40,"Senior")</f>
        <v>Senior</v>
      </c>
      <c r="AK101" t="str" cm="1">
        <f t="array" ref="AK101">_xlfn.IFS(Table1[[#This Row],[MonthlyIncome]]&lt;5000,"Low",Table1[[#This Row],[MonthlyIncome]]&lt;10000,"Medium",Table1[[#This Row],[MonthlyIncome]]&gt;10000,"High")</f>
        <v>Low</v>
      </c>
      <c r="AL101" t="str" cm="1">
        <f t="array" ref="AL101">_xlfn.IFS(Table1[[#This Row],[Attrition]]="Yes","Resigned",Table1[[#This Row],[Attrition]]="No","Active")</f>
        <v>Active</v>
      </c>
      <c r="AM101" t="str" cm="1">
        <f t="array" ref="AM101">_xlfn.IFS(Table1[[#This Row],[YearsAtCompany]]&lt;=1,"0-1 Year",Table1[[#This Row],[YearsAtCompany]]&lt;=2,"1-2 Years",Table1[[#This Row],[YearsAtCompany]]&lt;=3,"2-3 Years",Table1[[#This Row],[YearsAtCompany]]&lt;=4,"3-4 Years",Table1[[#This Row],[YearsAtCompany]]&lt;=5,"4-5 Years",Table1[[#This Row],[YearsAtCompany]]&gt;5,"&gt;5 Years")</f>
        <v>2-3 Years</v>
      </c>
    </row>
    <row r="102" spans="1:39" hidden="1" x14ac:dyDescent="0.45">
      <c r="A102">
        <v>37</v>
      </c>
      <c r="B102" t="s">
        <v>35</v>
      </c>
      <c r="C102" t="s">
        <v>64</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_xlfn.IFS(Table1[[#This Row],[Age]]&lt;30,"Young",Table1[[#This Row],[Age]]&lt;=40,"Adult",Table1[[#This Row],[Age]]&gt;40,"Senior")</f>
        <v>Adult</v>
      </c>
      <c r="AK102" t="str" cm="1">
        <f t="array" ref="AK102">_xlfn.IFS(Table1[[#This Row],[MonthlyIncome]]&lt;5000,"Low",Table1[[#This Row],[MonthlyIncome]]&lt;10000,"Medium",Table1[[#This Row],[MonthlyIncome]]&gt;10000,"High")</f>
        <v>Low</v>
      </c>
      <c r="AL102" t="str" cm="1">
        <f t="array" ref="AL102">_xlfn.IFS(Table1[[#This Row],[Attrition]]="Yes","Resigned",Table1[[#This Row],[Attrition]]="No","Active")</f>
        <v>Resigned</v>
      </c>
      <c r="AM102" t="str" cm="1">
        <f t="array" ref="AM102">_xlfn.IFS(Table1[[#This Row],[YearsAtCompany]]&lt;=1,"0-1 Year",Table1[[#This Row],[YearsAtCompany]]&lt;=2,"1-2 Years",Table1[[#This Row],[YearsAtCompany]]&lt;=3,"2-3 Years",Table1[[#This Row],[YearsAtCompany]]&lt;=4,"3-4 Years",Table1[[#This Row],[YearsAtCompany]]&lt;=5,"4-5 Years",Table1[[#This Row],[YearsAtCompany]]&gt;5,"&gt;5 Years")</f>
        <v>2-3 Years</v>
      </c>
    </row>
    <row r="103" spans="1:39" hidden="1" x14ac:dyDescent="0.45">
      <c r="A103">
        <v>32</v>
      </c>
      <c r="B103" t="s">
        <v>43</v>
      </c>
      <c r="C103" t="s">
        <v>64</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_xlfn.IFS(Table1[[#This Row],[Age]]&lt;30,"Young",Table1[[#This Row],[Age]]&lt;=40,"Adult",Table1[[#This Row],[Age]]&gt;40,"Senior")</f>
        <v>Adult</v>
      </c>
      <c r="AK103" t="str" cm="1">
        <f t="array" ref="AK103">_xlfn.IFS(Table1[[#This Row],[MonthlyIncome]]&lt;5000,"Low",Table1[[#This Row],[MonthlyIncome]]&lt;10000,"Medium",Table1[[#This Row],[MonthlyIncome]]&gt;10000,"High")</f>
        <v>Low</v>
      </c>
      <c r="AL103" t="str" cm="1">
        <f t="array" ref="AL103">_xlfn.IFS(Table1[[#This Row],[Attrition]]="Yes","Resigned",Table1[[#This Row],[Attrition]]="No","Active")</f>
        <v>Active</v>
      </c>
      <c r="AM103" t="str" cm="1">
        <f t="array" ref="AM103">_xlfn.IFS(Table1[[#This Row],[YearsAtCompany]]&lt;=1,"0-1 Year",Table1[[#This Row],[YearsAtCompany]]&lt;=2,"1-2 Years",Table1[[#This Row],[YearsAtCompany]]&lt;=3,"2-3 Years",Table1[[#This Row],[YearsAtCompany]]&lt;=4,"3-4 Years",Table1[[#This Row],[YearsAtCompany]]&lt;=5,"4-5 Years",Table1[[#This Row],[YearsAtCompany]]&gt;5,"&gt;5 Years")</f>
        <v>0-1 Year</v>
      </c>
    </row>
    <row r="104" spans="1:39" hidden="1" x14ac:dyDescent="0.45">
      <c r="A104">
        <v>20</v>
      </c>
      <c r="B104" t="s">
        <v>35</v>
      </c>
      <c r="C104" t="s">
        <v>63</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_xlfn.IFS(Table1[[#This Row],[Age]]&lt;30,"Young",Table1[[#This Row],[Age]]&lt;=40,"Adult",Table1[[#This Row],[Age]]&gt;40,"Senior")</f>
        <v>Young</v>
      </c>
      <c r="AK104" t="str" cm="1">
        <f t="array" ref="AK104">_xlfn.IFS(Table1[[#This Row],[MonthlyIncome]]&lt;5000,"Low",Table1[[#This Row],[MonthlyIncome]]&lt;10000,"Medium",Table1[[#This Row],[MonthlyIncome]]&gt;10000,"High")</f>
        <v>Low</v>
      </c>
      <c r="AL104" t="str" cm="1">
        <f t="array" ref="AL104">_xlfn.IFS(Table1[[#This Row],[Attrition]]="Yes","Resigned",Table1[[#This Row],[Attrition]]="No","Active")</f>
        <v>Resigned</v>
      </c>
      <c r="AM104" t="str" cm="1">
        <f t="array" ref="AM104">_xlfn.IFS(Table1[[#This Row],[YearsAtCompany]]&lt;=1,"0-1 Year",Table1[[#This Row],[YearsAtCompany]]&lt;=2,"1-2 Years",Table1[[#This Row],[YearsAtCompany]]&lt;=3,"2-3 Years",Table1[[#This Row],[YearsAtCompany]]&lt;=4,"3-4 Years",Table1[[#This Row],[YearsAtCompany]]&lt;=5,"4-5 Years",Table1[[#This Row],[YearsAtCompany]]&gt;5,"&gt;5 Years")</f>
        <v>0-1 Year</v>
      </c>
    </row>
    <row r="105" spans="1:39" hidden="1" x14ac:dyDescent="0.45">
      <c r="A105">
        <v>34</v>
      </c>
      <c r="B105" t="s">
        <v>43</v>
      </c>
      <c r="C105" t="s">
        <v>64</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_xlfn.IFS(Table1[[#This Row],[Age]]&lt;30,"Young",Table1[[#This Row],[Age]]&lt;=40,"Adult",Table1[[#This Row],[Age]]&gt;40,"Senior")</f>
        <v>Adult</v>
      </c>
      <c r="AK105" t="str" cm="1">
        <f t="array" ref="AK105">_xlfn.IFS(Table1[[#This Row],[MonthlyIncome]]&lt;5000,"Low",Table1[[#This Row],[MonthlyIncome]]&lt;10000,"Medium",Table1[[#This Row],[MonthlyIncome]]&gt;10000,"High")</f>
        <v>Low</v>
      </c>
      <c r="AL105" t="str" cm="1">
        <f t="array" ref="AL105">_xlfn.IFS(Table1[[#This Row],[Attrition]]="Yes","Resigned",Table1[[#This Row],[Attrition]]="No","Active")</f>
        <v>Active</v>
      </c>
      <c r="AM105" t="str" cm="1">
        <f t="array" ref="AM105">_xlfn.IFS(Table1[[#This Row],[YearsAtCompany]]&lt;=1,"0-1 Year",Table1[[#This Row],[YearsAtCompany]]&lt;=2,"1-2 Years",Table1[[#This Row],[YearsAtCompany]]&lt;=3,"2-3 Years",Table1[[#This Row],[YearsAtCompany]]&lt;=4,"3-4 Years",Table1[[#This Row],[YearsAtCompany]]&lt;=5,"4-5 Years",Table1[[#This Row],[YearsAtCompany]]&gt;5,"&gt;5 Years")</f>
        <v>&gt;5 Years</v>
      </c>
    </row>
    <row r="106" spans="1:39" hidden="1" x14ac:dyDescent="0.45">
      <c r="A106">
        <v>37</v>
      </c>
      <c r="B106" t="s">
        <v>43</v>
      </c>
      <c r="C106" t="s">
        <v>62</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_xlfn.IFS(Table1[[#This Row],[Age]]&lt;30,"Young",Table1[[#This Row],[Age]]&lt;=40,"Adult",Table1[[#This Row],[Age]]&gt;40,"Senior")</f>
        <v>Adult</v>
      </c>
      <c r="AK106" t="str" cm="1">
        <f t="array" ref="AK106">_xlfn.IFS(Table1[[#This Row],[MonthlyIncome]]&lt;5000,"Low",Table1[[#This Row],[MonthlyIncome]]&lt;10000,"Medium",Table1[[#This Row],[MonthlyIncome]]&gt;10000,"High")</f>
        <v>Medium</v>
      </c>
      <c r="AL106" t="str" cm="1">
        <f t="array" ref="AL106">_xlfn.IFS(Table1[[#This Row],[Attrition]]="Yes","Resigned",Table1[[#This Row],[Attrition]]="No","Active")</f>
        <v>Active</v>
      </c>
      <c r="AM106" t="str" cm="1">
        <f t="array" ref="AM106">_xlfn.IFS(Table1[[#This Row],[YearsAtCompany]]&lt;=1,"0-1 Year",Table1[[#This Row],[YearsAtCompany]]&lt;=2,"1-2 Years",Table1[[#This Row],[YearsAtCompany]]&lt;=3,"2-3 Years",Table1[[#This Row],[YearsAtCompany]]&lt;=4,"3-4 Years",Table1[[#This Row],[YearsAtCompany]]&lt;=5,"4-5 Years",Table1[[#This Row],[YearsAtCompany]]&gt;5,"&gt;5 Years")</f>
        <v>0-1 Year</v>
      </c>
    </row>
    <row r="107" spans="1:39" hidden="1" x14ac:dyDescent="0.45">
      <c r="A107">
        <v>59</v>
      </c>
      <c r="B107" t="s">
        <v>43</v>
      </c>
      <c r="C107" t="s">
        <v>62</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_xlfn.IFS(Table1[[#This Row],[Age]]&lt;30,"Young",Table1[[#This Row],[Age]]&lt;=40,"Adult",Table1[[#This Row],[Age]]&gt;40,"Senior")</f>
        <v>Senior</v>
      </c>
      <c r="AK107" t="str" cm="1">
        <f t="array" ref="AK107">_xlfn.IFS(Table1[[#This Row],[MonthlyIncome]]&lt;5000,"Low",Table1[[#This Row],[MonthlyIncome]]&lt;10000,"Medium",Table1[[#This Row],[MonthlyIncome]]&gt;10000,"High")</f>
        <v>High</v>
      </c>
      <c r="AL107" t="str" cm="1">
        <f t="array" ref="AL107">_xlfn.IFS(Table1[[#This Row],[Attrition]]="Yes","Resigned",Table1[[#This Row],[Attrition]]="No","Active")</f>
        <v>Active</v>
      </c>
      <c r="AM107" t="str" cm="1">
        <f t="array" ref="AM107">_xlfn.IFS(Table1[[#This Row],[YearsAtCompany]]&lt;=1,"0-1 Year",Table1[[#This Row],[YearsAtCompany]]&lt;=2,"1-2 Years",Table1[[#This Row],[YearsAtCompany]]&lt;=3,"2-3 Years",Table1[[#This Row],[YearsAtCompany]]&lt;=4,"3-4 Years",Table1[[#This Row],[YearsAtCompany]]&lt;=5,"4-5 Years",Table1[[#This Row],[YearsAtCompany]]&gt;5,"&gt;5 Years")</f>
        <v>2-3 Years</v>
      </c>
    </row>
    <row r="108" spans="1:39" hidden="1" x14ac:dyDescent="0.45">
      <c r="A108">
        <v>50</v>
      </c>
      <c r="B108" t="s">
        <v>43</v>
      </c>
      <c r="C108" t="s">
        <v>63</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_xlfn.IFS(Table1[[#This Row],[Age]]&lt;30,"Young",Table1[[#This Row],[Age]]&lt;=40,"Adult",Table1[[#This Row],[Age]]&gt;40,"Senior")</f>
        <v>Senior</v>
      </c>
      <c r="AK108" t="str" cm="1">
        <f t="array" ref="AK108">_xlfn.IFS(Table1[[#This Row],[MonthlyIncome]]&lt;5000,"Low",Table1[[#This Row],[MonthlyIncome]]&lt;10000,"Medium",Table1[[#This Row],[MonthlyIncome]]&gt;10000,"High")</f>
        <v>High</v>
      </c>
      <c r="AL108" t="str" cm="1">
        <f t="array" ref="AL108">_xlfn.IFS(Table1[[#This Row],[Attrition]]="Yes","Resigned",Table1[[#This Row],[Attrition]]="No","Active")</f>
        <v>Active</v>
      </c>
      <c r="AM108" t="str" cm="1">
        <f t="array" ref="AM108">_xlfn.IFS(Table1[[#This Row],[YearsAtCompany]]&lt;=1,"0-1 Year",Table1[[#This Row],[YearsAtCompany]]&lt;=2,"1-2 Years",Table1[[#This Row],[YearsAtCompany]]&lt;=3,"2-3 Years",Table1[[#This Row],[YearsAtCompany]]&lt;=4,"3-4 Years",Table1[[#This Row],[YearsAtCompany]]&lt;=5,"4-5 Years",Table1[[#This Row],[YearsAtCompany]]&gt;5,"&gt;5 Years")</f>
        <v>&gt;5 Years</v>
      </c>
    </row>
    <row r="109" spans="1:39" x14ac:dyDescent="0.45">
      <c r="A109">
        <v>25</v>
      </c>
      <c r="B109" t="s">
        <v>35</v>
      </c>
      <c r="C109" t="s">
        <v>64</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_xlfn.IFS(Table1[[#This Row],[Age]]&lt;30,"Young",Table1[[#This Row],[Age]]&lt;=40,"Adult",Table1[[#This Row],[Age]]&gt;40,"Senior")</f>
        <v>Young</v>
      </c>
      <c r="AK109" t="str" cm="1">
        <f t="array" ref="AK109">_xlfn.IFS(Table1[[#This Row],[MonthlyIncome]]&lt;5000,"Low",Table1[[#This Row],[MonthlyIncome]]&lt;10000,"Medium",Table1[[#This Row],[MonthlyIncome]]&gt;10000,"High")</f>
        <v>Medium</v>
      </c>
      <c r="AL109" t="str" cm="1">
        <f t="array" ref="AL109">_xlfn.IFS(Table1[[#This Row],[Attrition]]="Yes","Resigned",Table1[[#This Row],[Attrition]]="No","Active")</f>
        <v>Resigned</v>
      </c>
      <c r="AM109" t="str" cm="1">
        <f t="array" ref="AM109">_xlfn.IFS(Table1[[#This Row],[YearsAtCompany]]&lt;=1,"0-1 Year",Table1[[#This Row],[YearsAtCompany]]&lt;=2,"1-2 Years",Table1[[#This Row],[YearsAtCompany]]&lt;=3,"2-3 Years",Table1[[#This Row],[YearsAtCompany]]&lt;=4,"3-4 Years",Table1[[#This Row],[YearsAtCompany]]&lt;=5,"4-5 Years",Table1[[#This Row],[YearsAtCompany]]&gt;5,"&gt;5 Years")</f>
        <v>&gt;5 Years</v>
      </c>
    </row>
    <row r="110" spans="1:39" hidden="1" x14ac:dyDescent="0.45">
      <c r="A110">
        <v>25</v>
      </c>
      <c r="B110" t="s">
        <v>43</v>
      </c>
      <c r="C110" t="s">
        <v>64</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_xlfn.IFS(Table1[[#This Row],[Age]]&lt;30,"Young",Table1[[#This Row],[Age]]&lt;=40,"Adult",Table1[[#This Row],[Age]]&gt;40,"Senior")</f>
        <v>Young</v>
      </c>
      <c r="AK110" t="str" cm="1">
        <f t="array" ref="AK110">_xlfn.IFS(Table1[[#This Row],[MonthlyIncome]]&lt;5000,"Low",Table1[[#This Row],[MonthlyIncome]]&lt;10000,"Medium",Table1[[#This Row],[MonthlyIncome]]&gt;10000,"High")</f>
        <v>Low</v>
      </c>
      <c r="AL110" t="str" cm="1">
        <f t="array" ref="AL110">_xlfn.IFS(Table1[[#This Row],[Attrition]]="Yes","Resigned",Table1[[#This Row],[Attrition]]="No","Active")</f>
        <v>Active</v>
      </c>
      <c r="AM110" t="str" cm="1">
        <f t="array" ref="AM110">_xlfn.IFS(Table1[[#This Row],[YearsAtCompany]]&lt;=1,"0-1 Year",Table1[[#This Row],[YearsAtCompany]]&lt;=2,"1-2 Years",Table1[[#This Row],[YearsAtCompany]]&lt;=3,"2-3 Years",Table1[[#This Row],[YearsAtCompany]]&lt;=4,"3-4 Years",Table1[[#This Row],[YearsAtCompany]]&lt;=5,"4-5 Years",Table1[[#This Row],[YearsAtCompany]]&gt;5,"&gt;5 Years")</f>
        <v>1-2 Years</v>
      </c>
    </row>
    <row r="111" spans="1:39" hidden="1" x14ac:dyDescent="0.45">
      <c r="A111">
        <v>22</v>
      </c>
      <c r="B111" t="s">
        <v>43</v>
      </c>
      <c r="C111" t="s">
        <v>64</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_xlfn.IFS(Table1[[#This Row],[Age]]&lt;30,"Young",Table1[[#This Row],[Age]]&lt;=40,"Adult",Table1[[#This Row],[Age]]&gt;40,"Senior")</f>
        <v>Young</v>
      </c>
      <c r="AK111" t="str" cm="1">
        <f t="array" ref="AK111">_xlfn.IFS(Table1[[#This Row],[MonthlyIncome]]&lt;5000,"Low",Table1[[#This Row],[MonthlyIncome]]&lt;10000,"Medium",Table1[[#This Row],[MonthlyIncome]]&gt;10000,"High")</f>
        <v>Low</v>
      </c>
      <c r="AL111" t="str" cm="1">
        <f t="array" ref="AL111">_xlfn.IFS(Table1[[#This Row],[Attrition]]="Yes","Resigned",Table1[[#This Row],[Attrition]]="No","Active")</f>
        <v>Active</v>
      </c>
      <c r="AM111" t="str" cm="1">
        <f t="array" ref="AM111">_xlfn.IFS(Table1[[#This Row],[YearsAtCompany]]&lt;=1,"0-1 Year",Table1[[#This Row],[YearsAtCompany]]&lt;=2,"1-2 Years",Table1[[#This Row],[YearsAtCompany]]&lt;=3,"2-3 Years",Table1[[#This Row],[YearsAtCompany]]&lt;=4,"3-4 Years",Table1[[#This Row],[YearsAtCompany]]&lt;=5,"4-5 Years",Table1[[#This Row],[YearsAtCompany]]&gt;5,"&gt;5 Years")</f>
        <v>0-1 Year</v>
      </c>
    </row>
    <row r="112" spans="1:39" hidden="1" x14ac:dyDescent="0.45">
      <c r="A112">
        <v>51</v>
      </c>
      <c r="B112" t="s">
        <v>43</v>
      </c>
      <c r="C112" t="s">
        <v>63</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_xlfn.IFS(Table1[[#This Row],[Age]]&lt;30,"Young",Table1[[#This Row],[Age]]&lt;=40,"Adult",Table1[[#This Row],[Age]]&gt;40,"Senior")</f>
        <v>Senior</v>
      </c>
      <c r="AK112" t="str" cm="1">
        <f t="array" ref="AK112">_xlfn.IFS(Table1[[#This Row],[MonthlyIncome]]&lt;5000,"Low",Table1[[#This Row],[MonthlyIncome]]&lt;10000,"Medium",Table1[[#This Row],[MonthlyIncome]]&gt;10000,"High")</f>
        <v>Medium</v>
      </c>
      <c r="AL112" t="str" cm="1">
        <f t="array" ref="AL112">_xlfn.IFS(Table1[[#This Row],[Attrition]]="Yes","Resigned",Table1[[#This Row],[Attrition]]="No","Active")</f>
        <v>Active</v>
      </c>
      <c r="AM112" t="str" cm="1">
        <f t="array" ref="AM112">_xlfn.IFS(Table1[[#This Row],[YearsAtCompany]]&lt;=1,"0-1 Year",Table1[[#This Row],[YearsAtCompany]]&lt;=2,"1-2 Years",Table1[[#This Row],[YearsAtCompany]]&lt;=3,"2-3 Years",Table1[[#This Row],[YearsAtCompany]]&lt;=4,"3-4 Years",Table1[[#This Row],[YearsAtCompany]]&lt;=5,"4-5 Years",Table1[[#This Row],[YearsAtCompany]]&gt;5,"&gt;5 Years")</f>
        <v>&gt;5 Years</v>
      </c>
    </row>
    <row r="113" spans="1:39" hidden="1" x14ac:dyDescent="0.45">
      <c r="A113">
        <v>34</v>
      </c>
      <c r="B113" t="s">
        <v>35</v>
      </c>
      <c r="C113" t="s">
        <v>63</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_xlfn.IFS(Table1[[#This Row],[Age]]&lt;30,"Young",Table1[[#This Row],[Age]]&lt;=40,"Adult",Table1[[#This Row],[Age]]&gt;40,"Senior")</f>
        <v>Adult</v>
      </c>
      <c r="AK113" t="str" cm="1">
        <f t="array" ref="AK113">_xlfn.IFS(Table1[[#This Row],[MonthlyIncome]]&lt;5000,"Low",Table1[[#This Row],[MonthlyIncome]]&lt;10000,"Medium",Table1[[#This Row],[MonthlyIncome]]&gt;10000,"High")</f>
        <v>Medium</v>
      </c>
      <c r="AL113" t="str" cm="1">
        <f t="array" ref="AL113">_xlfn.IFS(Table1[[#This Row],[Attrition]]="Yes","Resigned",Table1[[#This Row],[Attrition]]="No","Active")</f>
        <v>Resigned</v>
      </c>
      <c r="AM113" t="str" cm="1">
        <f t="array" ref="AM113">_xlfn.IFS(Table1[[#This Row],[YearsAtCompany]]&lt;=1,"0-1 Year",Table1[[#This Row],[YearsAtCompany]]&lt;=2,"1-2 Years",Table1[[#This Row],[YearsAtCompany]]&lt;=3,"2-3 Years",Table1[[#This Row],[YearsAtCompany]]&lt;=4,"3-4 Years",Table1[[#This Row],[YearsAtCompany]]&lt;=5,"4-5 Years",Table1[[#This Row],[YearsAtCompany]]&gt;5,"&gt;5 Years")</f>
        <v>&gt;5 Years</v>
      </c>
    </row>
    <row r="114" spans="1:39" hidden="1" x14ac:dyDescent="0.45">
      <c r="A114">
        <v>54</v>
      </c>
      <c r="B114" t="s">
        <v>43</v>
      </c>
      <c r="C114" t="s">
        <v>62</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_xlfn.IFS(Table1[[#This Row],[Age]]&lt;30,"Young",Table1[[#This Row],[Age]]&lt;=40,"Adult",Table1[[#This Row],[Age]]&gt;40,"Senior")</f>
        <v>Senior</v>
      </c>
      <c r="AK114" t="str" cm="1">
        <f t="array" ref="AK114">_xlfn.IFS(Table1[[#This Row],[MonthlyIncome]]&lt;5000,"Low",Table1[[#This Row],[MonthlyIncome]]&lt;10000,"Medium",Table1[[#This Row],[MonthlyIncome]]&gt;10000,"High")</f>
        <v>High</v>
      </c>
      <c r="AL114" t="str" cm="1">
        <f t="array" ref="AL114">_xlfn.IFS(Table1[[#This Row],[Attrition]]="Yes","Resigned",Table1[[#This Row],[Attrition]]="No","Active")</f>
        <v>Active</v>
      </c>
      <c r="AM114" t="str" cm="1">
        <f t="array" ref="AM114">_xlfn.IFS(Table1[[#This Row],[YearsAtCompany]]&lt;=1,"0-1 Year",Table1[[#This Row],[YearsAtCompany]]&lt;=2,"1-2 Years",Table1[[#This Row],[YearsAtCompany]]&lt;=3,"2-3 Years",Table1[[#This Row],[YearsAtCompany]]&lt;=4,"3-4 Years",Table1[[#This Row],[YearsAtCompany]]&lt;=5,"4-5 Years",Table1[[#This Row],[YearsAtCompany]]&gt;5,"&gt;5 Years")</f>
        <v>4-5 Years</v>
      </c>
    </row>
    <row r="115" spans="1:39" hidden="1" x14ac:dyDescent="0.45">
      <c r="A115">
        <v>24</v>
      </c>
      <c r="B115" t="s">
        <v>43</v>
      </c>
      <c r="C115" t="s">
        <v>64</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_xlfn.IFS(Table1[[#This Row],[Age]]&lt;30,"Young",Table1[[#This Row],[Age]]&lt;=40,"Adult",Table1[[#This Row],[Age]]&gt;40,"Senior")</f>
        <v>Young</v>
      </c>
      <c r="AK115" t="str" cm="1">
        <f t="array" ref="AK115">_xlfn.IFS(Table1[[#This Row],[MonthlyIncome]]&lt;5000,"Low",Table1[[#This Row],[MonthlyIncome]]&lt;10000,"Medium",Table1[[#This Row],[MonthlyIncome]]&gt;10000,"High")</f>
        <v>Low</v>
      </c>
      <c r="AL115" t="str" cm="1">
        <f t="array" ref="AL115">_xlfn.IFS(Table1[[#This Row],[Attrition]]="Yes","Resigned",Table1[[#This Row],[Attrition]]="No","Active")</f>
        <v>Active</v>
      </c>
      <c r="AM115" t="str" cm="1">
        <f t="array" ref="AM115">_xlfn.IFS(Table1[[#This Row],[YearsAtCompany]]&lt;=1,"0-1 Year",Table1[[#This Row],[YearsAtCompany]]&lt;=2,"1-2 Years",Table1[[#This Row],[YearsAtCompany]]&lt;=3,"2-3 Years",Table1[[#This Row],[YearsAtCompany]]&lt;=4,"3-4 Years",Table1[[#This Row],[YearsAtCompany]]&lt;=5,"4-5 Years",Table1[[#This Row],[YearsAtCompany]]&gt;5,"&gt;5 Years")</f>
        <v>4-5 Years</v>
      </c>
    </row>
    <row r="116" spans="1:39" hidden="1" x14ac:dyDescent="0.45">
      <c r="A116">
        <v>34</v>
      </c>
      <c r="B116" t="s">
        <v>43</v>
      </c>
      <c r="C116" t="s">
        <v>64</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_xlfn.IFS(Table1[[#This Row],[Age]]&lt;30,"Young",Table1[[#This Row],[Age]]&lt;=40,"Adult",Table1[[#This Row],[Age]]&gt;40,"Senior")</f>
        <v>Adult</v>
      </c>
      <c r="AK116" t="str" cm="1">
        <f t="array" ref="AK116">_xlfn.IFS(Table1[[#This Row],[MonthlyIncome]]&lt;5000,"Low",Table1[[#This Row],[MonthlyIncome]]&lt;10000,"Medium",Table1[[#This Row],[MonthlyIncome]]&gt;10000,"High")</f>
        <v>Low</v>
      </c>
      <c r="AL116" t="str" cm="1">
        <f t="array" ref="AL116">_xlfn.IFS(Table1[[#This Row],[Attrition]]="Yes","Resigned",Table1[[#This Row],[Attrition]]="No","Active")</f>
        <v>Active</v>
      </c>
      <c r="AM116" t="str" cm="1">
        <f t="array" ref="AM116">_xlfn.IFS(Table1[[#This Row],[YearsAtCompany]]&lt;=1,"0-1 Year",Table1[[#This Row],[YearsAtCompany]]&lt;=2,"1-2 Years",Table1[[#This Row],[YearsAtCompany]]&lt;=3,"2-3 Years",Table1[[#This Row],[YearsAtCompany]]&lt;=4,"3-4 Years",Table1[[#This Row],[YearsAtCompany]]&lt;=5,"4-5 Years",Table1[[#This Row],[YearsAtCompany]]&gt;5,"&gt;5 Years")</f>
        <v>0-1 Year</v>
      </c>
    </row>
    <row r="117" spans="1:39" x14ac:dyDescent="0.45">
      <c r="A117">
        <v>37</v>
      </c>
      <c r="B117" t="s">
        <v>43</v>
      </c>
      <c r="C117" t="s">
        <v>64</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_xlfn.IFS(Table1[[#This Row],[Age]]&lt;30,"Young",Table1[[#This Row],[Age]]&lt;=40,"Adult",Table1[[#This Row],[Age]]&gt;40,"Senior")</f>
        <v>Adult</v>
      </c>
      <c r="AK117" t="str" cm="1">
        <f t="array" ref="AK117">_xlfn.IFS(Table1[[#This Row],[MonthlyIncome]]&lt;5000,"Low",Table1[[#This Row],[MonthlyIncome]]&lt;10000,"Medium",Table1[[#This Row],[MonthlyIncome]]&gt;10000,"High")</f>
        <v>Medium</v>
      </c>
      <c r="AL117" t="str" cm="1">
        <f t="array" ref="AL117">_xlfn.IFS(Table1[[#This Row],[Attrition]]="Yes","Resigned",Table1[[#This Row],[Attrition]]="No","Active")</f>
        <v>Active</v>
      </c>
      <c r="AM117" t="str" cm="1">
        <f t="array" ref="AM117">_xlfn.IFS(Table1[[#This Row],[YearsAtCompany]]&lt;=1,"0-1 Year",Table1[[#This Row],[YearsAtCompany]]&lt;=2,"1-2 Years",Table1[[#This Row],[YearsAtCompany]]&lt;=3,"2-3 Years",Table1[[#This Row],[YearsAtCompany]]&lt;=4,"3-4 Years",Table1[[#This Row],[YearsAtCompany]]&lt;=5,"4-5 Years",Table1[[#This Row],[YearsAtCompany]]&gt;5,"&gt;5 Years")</f>
        <v>4-5 Years</v>
      </c>
    </row>
    <row r="118" spans="1:39" hidden="1" x14ac:dyDescent="0.45">
      <c r="A118">
        <v>34</v>
      </c>
      <c r="B118" t="s">
        <v>43</v>
      </c>
      <c r="C118" t="s">
        <v>64</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_xlfn.IFS(Table1[[#This Row],[Age]]&lt;30,"Young",Table1[[#This Row],[Age]]&lt;=40,"Adult",Table1[[#This Row],[Age]]&gt;40,"Senior")</f>
        <v>Adult</v>
      </c>
      <c r="AK118" t="str" cm="1">
        <f t="array" ref="AK118">_xlfn.IFS(Table1[[#This Row],[MonthlyIncome]]&lt;5000,"Low",Table1[[#This Row],[MonthlyIncome]]&lt;10000,"Medium",Table1[[#This Row],[MonthlyIncome]]&gt;10000,"High")</f>
        <v>High</v>
      </c>
      <c r="AL118" t="str" cm="1">
        <f t="array" ref="AL118">_xlfn.IFS(Table1[[#This Row],[Attrition]]="Yes","Resigned",Table1[[#This Row],[Attrition]]="No","Active")</f>
        <v>Active</v>
      </c>
      <c r="AM118" t="str" cm="1">
        <f t="array" ref="AM118">_xlfn.IFS(Table1[[#This Row],[YearsAtCompany]]&lt;=1,"0-1 Year",Table1[[#This Row],[YearsAtCompany]]&lt;=2,"1-2 Years",Table1[[#This Row],[YearsAtCompany]]&lt;=3,"2-3 Years",Table1[[#This Row],[YearsAtCompany]]&lt;=4,"3-4 Years",Table1[[#This Row],[YearsAtCompany]]&lt;=5,"4-5 Years",Table1[[#This Row],[YearsAtCompany]]&gt;5,"&gt;5 Years")</f>
        <v>&gt;5 Years</v>
      </c>
    </row>
    <row r="119" spans="1:39" x14ac:dyDescent="0.45">
      <c r="A119">
        <v>36</v>
      </c>
      <c r="B119" t="s">
        <v>43</v>
      </c>
      <c r="C119" t="s">
        <v>63</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_xlfn.IFS(Table1[[#This Row],[Age]]&lt;30,"Young",Table1[[#This Row],[Age]]&lt;=40,"Adult",Table1[[#This Row],[Age]]&gt;40,"Senior")</f>
        <v>Adult</v>
      </c>
      <c r="AK119" t="str" cm="1">
        <f t="array" ref="AK119">_xlfn.IFS(Table1[[#This Row],[MonthlyIncome]]&lt;5000,"Low",Table1[[#This Row],[MonthlyIncome]]&lt;10000,"Medium",Table1[[#This Row],[MonthlyIncome]]&gt;10000,"High")</f>
        <v>Medium</v>
      </c>
      <c r="AL119" t="str" cm="1">
        <f t="array" ref="AL119">_xlfn.IFS(Table1[[#This Row],[Attrition]]="Yes","Resigned",Table1[[#This Row],[Attrition]]="No","Active")</f>
        <v>Active</v>
      </c>
      <c r="AM119" t="str" cm="1">
        <f t="array" ref="AM119">_xlfn.IFS(Table1[[#This Row],[YearsAtCompany]]&lt;=1,"0-1 Year",Table1[[#This Row],[YearsAtCompany]]&lt;=2,"1-2 Years",Table1[[#This Row],[YearsAtCompany]]&lt;=3,"2-3 Years",Table1[[#This Row],[YearsAtCompany]]&lt;=4,"3-4 Years",Table1[[#This Row],[YearsAtCompany]]&lt;=5,"4-5 Years",Table1[[#This Row],[YearsAtCompany]]&gt;5,"&gt;5 Years")</f>
        <v>&gt;5 Years</v>
      </c>
    </row>
    <row r="120" spans="1:39" hidden="1" x14ac:dyDescent="0.45">
      <c r="A120">
        <v>36</v>
      </c>
      <c r="B120" t="s">
        <v>43</v>
      </c>
      <c r="C120" t="s">
        <v>64</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_xlfn.IFS(Table1[[#This Row],[Age]]&lt;30,"Young",Table1[[#This Row],[Age]]&lt;=40,"Adult",Table1[[#This Row],[Age]]&gt;40,"Senior")</f>
        <v>Adult</v>
      </c>
      <c r="AK120" t="str" cm="1">
        <f t="array" ref="AK120">_xlfn.IFS(Table1[[#This Row],[MonthlyIncome]]&lt;5000,"Low",Table1[[#This Row],[MonthlyIncome]]&lt;10000,"Medium",Table1[[#This Row],[MonthlyIncome]]&gt;10000,"High")</f>
        <v>Low</v>
      </c>
      <c r="AL120" t="str" cm="1">
        <f t="array" ref="AL120">_xlfn.IFS(Table1[[#This Row],[Attrition]]="Yes","Resigned",Table1[[#This Row],[Attrition]]="No","Active")</f>
        <v>Active</v>
      </c>
      <c r="AM120" t="str" cm="1">
        <f t="array" ref="AM120">_xlfn.IFS(Table1[[#This Row],[YearsAtCompany]]&lt;=1,"0-1 Year",Table1[[#This Row],[YearsAtCompany]]&lt;=2,"1-2 Years",Table1[[#This Row],[YearsAtCompany]]&lt;=3,"2-3 Years",Table1[[#This Row],[YearsAtCompany]]&lt;=4,"3-4 Years",Table1[[#This Row],[YearsAtCompany]]&lt;=5,"4-5 Years",Table1[[#This Row],[YearsAtCompany]]&gt;5,"&gt;5 Years")</f>
        <v>0-1 Year</v>
      </c>
    </row>
    <row r="121" spans="1:39" x14ac:dyDescent="0.45">
      <c r="A121">
        <v>43</v>
      </c>
      <c r="B121" t="s">
        <v>43</v>
      </c>
      <c r="C121" t="s">
        <v>63</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_xlfn.IFS(Table1[[#This Row],[Age]]&lt;30,"Young",Table1[[#This Row],[Age]]&lt;=40,"Adult",Table1[[#This Row],[Age]]&gt;40,"Senior")</f>
        <v>Senior</v>
      </c>
      <c r="AK121" t="str" cm="1">
        <f t="array" ref="AK121">_xlfn.IFS(Table1[[#This Row],[MonthlyIncome]]&lt;5000,"Low",Table1[[#This Row],[MonthlyIncome]]&lt;10000,"Medium",Table1[[#This Row],[MonthlyIncome]]&gt;10000,"High")</f>
        <v>High</v>
      </c>
      <c r="AL121" t="str" cm="1">
        <f t="array" ref="AL121">_xlfn.IFS(Table1[[#This Row],[Attrition]]="Yes","Resigned",Table1[[#This Row],[Attrition]]="No","Active")</f>
        <v>Active</v>
      </c>
      <c r="AM121" t="str" cm="1">
        <f t="array" ref="AM121">_xlfn.IFS(Table1[[#This Row],[YearsAtCompany]]&lt;=1,"0-1 Year",Table1[[#This Row],[YearsAtCompany]]&lt;=2,"1-2 Years",Table1[[#This Row],[YearsAtCompany]]&lt;=3,"2-3 Years",Table1[[#This Row],[YearsAtCompany]]&lt;=4,"3-4 Years",Table1[[#This Row],[YearsAtCompany]]&lt;=5,"4-5 Years",Table1[[#This Row],[YearsAtCompany]]&gt;5,"&gt;5 Years")</f>
        <v>&gt;5 Years</v>
      </c>
    </row>
    <row r="122" spans="1:39" hidden="1" x14ac:dyDescent="0.45">
      <c r="A122">
        <v>30</v>
      </c>
      <c r="B122" t="s">
        <v>43</v>
      </c>
      <c r="C122" t="s">
        <v>63</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_xlfn.IFS(Table1[[#This Row],[Age]]&lt;30,"Young",Table1[[#This Row],[Age]]&lt;=40,"Adult",Table1[[#This Row],[Age]]&gt;40,"Senior")</f>
        <v>Adult</v>
      </c>
      <c r="AK122" t="str" cm="1">
        <f t="array" ref="AK122">_xlfn.IFS(Table1[[#This Row],[MonthlyIncome]]&lt;5000,"Low",Table1[[#This Row],[MonthlyIncome]]&lt;10000,"Medium",Table1[[#This Row],[MonthlyIncome]]&gt;10000,"High")</f>
        <v>Low</v>
      </c>
      <c r="AL122" t="str" cm="1">
        <f t="array" ref="AL122">_xlfn.IFS(Table1[[#This Row],[Attrition]]="Yes","Resigned",Table1[[#This Row],[Attrition]]="No","Active")</f>
        <v>Active</v>
      </c>
      <c r="AM122" t="str" cm="1">
        <f t="array" ref="AM122">_xlfn.IFS(Table1[[#This Row],[YearsAtCompany]]&lt;=1,"0-1 Year",Table1[[#This Row],[YearsAtCompany]]&lt;=2,"1-2 Years",Table1[[#This Row],[YearsAtCompany]]&lt;=3,"2-3 Years",Table1[[#This Row],[YearsAtCompany]]&lt;=4,"3-4 Years",Table1[[#This Row],[YearsAtCompany]]&lt;=5,"4-5 Years",Table1[[#This Row],[YearsAtCompany]]&gt;5,"&gt;5 Years")</f>
        <v>&gt;5 Years</v>
      </c>
    </row>
    <row r="123" spans="1:39" x14ac:dyDescent="0.45">
      <c r="A123">
        <v>33</v>
      </c>
      <c r="B123" t="s">
        <v>43</v>
      </c>
      <c r="C123" t="s">
        <v>62</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_xlfn.IFS(Table1[[#This Row],[Age]]&lt;30,"Young",Table1[[#This Row],[Age]]&lt;=40,"Adult",Table1[[#This Row],[Age]]&gt;40,"Senior")</f>
        <v>Adult</v>
      </c>
      <c r="AK123" t="str" cm="1">
        <f t="array" ref="AK123">_xlfn.IFS(Table1[[#This Row],[MonthlyIncome]]&lt;5000,"Low",Table1[[#This Row],[MonthlyIncome]]&lt;10000,"Medium",Table1[[#This Row],[MonthlyIncome]]&gt;10000,"High")</f>
        <v>Medium</v>
      </c>
      <c r="AL123" t="str" cm="1">
        <f t="array" ref="AL123">_xlfn.IFS(Table1[[#This Row],[Attrition]]="Yes","Resigned",Table1[[#This Row],[Attrition]]="No","Active")</f>
        <v>Active</v>
      </c>
      <c r="AM123" t="str" cm="1">
        <f t="array" ref="AM123">_xlfn.IFS(Table1[[#This Row],[YearsAtCompany]]&lt;=1,"0-1 Year",Table1[[#This Row],[YearsAtCompany]]&lt;=2,"1-2 Years",Table1[[#This Row],[YearsAtCompany]]&lt;=3,"2-3 Years",Table1[[#This Row],[YearsAtCompany]]&lt;=4,"3-4 Years",Table1[[#This Row],[YearsAtCompany]]&lt;=5,"4-5 Years",Table1[[#This Row],[YearsAtCompany]]&gt;5,"&gt;5 Years")</f>
        <v>&gt;5 Years</v>
      </c>
    </row>
    <row r="124" spans="1:39" hidden="1" x14ac:dyDescent="0.45">
      <c r="A124">
        <v>56</v>
      </c>
      <c r="B124" t="s">
        <v>35</v>
      </c>
      <c r="C124" t="s">
        <v>64</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_xlfn.IFS(Table1[[#This Row],[Age]]&lt;30,"Young",Table1[[#This Row],[Age]]&lt;=40,"Adult",Table1[[#This Row],[Age]]&gt;40,"Senior")</f>
        <v>Senior</v>
      </c>
      <c r="AK124" t="str" cm="1">
        <f t="array" ref="AK124">_xlfn.IFS(Table1[[#This Row],[MonthlyIncome]]&lt;5000,"Low",Table1[[#This Row],[MonthlyIncome]]&lt;10000,"Medium",Table1[[#This Row],[MonthlyIncome]]&gt;10000,"High")</f>
        <v>Low</v>
      </c>
      <c r="AL124" t="str" cm="1">
        <f t="array" ref="AL124">_xlfn.IFS(Table1[[#This Row],[Attrition]]="Yes","Resigned",Table1[[#This Row],[Attrition]]="No","Active")</f>
        <v>Resigned</v>
      </c>
      <c r="AM124" t="str" cm="1">
        <f t="array" ref="AM124">_xlfn.IFS(Table1[[#This Row],[YearsAtCompany]]&lt;=1,"0-1 Year",Table1[[#This Row],[YearsAtCompany]]&lt;=2,"1-2 Years",Table1[[#This Row],[YearsAtCompany]]&lt;=3,"2-3 Years",Table1[[#This Row],[YearsAtCompany]]&lt;=4,"3-4 Years",Table1[[#This Row],[YearsAtCompany]]&lt;=5,"4-5 Years",Table1[[#This Row],[YearsAtCompany]]&gt;5,"&gt;5 Years")</f>
        <v>4-5 Years</v>
      </c>
    </row>
    <row r="125" spans="1:39" hidden="1" x14ac:dyDescent="0.45">
      <c r="A125">
        <v>51</v>
      </c>
      <c r="B125" t="s">
        <v>43</v>
      </c>
      <c r="C125" t="s">
        <v>64</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_xlfn.IFS(Table1[[#This Row],[Age]]&lt;30,"Young",Table1[[#This Row],[Age]]&lt;=40,"Adult",Table1[[#This Row],[Age]]&gt;40,"Senior")</f>
        <v>Senior</v>
      </c>
      <c r="AK125" t="str" cm="1">
        <f t="array" ref="AK125">_xlfn.IFS(Table1[[#This Row],[MonthlyIncome]]&lt;5000,"Low",Table1[[#This Row],[MonthlyIncome]]&lt;10000,"Medium",Table1[[#This Row],[MonthlyIncome]]&gt;10000,"High")</f>
        <v>High</v>
      </c>
      <c r="AL125" t="str" cm="1">
        <f t="array" ref="AL125">_xlfn.IFS(Table1[[#This Row],[Attrition]]="Yes","Resigned",Table1[[#This Row],[Attrition]]="No","Active")</f>
        <v>Active</v>
      </c>
      <c r="AM125" t="str" cm="1">
        <f t="array" ref="AM125">_xlfn.IFS(Table1[[#This Row],[YearsAtCompany]]&lt;=1,"0-1 Year",Table1[[#This Row],[YearsAtCompany]]&lt;=2,"1-2 Years",Table1[[#This Row],[YearsAtCompany]]&lt;=3,"2-3 Years",Table1[[#This Row],[YearsAtCompany]]&lt;=4,"3-4 Years",Table1[[#This Row],[YearsAtCompany]]&lt;=5,"4-5 Years",Table1[[#This Row],[YearsAtCompany]]&gt;5,"&gt;5 Years")</f>
        <v>&gt;5 Years</v>
      </c>
    </row>
    <row r="126" spans="1:39" x14ac:dyDescent="0.45">
      <c r="A126">
        <v>31</v>
      </c>
      <c r="B126" t="s">
        <v>35</v>
      </c>
      <c r="C126" t="s">
        <v>64</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_xlfn.IFS(Table1[[#This Row],[Age]]&lt;30,"Young",Table1[[#This Row],[Age]]&lt;=40,"Adult",Table1[[#This Row],[Age]]&gt;40,"Senior")</f>
        <v>Adult</v>
      </c>
      <c r="AK126" t="str" cm="1">
        <f t="array" ref="AK126">_xlfn.IFS(Table1[[#This Row],[MonthlyIncome]]&lt;5000,"Low",Table1[[#This Row],[MonthlyIncome]]&lt;10000,"Medium",Table1[[#This Row],[MonthlyIncome]]&gt;10000,"High")</f>
        <v>Medium</v>
      </c>
      <c r="AL126" t="str" cm="1">
        <f t="array" ref="AL126">_xlfn.IFS(Table1[[#This Row],[Attrition]]="Yes","Resigned",Table1[[#This Row],[Attrition]]="No","Active")</f>
        <v>Resigned</v>
      </c>
      <c r="AM126" t="str" cm="1">
        <f t="array" ref="AM126">_xlfn.IFS(Table1[[#This Row],[YearsAtCompany]]&lt;=1,"0-1 Year",Table1[[#This Row],[YearsAtCompany]]&lt;=2,"1-2 Years",Table1[[#This Row],[YearsAtCompany]]&lt;=3,"2-3 Years",Table1[[#This Row],[YearsAtCompany]]&lt;=4,"3-4 Years",Table1[[#This Row],[YearsAtCompany]]&lt;=5,"4-5 Years",Table1[[#This Row],[YearsAtCompany]]&gt;5,"&gt;5 Years")</f>
        <v>&gt;5 Years</v>
      </c>
    </row>
    <row r="127" spans="1:39" hidden="1" x14ac:dyDescent="0.45">
      <c r="A127">
        <v>26</v>
      </c>
      <c r="B127" t="s">
        <v>43</v>
      </c>
      <c r="C127" t="s">
        <v>64</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_xlfn.IFS(Table1[[#This Row],[Age]]&lt;30,"Young",Table1[[#This Row],[Age]]&lt;=40,"Adult",Table1[[#This Row],[Age]]&gt;40,"Senior")</f>
        <v>Young</v>
      </c>
      <c r="AK127" t="str" cm="1">
        <f t="array" ref="AK127">_xlfn.IFS(Table1[[#This Row],[MonthlyIncome]]&lt;5000,"Low",Table1[[#This Row],[MonthlyIncome]]&lt;10000,"Medium",Table1[[#This Row],[MonthlyIncome]]&gt;10000,"High")</f>
        <v>Low</v>
      </c>
      <c r="AL127" t="str" cm="1">
        <f t="array" ref="AL127">_xlfn.IFS(Table1[[#This Row],[Attrition]]="Yes","Resigned",Table1[[#This Row],[Attrition]]="No","Active")</f>
        <v>Active</v>
      </c>
      <c r="AM127" t="str" cm="1">
        <f t="array" ref="AM127">_xlfn.IFS(Table1[[#This Row],[YearsAtCompany]]&lt;=1,"0-1 Year",Table1[[#This Row],[YearsAtCompany]]&lt;=2,"1-2 Years",Table1[[#This Row],[YearsAtCompany]]&lt;=3,"2-3 Years",Table1[[#This Row],[YearsAtCompany]]&lt;=4,"3-4 Years",Table1[[#This Row],[YearsAtCompany]]&lt;=5,"4-5 Years",Table1[[#This Row],[YearsAtCompany]]&gt;5,"&gt;5 Years")</f>
        <v>4-5 Years</v>
      </c>
    </row>
    <row r="128" spans="1:39" hidden="1" x14ac:dyDescent="0.45">
      <c r="A128">
        <v>58</v>
      </c>
      <c r="B128" t="s">
        <v>35</v>
      </c>
      <c r="C128" t="s">
        <v>64</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_xlfn.IFS(Table1[[#This Row],[Age]]&lt;30,"Young",Table1[[#This Row],[Age]]&lt;=40,"Adult",Table1[[#This Row],[Age]]&gt;40,"Senior")</f>
        <v>Senior</v>
      </c>
      <c r="AK128" t="str" cm="1">
        <f t="array" ref="AK128">_xlfn.IFS(Table1[[#This Row],[MonthlyIncome]]&lt;5000,"Low",Table1[[#This Row],[MonthlyIncome]]&lt;10000,"Medium",Table1[[#This Row],[MonthlyIncome]]&gt;10000,"High")</f>
        <v>High</v>
      </c>
      <c r="AL128" t="str" cm="1">
        <f t="array" ref="AL128">_xlfn.IFS(Table1[[#This Row],[Attrition]]="Yes","Resigned",Table1[[#This Row],[Attrition]]="No","Active")</f>
        <v>Resigned</v>
      </c>
      <c r="AM128" t="str" cm="1">
        <f t="array" ref="AM128">_xlfn.IFS(Table1[[#This Row],[YearsAtCompany]]&lt;=1,"0-1 Year",Table1[[#This Row],[YearsAtCompany]]&lt;=2,"1-2 Years",Table1[[#This Row],[YearsAtCompany]]&lt;=3,"2-3 Years",Table1[[#This Row],[YearsAtCompany]]&lt;=4,"3-4 Years",Table1[[#This Row],[YearsAtCompany]]&lt;=5,"4-5 Years",Table1[[#This Row],[YearsAtCompany]]&gt;5,"&gt;5 Years")</f>
        <v>&gt;5 Years</v>
      </c>
    </row>
    <row r="129" spans="1:39" x14ac:dyDescent="0.45">
      <c r="A129">
        <v>19</v>
      </c>
      <c r="B129" t="s">
        <v>35</v>
      </c>
      <c r="C129" t="s">
        <v>64</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_xlfn.IFS(Table1[[#This Row],[Age]]&lt;30,"Young",Table1[[#This Row],[Age]]&lt;=40,"Adult",Table1[[#This Row],[Age]]&gt;40,"Senior")</f>
        <v>Young</v>
      </c>
      <c r="AK129" t="str" cm="1">
        <f t="array" ref="AK129">_xlfn.IFS(Table1[[#This Row],[MonthlyIncome]]&lt;5000,"Low",Table1[[#This Row],[MonthlyIncome]]&lt;10000,"Medium",Table1[[#This Row],[MonthlyIncome]]&gt;10000,"High")</f>
        <v>Low</v>
      </c>
      <c r="AL129" t="str" cm="1">
        <f t="array" ref="AL129">_xlfn.IFS(Table1[[#This Row],[Attrition]]="Yes","Resigned",Table1[[#This Row],[Attrition]]="No","Active")</f>
        <v>Resigned</v>
      </c>
      <c r="AM129" t="str" cm="1">
        <f t="array" ref="AM129">_xlfn.IFS(Table1[[#This Row],[YearsAtCompany]]&lt;=1,"0-1 Year",Table1[[#This Row],[YearsAtCompany]]&lt;=2,"1-2 Years",Table1[[#This Row],[YearsAtCompany]]&lt;=3,"2-3 Years",Table1[[#This Row],[YearsAtCompany]]&lt;=4,"3-4 Years",Table1[[#This Row],[YearsAtCompany]]&lt;=5,"4-5 Years",Table1[[#This Row],[YearsAtCompany]]&gt;5,"&gt;5 Years")</f>
        <v>0-1 Year</v>
      </c>
    </row>
    <row r="130" spans="1:39" hidden="1" x14ac:dyDescent="0.45">
      <c r="A130">
        <v>22</v>
      </c>
      <c r="B130" t="s">
        <v>43</v>
      </c>
      <c r="C130" t="s">
        <v>64</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_xlfn.IFS(Table1[[#This Row],[Age]]&lt;30,"Young",Table1[[#This Row],[Age]]&lt;=40,"Adult",Table1[[#This Row],[Age]]&gt;40,"Senior")</f>
        <v>Young</v>
      </c>
      <c r="AK130" t="str" cm="1">
        <f t="array" ref="AK130">_xlfn.IFS(Table1[[#This Row],[MonthlyIncome]]&lt;5000,"Low",Table1[[#This Row],[MonthlyIncome]]&lt;10000,"Medium",Table1[[#This Row],[MonthlyIncome]]&gt;10000,"High")</f>
        <v>Low</v>
      </c>
      <c r="AL130" t="str" cm="1">
        <f t="array" ref="AL130">_xlfn.IFS(Table1[[#This Row],[Attrition]]="Yes","Resigned",Table1[[#This Row],[Attrition]]="No","Active")</f>
        <v>Active</v>
      </c>
      <c r="AM130" t="str" cm="1">
        <f t="array" ref="AM130">_xlfn.IFS(Table1[[#This Row],[YearsAtCompany]]&lt;=1,"0-1 Year",Table1[[#This Row],[YearsAtCompany]]&lt;=2,"1-2 Years",Table1[[#This Row],[YearsAtCompany]]&lt;=3,"2-3 Years",Table1[[#This Row],[YearsAtCompany]]&lt;=4,"3-4 Years",Table1[[#This Row],[YearsAtCompany]]&lt;=5,"4-5 Years",Table1[[#This Row],[YearsAtCompany]]&gt;5,"&gt;5 Years")</f>
        <v>1-2 Years</v>
      </c>
    </row>
    <row r="131" spans="1:39" hidden="1" x14ac:dyDescent="0.45">
      <c r="A131">
        <v>49</v>
      </c>
      <c r="B131" t="s">
        <v>43</v>
      </c>
      <c r="C131" t="s">
        <v>64</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_xlfn.IFS(Table1[[#This Row],[Age]]&lt;30,"Young",Table1[[#This Row],[Age]]&lt;=40,"Adult",Table1[[#This Row],[Age]]&gt;40,"Senior")</f>
        <v>Senior</v>
      </c>
      <c r="AK131" t="str" cm="1">
        <f t="array" ref="AK131">_xlfn.IFS(Table1[[#This Row],[MonthlyIncome]]&lt;5000,"Low",Table1[[#This Row],[MonthlyIncome]]&lt;10000,"Medium",Table1[[#This Row],[MonthlyIncome]]&gt;10000,"High")</f>
        <v>Medium</v>
      </c>
      <c r="AL131" t="str" cm="1">
        <f t="array" ref="AL131">_xlfn.IFS(Table1[[#This Row],[Attrition]]="Yes","Resigned",Table1[[#This Row],[Attrition]]="No","Active")</f>
        <v>Active</v>
      </c>
      <c r="AM131" t="str" cm="1">
        <f t="array" ref="AM131">_xlfn.IFS(Table1[[#This Row],[YearsAtCompany]]&lt;=1,"0-1 Year",Table1[[#This Row],[YearsAtCompany]]&lt;=2,"1-2 Years",Table1[[#This Row],[YearsAtCompany]]&lt;=3,"2-3 Years",Table1[[#This Row],[YearsAtCompany]]&lt;=4,"3-4 Years",Table1[[#This Row],[YearsAtCompany]]&lt;=5,"4-5 Years",Table1[[#This Row],[YearsAtCompany]]&gt;5,"&gt;5 Years")</f>
        <v>&gt;5 Years</v>
      </c>
    </row>
    <row r="132" spans="1:39" hidden="1" x14ac:dyDescent="0.45">
      <c r="A132">
        <v>43</v>
      </c>
      <c r="B132" t="s">
        <v>43</v>
      </c>
      <c r="C132" t="s">
        <v>63</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_xlfn.IFS(Table1[[#This Row],[Age]]&lt;30,"Young",Table1[[#This Row],[Age]]&lt;=40,"Adult",Table1[[#This Row],[Age]]&gt;40,"Senior")</f>
        <v>Senior</v>
      </c>
      <c r="AK132" t="str" cm="1">
        <f t="array" ref="AK132">_xlfn.IFS(Table1[[#This Row],[MonthlyIncome]]&lt;5000,"Low",Table1[[#This Row],[MonthlyIncome]]&lt;10000,"Medium",Table1[[#This Row],[MonthlyIncome]]&gt;10000,"High")</f>
        <v>Low</v>
      </c>
      <c r="AL132" t="str" cm="1">
        <f t="array" ref="AL132">_xlfn.IFS(Table1[[#This Row],[Attrition]]="Yes","Resigned",Table1[[#This Row],[Attrition]]="No","Active")</f>
        <v>Active</v>
      </c>
      <c r="AM132" t="str" cm="1">
        <f t="array" ref="AM132">_xlfn.IFS(Table1[[#This Row],[YearsAtCompany]]&lt;=1,"0-1 Year",Table1[[#This Row],[YearsAtCompany]]&lt;=2,"1-2 Years",Table1[[#This Row],[YearsAtCompany]]&lt;=3,"2-3 Years",Table1[[#This Row],[YearsAtCompany]]&lt;=4,"3-4 Years",Table1[[#This Row],[YearsAtCompany]]&lt;=5,"4-5 Years",Table1[[#This Row],[YearsAtCompany]]&gt;5,"&gt;5 Years")</f>
        <v>2-3 Years</v>
      </c>
    </row>
    <row r="133" spans="1:39" x14ac:dyDescent="0.45">
      <c r="A133">
        <v>50</v>
      </c>
      <c r="B133" t="s">
        <v>43</v>
      </c>
      <c r="C133" t="s">
        <v>63</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_xlfn.IFS(Table1[[#This Row],[Age]]&lt;30,"Young",Table1[[#This Row],[Age]]&lt;=40,"Adult",Table1[[#This Row],[Age]]&gt;40,"Senior")</f>
        <v>Senior</v>
      </c>
      <c r="AK133" t="str" cm="1">
        <f t="array" ref="AK133">_xlfn.IFS(Table1[[#This Row],[MonthlyIncome]]&lt;5000,"Low",Table1[[#This Row],[MonthlyIncome]]&lt;10000,"Medium",Table1[[#This Row],[MonthlyIncome]]&gt;10000,"High")</f>
        <v>Medium</v>
      </c>
      <c r="AL133" t="str" cm="1">
        <f t="array" ref="AL133">_xlfn.IFS(Table1[[#This Row],[Attrition]]="Yes","Resigned",Table1[[#This Row],[Attrition]]="No","Active")</f>
        <v>Active</v>
      </c>
      <c r="AM133" t="str" cm="1">
        <f t="array" ref="AM133">_xlfn.IFS(Table1[[#This Row],[YearsAtCompany]]&lt;=1,"0-1 Year",Table1[[#This Row],[YearsAtCompany]]&lt;=2,"1-2 Years",Table1[[#This Row],[YearsAtCompany]]&lt;=3,"2-3 Years",Table1[[#This Row],[YearsAtCompany]]&lt;=4,"3-4 Years",Table1[[#This Row],[YearsAtCompany]]&lt;=5,"4-5 Years",Table1[[#This Row],[YearsAtCompany]]&gt;5,"&gt;5 Years")</f>
        <v>1-2 Years</v>
      </c>
    </row>
    <row r="134" spans="1:39" x14ac:dyDescent="0.45">
      <c r="A134">
        <v>31</v>
      </c>
      <c r="B134" t="s">
        <v>35</v>
      </c>
      <c r="C134" t="s">
        <v>64</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_xlfn.IFS(Table1[[#This Row],[Age]]&lt;30,"Young",Table1[[#This Row],[Age]]&lt;=40,"Adult",Table1[[#This Row],[Age]]&gt;40,"Senior")</f>
        <v>Adult</v>
      </c>
      <c r="AK134" t="str" cm="1">
        <f t="array" ref="AK134">_xlfn.IFS(Table1[[#This Row],[MonthlyIncome]]&lt;5000,"Low",Table1[[#This Row],[MonthlyIncome]]&lt;10000,"Medium",Table1[[#This Row],[MonthlyIncome]]&gt;10000,"High")</f>
        <v>Low</v>
      </c>
      <c r="AL134" t="str" cm="1">
        <f t="array" ref="AL134">_xlfn.IFS(Table1[[#This Row],[Attrition]]="Yes","Resigned",Table1[[#This Row],[Attrition]]="No","Active")</f>
        <v>Resigned</v>
      </c>
      <c r="AM134" t="str" cm="1">
        <f t="array" ref="AM134">_xlfn.IFS(Table1[[#This Row],[YearsAtCompany]]&lt;=1,"0-1 Year",Table1[[#This Row],[YearsAtCompany]]&lt;=2,"1-2 Years",Table1[[#This Row],[YearsAtCompany]]&lt;=3,"2-3 Years",Table1[[#This Row],[YearsAtCompany]]&lt;=4,"3-4 Years",Table1[[#This Row],[YearsAtCompany]]&lt;=5,"4-5 Years",Table1[[#This Row],[YearsAtCompany]]&gt;5,"&gt;5 Years")</f>
        <v>1-2 Years</v>
      </c>
    </row>
    <row r="135" spans="1:39" x14ac:dyDescent="0.45">
      <c r="A135">
        <v>41</v>
      </c>
      <c r="B135" t="s">
        <v>43</v>
      </c>
      <c r="C135" t="s">
        <v>64</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_xlfn.IFS(Table1[[#This Row],[Age]]&lt;30,"Young",Table1[[#This Row],[Age]]&lt;=40,"Adult",Table1[[#This Row],[Age]]&gt;40,"Senior")</f>
        <v>Senior</v>
      </c>
      <c r="AK135" t="str" cm="1">
        <f t="array" ref="AK135">_xlfn.IFS(Table1[[#This Row],[MonthlyIncome]]&lt;5000,"Low",Table1[[#This Row],[MonthlyIncome]]&lt;10000,"Medium",Table1[[#This Row],[MonthlyIncome]]&gt;10000,"High")</f>
        <v>Medium</v>
      </c>
      <c r="AL135" t="str" cm="1">
        <f t="array" ref="AL135">_xlfn.IFS(Table1[[#This Row],[Attrition]]="Yes","Resigned",Table1[[#This Row],[Attrition]]="No","Active")</f>
        <v>Active</v>
      </c>
      <c r="AM135" t="str" cm="1">
        <f t="array" ref="AM135">_xlfn.IFS(Table1[[#This Row],[YearsAtCompany]]&lt;=1,"0-1 Year",Table1[[#This Row],[YearsAtCompany]]&lt;=2,"1-2 Years",Table1[[#This Row],[YearsAtCompany]]&lt;=3,"2-3 Years",Table1[[#This Row],[YearsAtCompany]]&lt;=4,"3-4 Years",Table1[[#This Row],[YearsAtCompany]]&lt;=5,"4-5 Years",Table1[[#This Row],[YearsAtCompany]]&gt;5,"&gt;5 Years")</f>
        <v>&gt;5 Years</v>
      </c>
    </row>
    <row r="136" spans="1:39" hidden="1" x14ac:dyDescent="0.45">
      <c r="A136">
        <v>26</v>
      </c>
      <c r="B136" t="s">
        <v>43</v>
      </c>
      <c r="C136" t="s">
        <v>64</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_xlfn.IFS(Table1[[#This Row],[Age]]&lt;30,"Young",Table1[[#This Row],[Age]]&lt;=40,"Adult",Table1[[#This Row],[Age]]&gt;40,"Senior")</f>
        <v>Young</v>
      </c>
      <c r="AK136" t="str" cm="1">
        <f t="array" ref="AK136">_xlfn.IFS(Table1[[#This Row],[MonthlyIncome]]&lt;5000,"Low",Table1[[#This Row],[MonthlyIncome]]&lt;10000,"Medium",Table1[[#This Row],[MonthlyIncome]]&gt;10000,"High")</f>
        <v>Low</v>
      </c>
      <c r="AL136" t="str" cm="1">
        <f t="array" ref="AL136">_xlfn.IFS(Table1[[#This Row],[Attrition]]="Yes","Resigned",Table1[[#This Row],[Attrition]]="No","Active")</f>
        <v>Active</v>
      </c>
      <c r="AM136" t="str" cm="1">
        <f t="array" ref="AM136">_xlfn.IFS(Table1[[#This Row],[YearsAtCompany]]&lt;=1,"0-1 Year",Table1[[#This Row],[YearsAtCompany]]&lt;=2,"1-2 Years",Table1[[#This Row],[YearsAtCompany]]&lt;=3,"2-3 Years",Table1[[#This Row],[YearsAtCompany]]&lt;=4,"3-4 Years",Table1[[#This Row],[YearsAtCompany]]&lt;=5,"4-5 Years",Table1[[#This Row],[YearsAtCompany]]&gt;5,"&gt;5 Years")</f>
        <v>&gt;5 Years</v>
      </c>
    </row>
    <row r="137" spans="1:39" hidden="1" x14ac:dyDescent="0.45">
      <c r="A137">
        <v>36</v>
      </c>
      <c r="B137" t="s">
        <v>43</v>
      </c>
      <c r="C137" t="s">
        <v>64</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_xlfn.IFS(Table1[[#This Row],[Age]]&lt;30,"Young",Table1[[#This Row],[Age]]&lt;=40,"Adult",Table1[[#This Row],[Age]]&gt;40,"Senior")</f>
        <v>Adult</v>
      </c>
      <c r="AK137" t="str" cm="1">
        <f t="array" ref="AK137">_xlfn.IFS(Table1[[#This Row],[MonthlyIncome]]&lt;5000,"Low",Table1[[#This Row],[MonthlyIncome]]&lt;10000,"Medium",Table1[[#This Row],[MonthlyIncome]]&gt;10000,"High")</f>
        <v>Low</v>
      </c>
      <c r="AL137" t="str" cm="1">
        <f t="array" ref="AL137">_xlfn.IFS(Table1[[#This Row],[Attrition]]="Yes","Resigned",Table1[[#This Row],[Attrition]]="No","Active")</f>
        <v>Active</v>
      </c>
      <c r="AM137" t="str" cm="1">
        <f t="array" ref="AM137">_xlfn.IFS(Table1[[#This Row],[YearsAtCompany]]&lt;=1,"0-1 Year",Table1[[#This Row],[YearsAtCompany]]&lt;=2,"1-2 Years",Table1[[#This Row],[YearsAtCompany]]&lt;=3,"2-3 Years",Table1[[#This Row],[YearsAtCompany]]&lt;=4,"3-4 Years",Table1[[#This Row],[YearsAtCompany]]&lt;=5,"4-5 Years",Table1[[#This Row],[YearsAtCompany]]&gt;5,"&gt;5 Years")</f>
        <v>2-3 Years</v>
      </c>
    </row>
    <row r="138" spans="1:39" hidden="1" x14ac:dyDescent="0.45">
      <c r="A138">
        <v>51</v>
      </c>
      <c r="B138" t="s">
        <v>35</v>
      </c>
      <c r="C138" t="s">
        <v>63</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_xlfn.IFS(Table1[[#This Row],[Age]]&lt;30,"Young",Table1[[#This Row],[Age]]&lt;=40,"Adult",Table1[[#This Row],[Age]]&gt;40,"Senior")</f>
        <v>Senior</v>
      </c>
      <c r="AK138" t="str" cm="1">
        <f t="array" ref="AK138">_xlfn.IFS(Table1[[#This Row],[MonthlyIncome]]&lt;5000,"Low",Table1[[#This Row],[MonthlyIncome]]&lt;10000,"Medium",Table1[[#This Row],[MonthlyIncome]]&gt;10000,"High")</f>
        <v>High</v>
      </c>
      <c r="AL138" t="str" cm="1">
        <f t="array" ref="AL138">_xlfn.IFS(Table1[[#This Row],[Attrition]]="Yes","Resigned",Table1[[#This Row],[Attrition]]="No","Active")</f>
        <v>Resigned</v>
      </c>
      <c r="AM138" t="str" cm="1">
        <f t="array" ref="AM138">_xlfn.IFS(Table1[[#This Row],[YearsAtCompany]]&lt;=1,"0-1 Year",Table1[[#This Row],[YearsAtCompany]]&lt;=2,"1-2 Years",Table1[[#This Row],[YearsAtCompany]]&lt;=3,"2-3 Years",Table1[[#This Row],[YearsAtCompany]]&lt;=4,"3-4 Years",Table1[[#This Row],[YearsAtCompany]]&lt;=5,"4-5 Years",Table1[[#This Row],[YearsAtCompany]]&gt;5,"&gt;5 Years")</f>
        <v>3-4 Years</v>
      </c>
    </row>
    <row r="139" spans="1:39" x14ac:dyDescent="0.45">
      <c r="A139">
        <v>39</v>
      </c>
      <c r="B139" t="s">
        <v>43</v>
      </c>
      <c r="C139" t="s">
        <v>64</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_xlfn.IFS(Table1[[#This Row],[Age]]&lt;30,"Young",Table1[[#This Row],[Age]]&lt;=40,"Adult",Table1[[#This Row],[Age]]&gt;40,"Senior")</f>
        <v>Adult</v>
      </c>
      <c r="AK139" t="str" cm="1">
        <f t="array" ref="AK139">_xlfn.IFS(Table1[[#This Row],[MonthlyIncome]]&lt;5000,"Low",Table1[[#This Row],[MonthlyIncome]]&lt;10000,"Medium",Table1[[#This Row],[MonthlyIncome]]&gt;10000,"High")</f>
        <v>Medium</v>
      </c>
      <c r="AL139" t="str" cm="1">
        <f t="array" ref="AL139">_xlfn.IFS(Table1[[#This Row],[Attrition]]="Yes","Resigned",Table1[[#This Row],[Attrition]]="No","Active")</f>
        <v>Active</v>
      </c>
      <c r="AM139" t="str" cm="1">
        <f t="array" ref="AM139">_xlfn.IFS(Table1[[#This Row],[YearsAtCompany]]&lt;=1,"0-1 Year",Table1[[#This Row],[YearsAtCompany]]&lt;=2,"1-2 Years",Table1[[#This Row],[YearsAtCompany]]&lt;=3,"2-3 Years",Table1[[#This Row],[YearsAtCompany]]&lt;=4,"3-4 Years",Table1[[#This Row],[YearsAtCompany]]&lt;=5,"4-5 Years",Table1[[#This Row],[YearsAtCompany]]&gt;5,"&gt;5 Years")</f>
        <v>&gt;5 Years</v>
      </c>
    </row>
    <row r="140" spans="1:39" x14ac:dyDescent="0.45">
      <c r="A140">
        <v>25</v>
      </c>
      <c r="B140" t="s">
        <v>43</v>
      </c>
      <c r="C140" t="s">
        <v>64</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_xlfn.IFS(Table1[[#This Row],[Age]]&lt;30,"Young",Table1[[#This Row],[Age]]&lt;=40,"Adult",Table1[[#This Row],[Age]]&gt;40,"Senior")</f>
        <v>Young</v>
      </c>
      <c r="AK140" t="str" cm="1">
        <f t="array" ref="AK140">_xlfn.IFS(Table1[[#This Row],[MonthlyIncome]]&lt;5000,"Low",Table1[[#This Row],[MonthlyIncome]]&lt;10000,"Medium",Table1[[#This Row],[MonthlyIncome]]&gt;10000,"High")</f>
        <v>Medium</v>
      </c>
      <c r="AL140" t="str" cm="1">
        <f t="array" ref="AL140">_xlfn.IFS(Table1[[#This Row],[Attrition]]="Yes","Resigned",Table1[[#This Row],[Attrition]]="No","Active")</f>
        <v>Active</v>
      </c>
      <c r="AM140" t="str" cm="1">
        <f t="array" ref="AM140">_xlfn.IFS(Table1[[#This Row],[YearsAtCompany]]&lt;=1,"0-1 Year",Table1[[#This Row],[YearsAtCompany]]&lt;=2,"1-2 Years",Table1[[#This Row],[YearsAtCompany]]&lt;=3,"2-3 Years",Table1[[#This Row],[YearsAtCompany]]&lt;=4,"3-4 Years",Table1[[#This Row],[YearsAtCompany]]&lt;=5,"4-5 Years",Table1[[#This Row],[YearsAtCompany]]&gt;5,"&gt;5 Years")</f>
        <v>1-2 Years</v>
      </c>
    </row>
    <row r="141" spans="1:39" hidden="1" x14ac:dyDescent="0.45">
      <c r="A141">
        <v>30</v>
      </c>
      <c r="B141" t="s">
        <v>43</v>
      </c>
      <c r="C141" t="s">
        <v>64</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_xlfn.IFS(Table1[[#This Row],[Age]]&lt;30,"Young",Table1[[#This Row],[Age]]&lt;=40,"Adult",Table1[[#This Row],[Age]]&gt;40,"Senior")</f>
        <v>Adult</v>
      </c>
      <c r="AK141" t="str" cm="1">
        <f t="array" ref="AK141">_xlfn.IFS(Table1[[#This Row],[MonthlyIncome]]&lt;5000,"Low",Table1[[#This Row],[MonthlyIncome]]&lt;10000,"Medium",Table1[[#This Row],[MonthlyIncome]]&gt;10000,"High")</f>
        <v>Medium</v>
      </c>
      <c r="AL141" t="str" cm="1">
        <f t="array" ref="AL141">_xlfn.IFS(Table1[[#This Row],[Attrition]]="Yes","Resigned",Table1[[#This Row],[Attrition]]="No","Active")</f>
        <v>Active</v>
      </c>
      <c r="AM141" t="str" cm="1">
        <f t="array" ref="AM141">_xlfn.IFS(Table1[[#This Row],[YearsAtCompany]]&lt;=1,"0-1 Year",Table1[[#This Row],[YearsAtCompany]]&lt;=2,"1-2 Years",Table1[[#This Row],[YearsAtCompany]]&lt;=3,"2-3 Years",Table1[[#This Row],[YearsAtCompany]]&lt;=4,"3-4 Years",Table1[[#This Row],[YearsAtCompany]]&lt;=5,"4-5 Years",Table1[[#This Row],[YearsAtCompany]]&gt;5,"&gt;5 Years")</f>
        <v>&gt;5 Years</v>
      </c>
    </row>
    <row r="142" spans="1:39" hidden="1" x14ac:dyDescent="0.45">
      <c r="A142">
        <v>32</v>
      </c>
      <c r="B142" t="s">
        <v>35</v>
      </c>
      <c r="C142" t="s">
        <v>64</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_xlfn.IFS(Table1[[#This Row],[Age]]&lt;30,"Young",Table1[[#This Row],[Age]]&lt;=40,"Adult",Table1[[#This Row],[Age]]&gt;40,"Senior")</f>
        <v>Adult</v>
      </c>
      <c r="AK142" t="str" cm="1">
        <f t="array" ref="AK142">_xlfn.IFS(Table1[[#This Row],[MonthlyIncome]]&lt;5000,"Low",Table1[[#This Row],[MonthlyIncome]]&lt;10000,"Medium",Table1[[#This Row],[MonthlyIncome]]&gt;10000,"High")</f>
        <v>Low</v>
      </c>
      <c r="AL142" t="str" cm="1">
        <f t="array" ref="AL142">_xlfn.IFS(Table1[[#This Row],[Attrition]]="Yes","Resigned",Table1[[#This Row],[Attrition]]="No","Active")</f>
        <v>Resigned</v>
      </c>
      <c r="AM142" t="str" cm="1">
        <f t="array" ref="AM142">_xlfn.IFS(Table1[[#This Row],[YearsAtCompany]]&lt;=1,"0-1 Year",Table1[[#This Row],[YearsAtCompany]]&lt;=2,"1-2 Years",Table1[[#This Row],[YearsAtCompany]]&lt;=3,"2-3 Years",Table1[[#This Row],[YearsAtCompany]]&lt;=4,"3-4 Years",Table1[[#This Row],[YearsAtCompany]]&lt;=5,"4-5 Years",Table1[[#This Row],[YearsAtCompany]]&gt;5,"&gt;5 Years")</f>
        <v>4-5 Years</v>
      </c>
    </row>
    <row r="143" spans="1:39" hidden="1" x14ac:dyDescent="0.45">
      <c r="A143">
        <v>45</v>
      </c>
      <c r="B143" t="s">
        <v>43</v>
      </c>
      <c r="C143" t="s">
        <v>64</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_xlfn.IFS(Table1[[#This Row],[Age]]&lt;30,"Young",Table1[[#This Row],[Age]]&lt;=40,"Adult",Table1[[#This Row],[Age]]&gt;40,"Senior")</f>
        <v>Senior</v>
      </c>
      <c r="AK143" t="str" cm="1">
        <f t="array" ref="AK143">_xlfn.IFS(Table1[[#This Row],[MonthlyIncome]]&lt;5000,"Low",Table1[[#This Row],[MonthlyIncome]]&lt;10000,"Medium",Table1[[#This Row],[MonthlyIncome]]&gt;10000,"High")</f>
        <v>Low</v>
      </c>
      <c r="AL143" t="str" cm="1">
        <f t="array" ref="AL143">_xlfn.IFS(Table1[[#This Row],[Attrition]]="Yes","Resigned",Table1[[#This Row],[Attrition]]="No","Active")</f>
        <v>Active</v>
      </c>
      <c r="AM143" t="str" cm="1">
        <f t="array" ref="AM143">_xlfn.IFS(Table1[[#This Row],[YearsAtCompany]]&lt;=1,"0-1 Year",Table1[[#This Row],[YearsAtCompany]]&lt;=2,"1-2 Years",Table1[[#This Row],[YearsAtCompany]]&lt;=3,"2-3 Years",Table1[[#This Row],[YearsAtCompany]]&lt;=4,"3-4 Years",Table1[[#This Row],[YearsAtCompany]]&lt;=5,"4-5 Years",Table1[[#This Row],[YearsAtCompany]]&gt;5,"&gt;5 Years")</f>
        <v>&gt;5 Years</v>
      </c>
    </row>
    <row r="144" spans="1:39" hidden="1" x14ac:dyDescent="0.45">
      <c r="A144">
        <v>38</v>
      </c>
      <c r="B144" t="s">
        <v>43</v>
      </c>
      <c r="C144" t="s">
        <v>64</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_xlfn.IFS(Table1[[#This Row],[Age]]&lt;30,"Young",Table1[[#This Row],[Age]]&lt;=40,"Adult",Table1[[#This Row],[Age]]&gt;40,"Senior")</f>
        <v>Adult</v>
      </c>
      <c r="AK144" t="str" cm="1">
        <f t="array" ref="AK144">_xlfn.IFS(Table1[[#This Row],[MonthlyIncome]]&lt;5000,"Low",Table1[[#This Row],[MonthlyIncome]]&lt;10000,"Medium",Table1[[#This Row],[MonthlyIncome]]&gt;10000,"High")</f>
        <v>Low</v>
      </c>
      <c r="AL144" t="str" cm="1">
        <f t="array" ref="AL144">_xlfn.IFS(Table1[[#This Row],[Attrition]]="Yes","Resigned",Table1[[#This Row],[Attrition]]="No","Active")</f>
        <v>Active</v>
      </c>
      <c r="AM144" t="str" cm="1">
        <f t="array" ref="AM144">_xlfn.IFS(Table1[[#This Row],[YearsAtCompany]]&lt;=1,"0-1 Year",Table1[[#This Row],[YearsAtCompany]]&lt;=2,"1-2 Years",Table1[[#This Row],[YearsAtCompany]]&lt;=3,"2-3 Years",Table1[[#This Row],[YearsAtCompany]]&lt;=4,"3-4 Years",Table1[[#This Row],[YearsAtCompany]]&lt;=5,"4-5 Years",Table1[[#This Row],[YearsAtCompany]]&gt;5,"&gt;5 Years")</f>
        <v>2-3 Years</v>
      </c>
    </row>
    <row r="145" spans="1:39" hidden="1" x14ac:dyDescent="0.45">
      <c r="A145">
        <v>30</v>
      </c>
      <c r="B145" t="s">
        <v>43</v>
      </c>
      <c r="C145" t="s">
        <v>64</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_xlfn.IFS(Table1[[#This Row],[Age]]&lt;30,"Young",Table1[[#This Row],[Age]]&lt;=40,"Adult",Table1[[#This Row],[Age]]&gt;40,"Senior")</f>
        <v>Adult</v>
      </c>
      <c r="AK145" t="str" cm="1">
        <f t="array" ref="AK145">_xlfn.IFS(Table1[[#This Row],[MonthlyIncome]]&lt;5000,"Low",Table1[[#This Row],[MonthlyIncome]]&lt;10000,"Medium",Table1[[#This Row],[MonthlyIncome]]&gt;10000,"High")</f>
        <v>Low</v>
      </c>
      <c r="AL145" t="str" cm="1">
        <f t="array" ref="AL145">_xlfn.IFS(Table1[[#This Row],[Attrition]]="Yes","Resigned",Table1[[#This Row],[Attrition]]="No","Active")</f>
        <v>Active</v>
      </c>
      <c r="AM145" t="str" cm="1">
        <f t="array" ref="AM145">_xlfn.IFS(Table1[[#This Row],[YearsAtCompany]]&lt;=1,"0-1 Year",Table1[[#This Row],[YearsAtCompany]]&lt;=2,"1-2 Years",Table1[[#This Row],[YearsAtCompany]]&lt;=3,"2-3 Years",Table1[[#This Row],[YearsAtCompany]]&lt;=4,"3-4 Years",Table1[[#This Row],[YearsAtCompany]]&lt;=5,"4-5 Years",Table1[[#This Row],[YearsAtCompany]]&gt;5,"&gt;5 Years")</f>
        <v>4-5 Years</v>
      </c>
    </row>
    <row r="146" spans="1:39" x14ac:dyDescent="0.45">
      <c r="A146">
        <v>32</v>
      </c>
      <c r="B146" t="s">
        <v>43</v>
      </c>
      <c r="C146" t="s">
        <v>63</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_xlfn.IFS(Table1[[#This Row],[Age]]&lt;30,"Young",Table1[[#This Row],[Age]]&lt;=40,"Adult",Table1[[#This Row],[Age]]&gt;40,"Senior")</f>
        <v>Adult</v>
      </c>
      <c r="AK146" t="str" cm="1">
        <f t="array" ref="AK146">_xlfn.IFS(Table1[[#This Row],[MonthlyIncome]]&lt;5000,"Low",Table1[[#This Row],[MonthlyIncome]]&lt;10000,"Medium",Table1[[#This Row],[MonthlyIncome]]&gt;10000,"High")</f>
        <v>Low</v>
      </c>
      <c r="AL146" t="str" cm="1">
        <f t="array" ref="AL146">_xlfn.IFS(Table1[[#This Row],[Attrition]]="Yes","Resigned",Table1[[#This Row],[Attrition]]="No","Active")</f>
        <v>Active</v>
      </c>
      <c r="AM146" t="str" cm="1">
        <f t="array" ref="AM146">_xlfn.IFS(Table1[[#This Row],[YearsAtCompany]]&lt;=1,"0-1 Year",Table1[[#This Row],[YearsAtCompany]]&lt;=2,"1-2 Years",Table1[[#This Row],[YearsAtCompany]]&lt;=3,"2-3 Years",Table1[[#This Row],[YearsAtCompany]]&lt;=4,"3-4 Years",Table1[[#This Row],[YearsAtCompany]]&lt;=5,"4-5 Years",Table1[[#This Row],[YearsAtCompany]]&gt;5,"&gt;5 Years")</f>
        <v>&gt;5 Years</v>
      </c>
    </row>
    <row r="147" spans="1:39" hidden="1" x14ac:dyDescent="0.45">
      <c r="A147">
        <v>30</v>
      </c>
      <c r="B147" t="s">
        <v>43</v>
      </c>
      <c r="C147" t="s">
        <v>64</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_xlfn.IFS(Table1[[#This Row],[Age]]&lt;30,"Young",Table1[[#This Row],[Age]]&lt;=40,"Adult",Table1[[#This Row],[Age]]&gt;40,"Senior")</f>
        <v>Adult</v>
      </c>
      <c r="AK147" t="str" cm="1">
        <f t="array" ref="AK147">_xlfn.IFS(Table1[[#This Row],[MonthlyIncome]]&lt;5000,"Low",Table1[[#This Row],[MonthlyIncome]]&lt;10000,"Medium",Table1[[#This Row],[MonthlyIncome]]&gt;10000,"High")</f>
        <v>Low</v>
      </c>
      <c r="AL147" t="str" cm="1">
        <f t="array" ref="AL147">_xlfn.IFS(Table1[[#This Row],[Attrition]]="Yes","Resigned",Table1[[#This Row],[Attrition]]="No","Active")</f>
        <v>Active</v>
      </c>
      <c r="AM147" t="str" cm="1">
        <f t="array" ref="AM147">_xlfn.IFS(Table1[[#This Row],[YearsAtCompany]]&lt;=1,"0-1 Year",Table1[[#This Row],[YearsAtCompany]]&lt;=2,"1-2 Years",Table1[[#This Row],[YearsAtCompany]]&lt;=3,"2-3 Years",Table1[[#This Row],[YearsAtCompany]]&lt;=4,"3-4 Years",Table1[[#This Row],[YearsAtCompany]]&lt;=5,"4-5 Years",Table1[[#This Row],[YearsAtCompany]]&gt;5,"&gt;5 Years")</f>
        <v>2-3 Years</v>
      </c>
    </row>
    <row r="148" spans="1:39" hidden="1" x14ac:dyDescent="0.45">
      <c r="A148">
        <v>30</v>
      </c>
      <c r="B148" t="s">
        <v>43</v>
      </c>
      <c r="C148" t="s">
        <v>64</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_xlfn.IFS(Table1[[#This Row],[Age]]&lt;30,"Young",Table1[[#This Row],[Age]]&lt;=40,"Adult",Table1[[#This Row],[Age]]&gt;40,"Senior")</f>
        <v>Adult</v>
      </c>
      <c r="AK148" t="str" cm="1">
        <f t="array" ref="AK148">_xlfn.IFS(Table1[[#This Row],[MonthlyIncome]]&lt;5000,"Low",Table1[[#This Row],[MonthlyIncome]]&lt;10000,"Medium",Table1[[#This Row],[MonthlyIncome]]&gt;10000,"High")</f>
        <v>Low</v>
      </c>
      <c r="AL148" t="str" cm="1">
        <f t="array" ref="AL148">_xlfn.IFS(Table1[[#This Row],[Attrition]]="Yes","Resigned",Table1[[#This Row],[Attrition]]="No","Active")</f>
        <v>Active</v>
      </c>
      <c r="AM148" t="str" cm="1">
        <f t="array" ref="AM148">_xlfn.IFS(Table1[[#This Row],[YearsAtCompany]]&lt;=1,"0-1 Year",Table1[[#This Row],[YearsAtCompany]]&lt;=2,"1-2 Years",Table1[[#This Row],[YearsAtCompany]]&lt;=3,"2-3 Years",Table1[[#This Row],[YearsAtCompany]]&lt;=4,"3-4 Years",Table1[[#This Row],[YearsAtCompany]]&lt;=5,"4-5 Years",Table1[[#This Row],[YearsAtCompany]]&gt;5,"&gt;5 Years")</f>
        <v>4-5 Years</v>
      </c>
    </row>
    <row r="149" spans="1:39" hidden="1" x14ac:dyDescent="0.45">
      <c r="A149">
        <v>41</v>
      </c>
      <c r="B149" t="s">
        <v>43</v>
      </c>
      <c r="C149" t="s">
        <v>63</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_xlfn.IFS(Table1[[#This Row],[Age]]&lt;30,"Young",Table1[[#This Row],[Age]]&lt;=40,"Adult",Table1[[#This Row],[Age]]&gt;40,"Senior")</f>
        <v>Senior</v>
      </c>
      <c r="AK149" t="str" cm="1">
        <f t="array" ref="AK149">_xlfn.IFS(Table1[[#This Row],[MonthlyIncome]]&lt;5000,"Low",Table1[[#This Row],[MonthlyIncome]]&lt;10000,"Medium",Table1[[#This Row],[MonthlyIncome]]&gt;10000,"High")</f>
        <v>High</v>
      </c>
      <c r="AL149" t="str" cm="1">
        <f t="array" ref="AL149">_xlfn.IFS(Table1[[#This Row],[Attrition]]="Yes","Resigned",Table1[[#This Row],[Attrition]]="No","Active")</f>
        <v>Active</v>
      </c>
      <c r="AM149" t="str" cm="1">
        <f t="array" ref="AM149">_xlfn.IFS(Table1[[#This Row],[YearsAtCompany]]&lt;=1,"0-1 Year",Table1[[#This Row],[YearsAtCompany]]&lt;=2,"1-2 Years",Table1[[#This Row],[YearsAtCompany]]&lt;=3,"2-3 Years",Table1[[#This Row],[YearsAtCompany]]&lt;=4,"3-4 Years",Table1[[#This Row],[YearsAtCompany]]&lt;=5,"4-5 Years",Table1[[#This Row],[YearsAtCompany]]&gt;5,"&gt;5 Years")</f>
        <v>&gt;5 Years</v>
      </c>
    </row>
    <row r="150" spans="1:39" hidden="1" x14ac:dyDescent="0.45">
      <c r="A150">
        <v>41</v>
      </c>
      <c r="B150" t="s">
        <v>43</v>
      </c>
      <c r="C150" t="s">
        <v>64</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_xlfn.IFS(Table1[[#This Row],[Age]]&lt;30,"Young",Table1[[#This Row],[Age]]&lt;=40,"Adult",Table1[[#This Row],[Age]]&gt;40,"Senior")</f>
        <v>Senior</v>
      </c>
      <c r="AK150" t="str" cm="1">
        <f t="array" ref="AK150">_xlfn.IFS(Table1[[#This Row],[MonthlyIncome]]&lt;5000,"Low",Table1[[#This Row],[MonthlyIncome]]&lt;10000,"Medium",Table1[[#This Row],[MonthlyIncome]]&gt;10000,"High")</f>
        <v>Low</v>
      </c>
      <c r="AL150" t="str" cm="1">
        <f t="array" ref="AL150">_xlfn.IFS(Table1[[#This Row],[Attrition]]="Yes","Resigned",Table1[[#This Row],[Attrition]]="No","Active")</f>
        <v>Active</v>
      </c>
      <c r="AM150" t="str" cm="1">
        <f t="array" ref="AM150">_xlfn.IFS(Table1[[#This Row],[YearsAtCompany]]&lt;=1,"0-1 Year",Table1[[#This Row],[YearsAtCompany]]&lt;=2,"1-2 Years",Table1[[#This Row],[YearsAtCompany]]&lt;=3,"2-3 Years",Table1[[#This Row],[YearsAtCompany]]&lt;=4,"3-4 Years",Table1[[#This Row],[YearsAtCompany]]&lt;=5,"4-5 Years",Table1[[#This Row],[YearsAtCompany]]&gt;5,"&gt;5 Years")</f>
        <v>4-5 Years</v>
      </c>
    </row>
    <row r="151" spans="1:39" hidden="1" x14ac:dyDescent="0.45">
      <c r="A151">
        <v>19</v>
      </c>
      <c r="B151" t="s">
        <v>43</v>
      </c>
      <c r="C151" t="s">
        <v>64</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_xlfn.IFS(Table1[[#This Row],[Age]]&lt;30,"Young",Table1[[#This Row],[Age]]&lt;=40,"Adult",Table1[[#This Row],[Age]]&gt;40,"Senior")</f>
        <v>Young</v>
      </c>
      <c r="AK151" t="str" cm="1">
        <f t="array" ref="AK151">_xlfn.IFS(Table1[[#This Row],[MonthlyIncome]]&lt;5000,"Low",Table1[[#This Row],[MonthlyIncome]]&lt;10000,"Medium",Table1[[#This Row],[MonthlyIncome]]&gt;10000,"High")</f>
        <v>Low</v>
      </c>
      <c r="AL151" t="str" cm="1">
        <f t="array" ref="AL151">_xlfn.IFS(Table1[[#This Row],[Attrition]]="Yes","Resigned",Table1[[#This Row],[Attrition]]="No","Active")</f>
        <v>Active</v>
      </c>
      <c r="AM151" t="str" cm="1">
        <f t="array" ref="AM151">_xlfn.IFS(Table1[[#This Row],[YearsAtCompany]]&lt;=1,"0-1 Year",Table1[[#This Row],[YearsAtCompany]]&lt;=2,"1-2 Years",Table1[[#This Row],[YearsAtCompany]]&lt;=3,"2-3 Years",Table1[[#This Row],[YearsAtCompany]]&lt;=4,"3-4 Years",Table1[[#This Row],[YearsAtCompany]]&lt;=5,"4-5 Years",Table1[[#This Row],[YearsAtCompany]]&gt;5,"&gt;5 Years")</f>
        <v>0-1 Year</v>
      </c>
    </row>
    <row r="152" spans="1:39" hidden="1" x14ac:dyDescent="0.45">
      <c r="A152">
        <v>40</v>
      </c>
      <c r="B152" t="s">
        <v>43</v>
      </c>
      <c r="C152" t="s">
        <v>63</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_xlfn.IFS(Table1[[#This Row],[Age]]&lt;30,"Young",Table1[[#This Row],[Age]]&lt;=40,"Adult",Table1[[#This Row],[Age]]&gt;40,"Senior")</f>
        <v>Adult</v>
      </c>
      <c r="AK152" t="str" cm="1">
        <f t="array" ref="AK152">_xlfn.IFS(Table1[[#This Row],[MonthlyIncome]]&lt;5000,"Low",Table1[[#This Row],[MonthlyIncome]]&lt;10000,"Medium",Table1[[#This Row],[MonthlyIncome]]&gt;10000,"High")</f>
        <v>Medium</v>
      </c>
      <c r="AL152" t="str" cm="1">
        <f t="array" ref="AL152">_xlfn.IFS(Table1[[#This Row],[Attrition]]="Yes","Resigned",Table1[[#This Row],[Attrition]]="No","Active")</f>
        <v>Active</v>
      </c>
      <c r="AM152" t="str" cm="1">
        <f t="array" ref="AM152">_xlfn.IFS(Table1[[#This Row],[YearsAtCompany]]&lt;=1,"0-1 Year",Table1[[#This Row],[YearsAtCompany]]&lt;=2,"1-2 Years",Table1[[#This Row],[YearsAtCompany]]&lt;=3,"2-3 Years",Table1[[#This Row],[YearsAtCompany]]&lt;=4,"3-4 Years",Table1[[#This Row],[YearsAtCompany]]&lt;=5,"4-5 Years",Table1[[#This Row],[YearsAtCompany]]&gt;5,"&gt;5 Years")</f>
        <v>&gt;5 Years</v>
      </c>
    </row>
    <row r="153" spans="1:39" x14ac:dyDescent="0.45">
      <c r="A153">
        <v>35</v>
      </c>
      <c r="B153" t="s">
        <v>43</v>
      </c>
      <c r="C153" t="s">
        <v>64</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_xlfn.IFS(Table1[[#This Row],[Age]]&lt;30,"Young",Table1[[#This Row],[Age]]&lt;=40,"Adult",Table1[[#This Row],[Age]]&gt;40,"Senior")</f>
        <v>Adult</v>
      </c>
      <c r="AK153" t="str" cm="1">
        <f t="array" ref="AK153">_xlfn.IFS(Table1[[#This Row],[MonthlyIncome]]&lt;5000,"Low",Table1[[#This Row],[MonthlyIncome]]&lt;10000,"Medium",Table1[[#This Row],[MonthlyIncome]]&gt;10000,"High")</f>
        <v>Medium</v>
      </c>
      <c r="AL153" t="str" cm="1">
        <f t="array" ref="AL153">_xlfn.IFS(Table1[[#This Row],[Attrition]]="Yes","Resigned",Table1[[#This Row],[Attrition]]="No","Active")</f>
        <v>Active</v>
      </c>
      <c r="AM153" t="str" cm="1">
        <f t="array" ref="AM153">_xlfn.IFS(Table1[[#This Row],[YearsAtCompany]]&lt;=1,"0-1 Year",Table1[[#This Row],[YearsAtCompany]]&lt;=2,"1-2 Years",Table1[[#This Row],[YearsAtCompany]]&lt;=3,"2-3 Years",Table1[[#This Row],[YearsAtCompany]]&lt;=4,"3-4 Years",Table1[[#This Row],[YearsAtCompany]]&lt;=5,"4-5 Years",Table1[[#This Row],[YearsAtCompany]]&gt;5,"&gt;5 Years")</f>
        <v>&gt;5 Years</v>
      </c>
    </row>
    <row r="154" spans="1:39" x14ac:dyDescent="0.45">
      <c r="A154">
        <v>53</v>
      </c>
      <c r="B154" t="s">
        <v>43</v>
      </c>
      <c r="C154" t="s">
        <v>64</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_xlfn.IFS(Table1[[#This Row],[Age]]&lt;30,"Young",Table1[[#This Row],[Age]]&lt;=40,"Adult",Table1[[#This Row],[Age]]&gt;40,"Senior")</f>
        <v>Senior</v>
      </c>
      <c r="AK154" t="str" cm="1">
        <f t="array" ref="AK154">_xlfn.IFS(Table1[[#This Row],[MonthlyIncome]]&lt;5000,"Low",Table1[[#This Row],[MonthlyIncome]]&lt;10000,"Medium",Table1[[#This Row],[MonthlyIncome]]&gt;10000,"High")</f>
        <v>Low</v>
      </c>
      <c r="AL154" t="str" cm="1">
        <f t="array" ref="AL154">_xlfn.IFS(Table1[[#This Row],[Attrition]]="Yes","Resigned",Table1[[#This Row],[Attrition]]="No","Active")</f>
        <v>Active</v>
      </c>
      <c r="AM154" t="str" cm="1">
        <f t="array" ref="AM154">_xlfn.IFS(Table1[[#This Row],[YearsAtCompany]]&lt;=1,"0-1 Year",Table1[[#This Row],[YearsAtCompany]]&lt;=2,"1-2 Years",Table1[[#This Row],[YearsAtCompany]]&lt;=3,"2-3 Years",Table1[[#This Row],[YearsAtCompany]]&lt;=4,"3-4 Years",Table1[[#This Row],[YearsAtCompany]]&lt;=5,"4-5 Years",Table1[[#This Row],[YearsAtCompany]]&gt;5,"&gt;5 Years")</f>
        <v>&gt;5 Years</v>
      </c>
    </row>
    <row r="155" spans="1:39" hidden="1" x14ac:dyDescent="0.45">
      <c r="A155">
        <v>45</v>
      </c>
      <c r="B155" t="s">
        <v>43</v>
      </c>
      <c r="C155" t="s">
        <v>64</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_xlfn.IFS(Table1[[#This Row],[Age]]&lt;30,"Young",Table1[[#This Row],[Age]]&lt;=40,"Adult",Table1[[#This Row],[Age]]&gt;40,"Senior")</f>
        <v>Senior</v>
      </c>
      <c r="AK155" t="str" cm="1">
        <f t="array" ref="AK155">_xlfn.IFS(Table1[[#This Row],[MonthlyIncome]]&lt;5000,"Low",Table1[[#This Row],[MonthlyIncome]]&lt;10000,"Medium",Table1[[#This Row],[MonthlyIncome]]&gt;10000,"High")</f>
        <v>Low</v>
      </c>
      <c r="AL155" t="str" cm="1">
        <f t="array" ref="AL155">_xlfn.IFS(Table1[[#This Row],[Attrition]]="Yes","Resigned",Table1[[#This Row],[Attrition]]="No","Active")</f>
        <v>Active</v>
      </c>
      <c r="AM155" t="str" cm="1">
        <f t="array" ref="AM155">_xlfn.IFS(Table1[[#This Row],[YearsAtCompany]]&lt;=1,"0-1 Year",Table1[[#This Row],[YearsAtCompany]]&lt;=2,"1-2 Years",Table1[[#This Row],[YearsAtCompany]]&lt;=3,"2-3 Years",Table1[[#This Row],[YearsAtCompany]]&lt;=4,"3-4 Years",Table1[[#This Row],[YearsAtCompany]]&lt;=5,"4-5 Years",Table1[[#This Row],[YearsAtCompany]]&gt;5,"&gt;5 Years")</f>
        <v>&gt;5 Years</v>
      </c>
    </row>
    <row r="156" spans="1:39" x14ac:dyDescent="0.45">
      <c r="A156">
        <v>32</v>
      </c>
      <c r="B156" t="s">
        <v>43</v>
      </c>
      <c r="C156" t="s">
        <v>63</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_xlfn.IFS(Table1[[#This Row],[Age]]&lt;30,"Young",Table1[[#This Row],[Age]]&lt;=40,"Adult",Table1[[#This Row],[Age]]&gt;40,"Senior")</f>
        <v>Adult</v>
      </c>
      <c r="AK156" t="str" cm="1">
        <f t="array" ref="AK156">_xlfn.IFS(Table1[[#This Row],[MonthlyIncome]]&lt;5000,"Low",Table1[[#This Row],[MonthlyIncome]]&lt;10000,"Medium",Table1[[#This Row],[MonthlyIncome]]&gt;10000,"High")</f>
        <v>Medium</v>
      </c>
      <c r="AL156" t="str" cm="1">
        <f t="array" ref="AL156">_xlfn.IFS(Table1[[#This Row],[Attrition]]="Yes","Resigned",Table1[[#This Row],[Attrition]]="No","Active")</f>
        <v>Active</v>
      </c>
      <c r="AM156" t="str" cm="1">
        <f t="array" ref="AM156">_xlfn.IFS(Table1[[#This Row],[YearsAtCompany]]&lt;=1,"0-1 Year",Table1[[#This Row],[YearsAtCompany]]&lt;=2,"1-2 Years",Table1[[#This Row],[YearsAtCompany]]&lt;=3,"2-3 Years",Table1[[#This Row],[YearsAtCompany]]&lt;=4,"3-4 Years",Table1[[#This Row],[YearsAtCompany]]&lt;=5,"4-5 Years",Table1[[#This Row],[YearsAtCompany]]&gt;5,"&gt;5 Years")</f>
        <v>&gt;5 Years</v>
      </c>
    </row>
    <row r="157" spans="1:39" hidden="1" x14ac:dyDescent="0.45">
      <c r="A157">
        <v>29</v>
      </c>
      <c r="B157" t="s">
        <v>43</v>
      </c>
      <c r="C157" t="s">
        <v>62</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_xlfn.IFS(Table1[[#This Row],[Age]]&lt;30,"Young",Table1[[#This Row],[Age]]&lt;=40,"Adult",Table1[[#This Row],[Age]]&gt;40,"Senior")</f>
        <v>Young</v>
      </c>
      <c r="AK157" t="str" cm="1">
        <f t="array" ref="AK157">_xlfn.IFS(Table1[[#This Row],[MonthlyIncome]]&lt;5000,"Low",Table1[[#This Row],[MonthlyIncome]]&lt;10000,"Medium",Table1[[#This Row],[MonthlyIncome]]&gt;10000,"High")</f>
        <v>Low</v>
      </c>
      <c r="AL157" t="str" cm="1">
        <f t="array" ref="AL157">_xlfn.IFS(Table1[[#This Row],[Attrition]]="Yes","Resigned",Table1[[#This Row],[Attrition]]="No","Active")</f>
        <v>Active</v>
      </c>
      <c r="AM157" t="str" cm="1">
        <f t="array" ref="AM157">_xlfn.IFS(Table1[[#This Row],[YearsAtCompany]]&lt;=1,"0-1 Year",Table1[[#This Row],[YearsAtCompany]]&lt;=2,"1-2 Years",Table1[[#This Row],[YearsAtCompany]]&lt;=3,"2-3 Years",Table1[[#This Row],[YearsAtCompany]]&lt;=4,"3-4 Years",Table1[[#This Row],[YearsAtCompany]]&lt;=5,"4-5 Years",Table1[[#This Row],[YearsAtCompany]]&gt;5,"&gt;5 Years")</f>
        <v>&gt;5 Years</v>
      </c>
    </row>
    <row r="158" spans="1:39" hidden="1" x14ac:dyDescent="0.45">
      <c r="A158">
        <v>51</v>
      </c>
      <c r="B158" t="s">
        <v>43</v>
      </c>
      <c r="C158" t="s">
        <v>64</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_xlfn.IFS(Table1[[#This Row],[Age]]&lt;30,"Young",Table1[[#This Row],[Age]]&lt;=40,"Adult",Table1[[#This Row],[Age]]&gt;40,"Senior")</f>
        <v>Senior</v>
      </c>
      <c r="AK158" t="str" cm="1">
        <f t="array" ref="AK158">_xlfn.IFS(Table1[[#This Row],[MonthlyIncome]]&lt;5000,"Low",Table1[[#This Row],[MonthlyIncome]]&lt;10000,"Medium",Table1[[#This Row],[MonthlyIncome]]&gt;10000,"High")</f>
        <v>Medium</v>
      </c>
      <c r="AL158" t="str" cm="1">
        <f t="array" ref="AL158">_xlfn.IFS(Table1[[#This Row],[Attrition]]="Yes","Resigned",Table1[[#This Row],[Attrition]]="No","Active")</f>
        <v>Active</v>
      </c>
      <c r="AM158" t="str" cm="1">
        <f t="array" ref="AM158">_xlfn.IFS(Table1[[#This Row],[YearsAtCompany]]&lt;=1,"0-1 Year",Table1[[#This Row],[YearsAtCompany]]&lt;=2,"1-2 Years",Table1[[#This Row],[YearsAtCompany]]&lt;=3,"2-3 Years",Table1[[#This Row],[YearsAtCompany]]&lt;=4,"3-4 Years",Table1[[#This Row],[YearsAtCompany]]&lt;=5,"4-5 Years",Table1[[#This Row],[YearsAtCompany]]&gt;5,"&gt;5 Years")</f>
        <v>0-1 Year</v>
      </c>
    </row>
    <row r="159" spans="1:39" hidden="1" x14ac:dyDescent="0.45">
      <c r="A159">
        <v>58</v>
      </c>
      <c r="B159" t="s">
        <v>43</v>
      </c>
      <c r="C159" t="s">
        <v>64</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_xlfn.IFS(Table1[[#This Row],[Age]]&lt;30,"Young",Table1[[#This Row],[Age]]&lt;=40,"Adult",Table1[[#This Row],[Age]]&gt;40,"Senior")</f>
        <v>Senior</v>
      </c>
      <c r="AK159" t="str" cm="1">
        <f t="array" ref="AK159">_xlfn.IFS(Table1[[#This Row],[MonthlyIncome]]&lt;5000,"Low",Table1[[#This Row],[MonthlyIncome]]&lt;10000,"Medium",Table1[[#This Row],[MonthlyIncome]]&gt;10000,"High")</f>
        <v>Low</v>
      </c>
      <c r="AL159" t="str" cm="1">
        <f t="array" ref="AL159">_xlfn.IFS(Table1[[#This Row],[Attrition]]="Yes","Resigned",Table1[[#This Row],[Attrition]]="No","Active")</f>
        <v>Active</v>
      </c>
      <c r="AM159" t="str" cm="1">
        <f t="array" ref="AM159">_xlfn.IFS(Table1[[#This Row],[YearsAtCompany]]&lt;=1,"0-1 Year",Table1[[#This Row],[YearsAtCompany]]&lt;=2,"1-2 Years",Table1[[#This Row],[YearsAtCompany]]&lt;=3,"2-3 Years",Table1[[#This Row],[YearsAtCompany]]&lt;=4,"3-4 Years",Table1[[#This Row],[YearsAtCompany]]&lt;=5,"4-5 Years",Table1[[#This Row],[YearsAtCompany]]&gt;5,"&gt;5 Years")</f>
        <v>0-1 Year</v>
      </c>
    </row>
    <row r="160" spans="1:39" x14ac:dyDescent="0.45">
      <c r="A160">
        <v>40</v>
      </c>
      <c r="B160" t="s">
        <v>43</v>
      </c>
      <c r="C160" t="s">
        <v>64</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_xlfn.IFS(Table1[[#This Row],[Age]]&lt;30,"Young",Table1[[#This Row],[Age]]&lt;=40,"Adult",Table1[[#This Row],[Age]]&gt;40,"Senior")</f>
        <v>Adult</v>
      </c>
      <c r="AK160" t="str" cm="1">
        <f t="array" ref="AK160">_xlfn.IFS(Table1[[#This Row],[MonthlyIncome]]&lt;5000,"Low",Table1[[#This Row],[MonthlyIncome]]&lt;10000,"Medium",Table1[[#This Row],[MonthlyIncome]]&gt;10000,"High")</f>
        <v>High</v>
      </c>
      <c r="AL160" t="str" cm="1">
        <f t="array" ref="AL160">_xlfn.IFS(Table1[[#This Row],[Attrition]]="Yes","Resigned",Table1[[#This Row],[Attrition]]="No","Active")</f>
        <v>Active</v>
      </c>
      <c r="AM160" t="str" cm="1">
        <f t="array" ref="AM160">_xlfn.IFS(Table1[[#This Row],[YearsAtCompany]]&lt;=1,"0-1 Year",Table1[[#This Row],[YearsAtCompany]]&lt;=2,"1-2 Years",Table1[[#This Row],[YearsAtCompany]]&lt;=3,"2-3 Years",Table1[[#This Row],[YearsAtCompany]]&lt;=4,"3-4 Years",Table1[[#This Row],[YearsAtCompany]]&lt;=5,"4-5 Years",Table1[[#This Row],[YearsAtCompany]]&gt;5,"&gt;5 Years")</f>
        <v>&gt;5 Years</v>
      </c>
    </row>
    <row r="161" spans="1:39" x14ac:dyDescent="0.45">
      <c r="A161">
        <v>34</v>
      </c>
      <c r="B161" t="s">
        <v>43</v>
      </c>
      <c r="C161" t="s">
        <v>63</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_xlfn.IFS(Table1[[#This Row],[Age]]&lt;30,"Young",Table1[[#This Row],[Age]]&lt;=40,"Adult",Table1[[#This Row],[Age]]&gt;40,"Senior")</f>
        <v>Adult</v>
      </c>
      <c r="AK161" t="str" cm="1">
        <f t="array" ref="AK161">_xlfn.IFS(Table1[[#This Row],[MonthlyIncome]]&lt;5000,"Low",Table1[[#This Row],[MonthlyIncome]]&lt;10000,"Medium",Table1[[#This Row],[MonthlyIncome]]&gt;10000,"High")</f>
        <v>Low</v>
      </c>
      <c r="AL161" t="str" cm="1">
        <f t="array" ref="AL161">_xlfn.IFS(Table1[[#This Row],[Attrition]]="Yes","Resigned",Table1[[#This Row],[Attrition]]="No","Active")</f>
        <v>Active</v>
      </c>
      <c r="AM161" t="str" cm="1">
        <f t="array" ref="AM161">_xlfn.IFS(Table1[[#This Row],[YearsAtCompany]]&lt;=1,"0-1 Year",Table1[[#This Row],[YearsAtCompany]]&lt;=2,"1-2 Years",Table1[[#This Row],[YearsAtCompany]]&lt;=3,"2-3 Years",Table1[[#This Row],[YearsAtCompany]]&lt;=4,"3-4 Years",Table1[[#This Row],[YearsAtCompany]]&lt;=5,"4-5 Years",Table1[[#This Row],[YearsAtCompany]]&gt;5,"&gt;5 Years")</f>
        <v>3-4 Years</v>
      </c>
    </row>
    <row r="162" spans="1:39" hidden="1" x14ac:dyDescent="0.45">
      <c r="A162">
        <v>22</v>
      </c>
      <c r="B162" t="s">
        <v>43</v>
      </c>
      <c r="C162" t="s">
        <v>64</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_xlfn.IFS(Table1[[#This Row],[Age]]&lt;30,"Young",Table1[[#This Row],[Age]]&lt;=40,"Adult",Table1[[#This Row],[Age]]&gt;40,"Senior")</f>
        <v>Young</v>
      </c>
      <c r="AK162" t="str" cm="1">
        <f t="array" ref="AK162">_xlfn.IFS(Table1[[#This Row],[MonthlyIncome]]&lt;5000,"Low",Table1[[#This Row],[MonthlyIncome]]&lt;10000,"Medium",Table1[[#This Row],[MonthlyIncome]]&gt;10000,"High")</f>
        <v>Low</v>
      </c>
      <c r="AL162" t="str" cm="1">
        <f t="array" ref="AL162">_xlfn.IFS(Table1[[#This Row],[Attrition]]="Yes","Resigned",Table1[[#This Row],[Attrition]]="No","Active")</f>
        <v>Active</v>
      </c>
      <c r="AM162" t="str" cm="1">
        <f t="array" ref="AM162">_xlfn.IFS(Table1[[#This Row],[YearsAtCompany]]&lt;=1,"0-1 Year",Table1[[#This Row],[YearsAtCompany]]&lt;=2,"1-2 Years",Table1[[#This Row],[YearsAtCompany]]&lt;=3,"2-3 Years",Table1[[#This Row],[YearsAtCompany]]&lt;=4,"3-4 Years",Table1[[#This Row],[YearsAtCompany]]&lt;=5,"4-5 Years",Table1[[#This Row],[YearsAtCompany]]&gt;5,"&gt;5 Years")</f>
        <v>1-2 Years</v>
      </c>
    </row>
    <row r="163" spans="1:39" hidden="1" x14ac:dyDescent="0.45">
      <c r="A163">
        <v>27</v>
      </c>
      <c r="B163" t="s">
        <v>43</v>
      </c>
      <c r="C163" t="s">
        <v>62</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_xlfn.IFS(Table1[[#This Row],[Age]]&lt;30,"Young",Table1[[#This Row],[Age]]&lt;=40,"Adult",Table1[[#This Row],[Age]]&gt;40,"Senior")</f>
        <v>Young</v>
      </c>
      <c r="AK163" t="str" cm="1">
        <f t="array" ref="AK163">_xlfn.IFS(Table1[[#This Row],[MonthlyIncome]]&lt;5000,"Low",Table1[[#This Row],[MonthlyIncome]]&lt;10000,"Medium",Table1[[#This Row],[MonthlyIncome]]&gt;10000,"High")</f>
        <v>Low</v>
      </c>
      <c r="AL163" t="str" cm="1">
        <f t="array" ref="AL163">_xlfn.IFS(Table1[[#This Row],[Attrition]]="Yes","Resigned",Table1[[#This Row],[Attrition]]="No","Active")</f>
        <v>Active</v>
      </c>
      <c r="AM163" t="str" cm="1">
        <f t="array" ref="AM163">_xlfn.IFS(Table1[[#This Row],[YearsAtCompany]]&lt;=1,"0-1 Year",Table1[[#This Row],[YearsAtCompany]]&lt;=2,"1-2 Years",Table1[[#This Row],[YearsAtCompany]]&lt;=3,"2-3 Years",Table1[[#This Row],[YearsAtCompany]]&lt;=4,"3-4 Years",Table1[[#This Row],[YearsAtCompany]]&lt;=5,"4-5 Years",Table1[[#This Row],[YearsAtCompany]]&gt;5,"&gt;5 Years")</f>
        <v>1-2 Years</v>
      </c>
    </row>
    <row r="164" spans="1:39" hidden="1" x14ac:dyDescent="0.45">
      <c r="A164">
        <v>28</v>
      </c>
      <c r="B164" t="s">
        <v>43</v>
      </c>
      <c r="C164" t="s">
        <v>64</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_xlfn.IFS(Table1[[#This Row],[Age]]&lt;30,"Young",Table1[[#This Row],[Age]]&lt;=40,"Adult",Table1[[#This Row],[Age]]&gt;40,"Senior")</f>
        <v>Young</v>
      </c>
      <c r="AK164" t="str" cm="1">
        <f t="array" ref="AK164">_xlfn.IFS(Table1[[#This Row],[MonthlyIncome]]&lt;5000,"Low",Table1[[#This Row],[MonthlyIncome]]&lt;10000,"Medium",Table1[[#This Row],[MonthlyIncome]]&gt;10000,"High")</f>
        <v>Low</v>
      </c>
      <c r="AL164" t="str" cm="1">
        <f t="array" ref="AL164">_xlfn.IFS(Table1[[#This Row],[Attrition]]="Yes","Resigned",Table1[[#This Row],[Attrition]]="No","Active")</f>
        <v>Active</v>
      </c>
      <c r="AM164" t="str" cm="1">
        <f t="array" ref="AM164">_xlfn.IFS(Table1[[#This Row],[YearsAtCompany]]&lt;=1,"0-1 Year",Table1[[#This Row],[YearsAtCompany]]&lt;=2,"1-2 Years",Table1[[#This Row],[YearsAtCompany]]&lt;=3,"2-3 Years",Table1[[#This Row],[YearsAtCompany]]&lt;=4,"3-4 Years",Table1[[#This Row],[YearsAtCompany]]&lt;=5,"4-5 Years",Table1[[#This Row],[YearsAtCompany]]&gt;5,"&gt;5 Years")</f>
        <v>4-5 Years</v>
      </c>
    </row>
    <row r="165" spans="1:39" hidden="1" x14ac:dyDescent="0.45">
      <c r="A165">
        <v>57</v>
      </c>
      <c r="B165" t="s">
        <v>43</v>
      </c>
      <c r="C165" t="s">
        <v>64</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_xlfn.IFS(Table1[[#This Row],[Age]]&lt;30,"Young",Table1[[#This Row],[Age]]&lt;=40,"Adult",Table1[[#This Row],[Age]]&gt;40,"Senior")</f>
        <v>Senior</v>
      </c>
      <c r="AK165" t="str" cm="1">
        <f t="array" ref="AK165">_xlfn.IFS(Table1[[#This Row],[MonthlyIncome]]&lt;5000,"Low",Table1[[#This Row],[MonthlyIncome]]&lt;10000,"Medium",Table1[[#This Row],[MonthlyIncome]]&gt;10000,"High")</f>
        <v>Medium</v>
      </c>
      <c r="AL165" t="str" cm="1">
        <f t="array" ref="AL165">_xlfn.IFS(Table1[[#This Row],[Attrition]]="Yes","Resigned",Table1[[#This Row],[Attrition]]="No","Active")</f>
        <v>Active</v>
      </c>
      <c r="AM165" t="str" cm="1">
        <f t="array" ref="AM165">_xlfn.IFS(Table1[[#This Row],[YearsAtCompany]]&lt;=1,"0-1 Year",Table1[[#This Row],[YearsAtCompany]]&lt;=2,"1-2 Years",Table1[[#This Row],[YearsAtCompany]]&lt;=3,"2-3 Years",Table1[[#This Row],[YearsAtCompany]]&lt;=4,"3-4 Years",Table1[[#This Row],[YearsAtCompany]]&lt;=5,"4-5 Years",Table1[[#This Row],[YearsAtCompany]]&gt;5,"&gt;5 Years")</f>
        <v>4-5 Years</v>
      </c>
    </row>
    <row r="166" spans="1:39" hidden="1" x14ac:dyDescent="0.45">
      <c r="A166">
        <v>27</v>
      </c>
      <c r="B166" t="s">
        <v>43</v>
      </c>
      <c r="C166" t="s">
        <v>62</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_xlfn.IFS(Table1[[#This Row],[Age]]&lt;30,"Young",Table1[[#This Row],[Age]]&lt;=40,"Adult",Table1[[#This Row],[Age]]&gt;40,"Senior")</f>
        <v>Young</v>
      </c>
      <c r="AK166" t="str" cm="1">
        <f t="array" ref="AK166">_xlfn.IFS(Table1[[#This Row],[MonthlyIncome]]&lt;5000,"Low",Table1[[#This Row],[MonthlyIncome]]&lt;10000,"Medium",Table1[[#This Row],[MonthlyIncome]]&gt;10000,"High")</f>
        <v>Low</v>
      </c>
      <c r="AL166" t="str" cm="1">
        <f t="array" ref="AL166">_xlfn.IFS(Table1[[#This Row],[Attrition]]="Yes","Resigned",Table1[[#This Row],[Attrition]]="No","Active")</f>
        <v>Active</v>
      </c>
      <c r="AM166" t="str" cm="1">
        <f t="array" ref="AM166">_xlfn.IFS(Table1[[#This Row],[YearsAtCompany]]&lt;=1,"0-1 Year",Table1[[#This Row],[YearsAtCompany]]&lt;=2,"1-2 Years",Table1[[#This Row],[YearsAtCompany]]&lt;=3,"2-3 Years",Table1[[#This Row],[YearsAtCompany]]&lt;=4,"3-4 Years",Table1[[#This Row],[YearsAtCompany]]&lt;=5,"4-5 Years",Table1[[#This Row],[YearsAtCompany]]&gt;5,"&gt;5 Years")</f>
        <v>0-1 Year</v>
      </c>
    </row>
    <row r="167" spans="1:39" hidden="1" x14ac:dyDescent="0.45">
      <c r="A167">
        <v>50</v>
      </c>
      <c r="B167" t="s">
        <v>43</v>
      </c>
      <c r="C167" t="s">
        <v>64</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_xlfn.IFS(Table1[[#This Row],[Age]]&lt;30,"Young",Table1[[#This Row],[Age]]&lt;=40,"Adult",Table1[[#This Row],[Age]]&gt;40,"Senior")</f>
        <v>Senior</v>
      </c>
      <c r="AK167" t="str" cm="1">
        <f t="array" ref="AK167">_xlfn.IFS(Table1[[#This Row],[MonthlyIncome]]&lt;5000,"Low",Table1[[#This Row],[MonthlyIncome]]&lt;10000,"Medium",Table1[[#This Row],[MonthlyIncome]]&gt;10000,"High")</f>
        <v>High</v>
      </c>
      <c r="AL167" t="str" cm="1">
        <f t="array" ref="AL167">_xlfn.IFS(Table1[[#This Row],[Attrition]]="Yes","Resigned",Table1[[#This Row],[Attrition]]="No","Active")</f>
        <v>Active</v>
      </c>
      <c r="AM167" t="str" cm="1">
        <f t="array" ref="AM167">_xlfn.IFS(Table1[[#This Row],[YearsAtCompany]]&lt;=1,"0-1 Year",Table1[[#This Row],[YearsAtCompany]]&lt;=2,"1-2 Years",Table1[[#This Row],[YearsAtCompany]]&lt;=3,"2-3 Years",Table1[[#This Row],[YearsAtCompany]]&lt;=4,"3-4 Years",Table1[[#This Row],[YearsAtCompany]]&lt;=5,"4-5 Years",Table1[[#This Row],[YearsAtCompany]]&gt;5,"&gt;5 Years")</f>
        <v>4-5 Years</v>
      </c>
    </row>
    <row r="168" spans="1:39" hidden="1" x14ac:dyDescent="0.45">
      <c r="A168">
        <v>41</v>
      </c>
      <c r="B168" t="s">
        <v>43</v>
      </c>
      <c r="C168" t="s">
        <v>64</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_xlfn.IFS(Table1[[#This Row],[Age]]&lt;30,"Young",Table1[[#This Row],[Age]]&lt;=40,"Adult",Table1[[#This Row],[Age]]&gt;40,"Senior")</f>
        <v>Senior</v>
      </c>
      <c r="AK168" t="str" cm="1">
        <f t="array" ref="AK168">_xlfn.IFS(Table1[[#This Row],[MonthlyIncome]]&lt;5000,"Low",Table1[[#This Row],[MonthlyIncome]]&lt;10000,"Medium",Table1[[#This Row],[MonthlyIncome]]&gt;10000,"High")</f>
        <v>Low</v>
      </c>
      <c r="AL168" t="str" cm="1">
        <f t="array" ref="AL168">_xlfn.IFS(Table1[[#This Row],[Attrition]]="Yes","Resigned",Table1[[#This Row],[Attrition]]="No","Active")</f>
        <v>Active</v>
      </c>
      <c r="AM168" t="str" cm="1">
        <f t="array" ref="AM168">_xlfn.IFS(Table1[[#This Row],[YearsAtCompany]]&lt;=1,"0-1 Year",Table1[[#This Row],[YearsAtCompany]]&lt;=2,"1-2 Years",Table1[[#This Row],[YearsAtCompany]]&lt;=3,"2-3 Years",Table1[[#This Row],[YearsAtCompany]]&lt;=4,"3-4 Years",Table1[[#This Row],[YearsAtCompany]]&lt;=5,"4-5 Years",Table1[[#This Row],[YearsAtCompany]]&gt;5,"&gt;5 Years")</f>
        <v>&gt;5 Years</v>
      </c>
    </row>
    <row r="169" spans="1:39" x14ac:dyDescent="0.45">
      <c r="A169">
        <v>30</v>
      </c>
      <c r="B169" t="s">
        <v>43</v>
      </c>
      <c r="C169" t="s">
        <v>64</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_xlfn.IFS(Table1[[#This Row],[Age]]&lt;30,"Young",Table1[[#This Row],[Age]]&lt;=40,"Adult",Table1[[#This Row],[Age]]&gt;40,"Senior")</f>
        <v>Adult</v>
      </c>
      <c r="AK169" t="str" cm="1">
        <f t="array" ref="AK169">_xlfn.IFS(Table1[[#This Row],[MonthlyIncome]]&lt;5000,"Low",Table1[[#This Row],[MonthlyIncome]]&lt;10000,"Medium",Table1[[#This Row],[MonthlyIncome]]&gt;10000,"High")</f>
        <v>Medium</v>
      </c>
      <c r="AL169" t="str" cm="1">
        <f t="array" ref="AL169">_xlfn.IFS(Table1[[#This Row],[Attrition]]="Yes","Resigned",Table1[[#This Row],[Attrition]]="No","Active")</f>
        <v>Active</v>
      </c>
      <c r="AM169" t="str" cm="1">
        <f t="array" ref="AM169">_xlfn.IFS(Table1[[#This Row],[YearsAtCompany]]&lt;=1,"0-1 Year",Table1[[#This Row],[YearsAtCompany]]&lt;=2,"1-2 Years",Table1[[#This Row],[YearsAtCompany]]&lt;=3,"2-3 Years",Table1[[#This Row],[YearsAtCompany]]&lt;=4,"3-4 Years",Table1[[#This Row],[YearsAtCompany]]&lt;=5,"4-5 Years",Table1[[#This Row],[YearsAtCompany]]&gt;5,"&gt;5 Years")</f>
        <v>&gt;5 Years</v>
      </c>
    </row>
    <row r="170" spans="1:39" x14ac:dyDescent="0.45">
      <c r="A170">
        <v>38</v>
      </c>
      <c r="B170" t="s">
        <v>43</v>
      </c>
      <c r="C170" t="s">
        <v>64</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_xlfn.IFS(Table1[[#This Row],[Age]]&lt;30,"Young",Table1[[#This Row],[Age]]&lt;=40,"Adult",Table1[[#This Row],[Age]]&gt;40,"Senior")</f>
        <v>Adult</v>
      </c>
      <c r="AK170" t="str" cm="1">
        <f t="array" ref="AK170">_xlfn.IFS(Table1[[#This Row],[MonthlyIncome]]&lt;5000,"Low",Table1[[#This Row],[MonthlyIncome]]&lt;10000,"Medium",Table1[[#This Row],[MonthlyIncome]]&gt;10000,"High")</f>
        <v>Medium</v>
      </c>
      <c r="AL170" t="str" cm="1">
        <f t="array" ref="AL170">_xlfn.IFS(Table1[[#This Row],[Attrition]]="Yes","Resigned",Table1[[#This Row],[Attrition]]="No","Active")</f>
        <v>Active</v>
      </c>
      <c r="AM170" t="str" cm="1">
        <f t="array" ref="AM170">_xlfn.IFS(Table1[[#This Row],[YearsAtCompany]]&lt;=1,"0-1 Year",Table1[[#This Row],[YearsAtCompany]]&lt;=2,"1-2 Years",Table1[[#This Row],[YearsAtCompany]]&lt;=3,"2-3 Years",Table1[[#This Row],[YearsAtCompany]]&lt;=4,"3-4 Years",Table1[[#This Row],[YearsAtCompany]]&lt;=5,"4-5 Years",Table1[[#This Row],[YearsAtCompany]]&gt;5,"&gt;5 Years")</f>
        <v>&gt;5 Years</v>
      </c>
    </row>
    <row r="171" spans="1:39" hidden="1" x14ac:dyDescent="0.45">
      <c r="A171">
        <v>32</v>
      </c>
      <c r="B171" t="s">
        <v>43</v>
      </c>
      <c r="C171" t="s">
        <v>64</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_xlfn.IFS(Table1[[#This Row],[Age]]&lt;30,"Young",Table1[[#This Row],[Age]]&lt;=40,"Adult",Table1[[#This Row],[Age]]&gt;40,"Senior")</f>
        <v>Adult</v>
      </c>
      <c r="AK171" t="str" cm="1">
        <f t="array" ref="AK171">_xlfn.IFS(Table1[[#This Row],[MonthlyIncome]]&lt;5000,"Low",Table1[[#This Row],[MonthlyIncome]]&lt;10000,"Medium",Table1[[#This Row],[MonthlyIncome]]&gt;10000,"High")</f>
        <v>Low</v>
      </c>
      <c r="AL171" t="str" cm="1">
        <f t="array" ref="AL171">_xlfn.IFS(Table1[[#This Row],[Attrition]]="Yes","Resigned",Table1[[#This Row],[Attrition]]="No","Active")</f>
        <v>Active</v>
      </c>
      <c r="AM171" t="str" cm="1">
        <f t="array" ref="AM171">_xlfn.IFS(Table1[[#This Row],[YearsAtCompany]]&lt;=1,"0-1 Year",Table1[[#This Row],[YearsAtCompany]]&lt;=2,"1-2 Years",Table1[[#This Row],[YearsAtCompany]]&lt;=3,"2-3 Years",Table1[[#This Row],[YearsAtCompany]]&lt;=4,"3-4 Years",Table1[[#This Row],[YearsAtCompany]]&lt;=5,"4-5 Years",Table1[[#This Row],[YearsAtCompany]]&gt;5,"&gt;5 Years")</f>
        <v>4-5 Years</v>
      </c>
    </row>
    <row r="172" spans="1:39" hidden="1" x14ac:dyDescent="0.45">
      <c r="A172">
        <v>27</v>
      </c>
      <c r="B172" t="s">
        <v>43</v>
      </c>
      <c r="C172" t="s">
        <v>64</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_xlfn.IFS(Table1[[#This Row],[Age]]&lt;30,"Young",Table1[[#This Row],[Age]]&lt;=40,"Adult",Table1[[#This Row],[Age]]&gt;40,"Senior")</f>
        <v>Young</v>
      </c>
      <c r="AK172" t="str" cm="1">
        <f t="array" ref="AK172">_xlfn.IFS(Table1[[#This Row],[MonthlyIncome]]&lt;5000,"Low",Table1[[#This Row],[MonthlyIncome]]&lt;10000,"Medium",Table1[[#This Row],[MonthlyIncome]]&gt;10000,"High")</f>
        <v>Low</v>
      </c>
      <c r="AL172" t="str" cm="1">
        <f t="array" ref="AL172">_xlfn.IFS(Table1[[#This Row],[Attrition]]="Yes","Resigned",Table1[[#This Row],[Attrition]]="No","Active")</f>
        <v>Active</v>
      </c>
      <c r="AM172" t="str" cm="1">
        <f t="array" ref="AM172">_xlfn.IFS(Table1[[#This Row],[YearsAtCompany]]&lt;=1,"0-1 Year",Table1[[#This Row],[YearsAtCompany]]&lt;=2,"1-2 Years",Table1[[#This Row],[YearsAtCompany]]&lt;=3,"2-3 Years",Table1[[#This Row],[YearsAtCompany]]&lt;=4,"3-4 Years",Table1[[#This Row],[YearsAtCompany]]&lt;=5,"4-5 Years",Table1[[#This Row],[YearsAtCompany]]&gt;5,"&gt;5 Years")</f>
        <v>4-5 Years</v>
      </c>
    </row>
    <row r="173" spans="1:39" x14ac:dyDescent="0.45">
      <c r="A173">
        <v>19</v>
      </c>
      <c r="B173" t="s">
        <v>35</v>
      </c>
      <c r="C173" t="s">
        <v>63</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_xlfn.IFS(Table1[[#This Row],[Age]]&lt;30,"Young",Table1[[#This Row],[Age]]&lt;=40,"Adult",Table1[[#This Row],[Age]]&gt;40,"Senior")</f>
        <v>Young</v>
      </c>
      <c r="AK173" t="str" cm="1">
        <f t="array" ref="AK173">_xlfn.IFS(Table1[[#This Row],[MonthlyIncome]]&lt;5000,"Low",Table1[[#This Row],[MonthlyIncome]]&lt;10000,"Medium",Table1[[#This Row],[MonthlyIncome]]&gt;10000,"High")</f>
        <v>Low</v>
      </c>
      <c r="AL173" t="str" cm="1">
        <f t="array" ref="AL173">_xlfn.IFS(Table1[[#This Row],[Attrition]]="Yes","Resigned",Table1[[#This Row],[Attrition]]="No","Active")</f>
        <v>Resigned</v>
      </c>
      <c r="AM173" t="str" cm="1">
        <f t="array" ref="AM173">_xlfn.IFS(Table1[[#This Row],[YearsAtCompany]]&lt;=1,"0-1 Year",Table1[[#This Row],[YearsAtCompany]]&lt;=2,"1-2 Years",Table1[[#This Row],[YearsAtCompany]]&lt;=3,"2-3 Years",Table1[[#This Row],[YearsAtCompany]]&lt;=4,"3-4 Years",Table1[[#This Row],[YearsAtCompany]]&lt;=5,"4-5 Years",Table1[[#This Row],[YearsAtCompany]]&gt;5,"&gt;5 Years")</f>
        <v>0-1 Year</v>
      </c>
    </row>
    <row r="174" spans="1:39" hidden="1" x14ac:dyDescent="0.45">
      <c r="A174">
        <v>36</v>
      </c>
      <c r="B174" t="s">
        <v>43</v>
      </c>
      <c r="C174" t="s">
        <v>63</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_xlfn.IFS(Table1[[#This Row],[Age]]&lt;30,"Young",Table1[[#This Row],[Age]]&lt;=40,"Adult",Table1[[#This Row],[Age]]&gt;40,"Senior")</f>
        <v>Adult</v>
      </c>
      <c r="AK174" t="str" cm="1">
        <f t="array" ref="AK174">_xlfn.IFS(Table1[[#This Row],[MonthlyIncome]]&lt;5000,"Low",Table1[[#This Row],[MonthlyIncome]]&lt;10000,"Medium",Table1[[#This Row],[MonthlyIncome]]&gt;10000,"High")</f>
        <v>Low</v>
      </c>
      <c r="AL174" t="str" cm="1">
        <f t="array" ref="AL174">_xlfn.IFS(Table1[[#This Row],[Attrition]]="Yes","Resigned",Table1[[#This Row],[Attrition]]="No","Active")</f>
        <v>Active</v>
      </c>
      <c r="AM174" t="str" cm="1">
        <f t="array" ref="AM174">_xlfn.IFS(Table1[[#This Row],[YearsAtCompany]]&lt;=1,"0-1 Year",Table1[[#This Row],[YearsAtCompany]]&lt;=2,"1-2 Years",Table1[[#This Row],[YearsAtCompany]]&lt;=3,"2-3 Years",Table1[[#This Row],[YearsAtCompany]]&lt;=4,"3-4 Years",Table1[[#This Row],[YearsAtCompany]]&lt;=5,"4-5 Years",Table1[[#This Row],[YearsAtCompany]]&gt;5,"&gt;5 Years")</f>
        <v>&gt;5 Years</v>
      </c>
    </row>
    <row r="175" spans="1:39" hidden="1" x14ac:dyDescent="0.45">
      <c r="A175">
        <v>30</v>
      </c>
      <c r="B175" t="s">
        <v>43</v>
      </c>
      <c r="C175" t="s">
        <v>62</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_xlfn.IFS(Table1[[#This Row],[Age]]&lt;30,"Young",Table1[[#This Row],[Age]]&lt;=40,"Adult",Table1[[#This Row],[Age]]&gt;40,"Senior")</f>
        <v>Adult</v>
      </c>
      <c r="AK175" t="str" cm="1">
        <f t="array" ref="AK175">_xlfn.IFS(Table1[[#This Row],[MonthlyIncome]]&lt;5000,"Low",Table1[[#This Row],[MonthlyIncome]]&lt;10000,"Medium",Table1[[#This Row],[MonthlyIncome]]&gt;10000,"High")</f>
        <v>Low</v>
      </c>
      <c r="AL175" t="str" cm="1">
        <f t="array" ref="AL175">_xlfn.IFS(Table1[[#This Row],[Attrition]]="Yes","Resigned",Table1[[#This Row],[Attrition]]="No","Active")</f>
        <v>Active</v>
      </c>
      <c r="AM175" t="str" cm="1">
        <f t="array" ref="AM175">_xlfn.IFS(Table1[[#This Row],[YearsAtCompany]]&lt;=1,"0-1 Year",Table1[[#This Row],[YearsAtCompany]]&lt;=2,"1-2 Years",Table1[[#This Row],[YearsAtCompany]]&lt;=3,"2-3 Years",Table1[[#This Row],[YearsAtCompany]]&lt;=4,"3-4 Years",Table1[[#This Row],[YearsAtCompany]]&lt;=5,"4-5 Years",Table1[[#This Row],[YearsAtCompany]]&gt;5,"&gt;5 Years")</f>
        <v>&gt;5 Years</v>
      </c>
    </row>
    <row r="176" spans="1:39" x14ac:dyDescent="0.45">
      <c r="A176">
        <v>45</v>
      </c>
      <c r="B176" t="s">
        <v>43</v>
      </c>
      <c r="C176" t="s">
        <v>64</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_xlfn.IFS(Table1[[#This Row],[Age]]&lt;30,"Young",Table1[[#This Row],[Age]]&lt;=40,"Adult",Table1[[#This Row],[Age]]&gt;40,"Senior")</f>
        <v>Senior</v>
      </c>
      <c r="AK176" t="str" cm="1">
        <f t="array" ref="AK176">_xlfn.IFS(Table1[[#This Row],[MonthlyIncome]]&lt;5000,"Low",Table1[[#This Row],[MonthlyIncome]]&lt;10000,"Medium",Table1[[#This Row],[MonthlyIncome]]&gt;10000,"High")</f>
        <v>Medium</v>
      </c>
      <c r="AL176" t="str" cm="1">
        <f t="array" ref="AL176">_xlfn.IFS(Table1[[#This Row],[Attrition]]="Yes","Resigned",Table1[[#This Row],[Attrition]]="No","Active")</f>
        <v>Active</v>
      </c>
      <c r="AM176" t="str" cm="1">
        <f t="array" ref="AM176">_xlfn.IFS(Table1[[#This Row],[YearsAtCompany]]&lt;=1,"0-1 Year",Table1[[#This Row],[YearsAtCompany]]&lt;=2,"1-2 Years",Table1[[#This Row],[YearsAtCompany]]&lt;=3,"2-3 Years",Table1[[#This Row],[YearsAtCompany]]&lt;=4,"3-4 Years",Table1[[#This Row],[YearsAtCompany]]&lt;=5,"4-5 Years",Table1[[#This Row],[YearsAtCompany]]&gt;5,"&gt;5 Years")</f>
        <v>4-5 Years</v>
      </c>
    </row>
    <row r="177" spans="1:39" hidden="1" x14ac:dyDescent="0.45">
      <c r="A177">
        <v>56</v>
      </c>
      <c r="B177" t="s">
        <v>43</v>
      </c>
      <c r="C177" t="s">
        <v>64</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_xlfn.IFS(Table1[[#This Row],[Age]]&lt;30,"Young",Table1[[#This Row],[Age]]&lt;=40,"Adult",Table1[[#This Row],[Age]]&gt;40,"Senior")</f>
        <v>Senior</v>
      </c>
      <c r="AK177" t="str" cm="1">
        <f t="array" ref="AK177">_xlfn.IFS(Table1[[#This Row],[MonthlyIncome]]&lt;5000,"Low",Table1[[#This Row],[MonthlyIncome]]&lt;10000,"Medium",Table1[[#This Row],[MonthlyIncome]]&gt;10000,"High")</f>
        <v>Low</v>
      </c>
      <c r="AL177" t="str" cm="1">
        <f t="array" ref="AL177">_xlfn.IFS(Table1[[#This Row],[Attrition]]="Yes","Resigned",Table1[[#This Row],[Attrition]]="No","Active")</f>
        <v>Active</v>
      </c>
      <c r="AM177" t="str" cm="1">
        <f t="array" ref="AM177">_xlfn.IFS(Table1[[#This Row],[YearsAtCompany]]&lt;=1,"0-1 Year",Table1[[#This Row],[YearsAtCompany]]&lt;=2,"1-2 Years",Table1[[#This Row],[YearsAtCompany]]&lt;=3,"2-3 Years",Table1[[#This Row],[YearsAtCompany]]&lt;=4,"3-4 Years",Table1[[#This Row],[YearsAtCompany]]&lt;=5,"4-5 Years",Table1[[#This Row],[YearsAtCompany]]&gt;5,"&gt;5 Years")</f>
        <v>1-2 Years</v>
      </c>
    </row>
    <row r="178" spans="1:39" hidden="1" x14ac:dyDescent="0.45">
      <c r="A178">
        <v>33</v>
      </c>
      <c r="B178" t="s">
        <v>43</v>
      </c>
      <c r="C178" t="s">
        <v>64</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_xlfn.IFS(Table1[[#This Row],[Age]]&lt;30,"Young",Table1[[#This Row],[Age]]&lt;=40,"Adult",Table1[[#This Row],[Age]]&gt;40,"Senior")</f>
        <v>Adult</v>
      </c>
      <c r="AK178" t="str" cm="1">
        <f t="array" ref="AK178">_xlfn.IFS(Table1[[#This Row],[MonthlyIncome]]&lt;5000,"Low",Table1[[#This Row],[MonthlyIncome]]&lt;10000,"Medium",Table1[[#This Row],[MonthlyIncome]]&gt;10000,"High")</f>
        <v>Low</v>
      </c>
      <c r="AL178" t="str" cm="1">
        <f t="array" ref="AL178">_xlfn.IFS(Table1[[#This Row],[Attrition]]="Yes","Resigned",Table1[[#This Row],[Attrition]]="No","Active")</f>
        <v>Active</v>
      </c>
      <c r="AM178" t="str" cm="1">
        <f t="array" ref="AM178">_xlfn.IFS(Table1[[#This Row],[YearsAtCompany]]&lt;=1,"0-1 Year",Table1[[#This Row],[YearsAtCompany]]&lt;=2,"1-2 Years",Table1[[#This Row],[YearsAtCompany]]&lt;=3,"2-3 Years",Table1[[#This Row],[YearsAtCompany]]&lt;=4,"3-4 Years",Table1[[#This Row],[YearsAtCompany]]&lt;=5,"4-5 Years",Table1[[#This Row],[YearsAtCompany]]&gt;5,"&gt;5 Years")</f>
        <v>2-3 Years</v>
      </c>
    </row>
    <row r="179" spans="1:39" hidden="1" x14ac:dyDescent="0.45">
      <c r="A179">
        <v>19</v>
      </c>
      <c r="B179" t="s">
        <v>35</v>
      </c>
      <c r="C179" t="s">
        <v>64</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_xlfn.IFS(Table1[[#This Row],[Age]]&lt;30,"Young",Table1[[#This Row],[Age]]&lt;=40,"Adult",Table1[[#This Row],[Age]]&gt;40,"Senior")</f>
        <v>Young</v>
      </c>
      <c r="AK179" t="str" cm="1">
        <f t="array" ref="AK179">_xlfn.IFS(Table1[[#This Row],[MonthlyIncome]]&lt;5000,"Low",Table1[[#This Row],[MonthlyIncome]]&lt;10000,"Medium",Table1[[#This Row],[MonthlyIncome]]&gt;10000,"High")</f>
        <v>Low</v>
      </c>
      <c r="AL179" t="str" cm="1">
        <f t="array" ref="AL179">_xlfn.IFS(Table1[[#This Row],[Attrition]]="Yes","Resigned",Table1[[#This Row],[Attrition]]="No","Active")</f>
        <v>Resigned</v>
      </c>
      <c r="AM179" t="str" cm="1">
        <f t="array" ref="AM179">_xlfn.IFS(Table1[[#This Row],[YearsAtCompany]]&lt;=1,"0-1 Year",Table1[[#This Row],[YearsAtCompany]]&lt;=2,"1-2 Years",Table1[[#This Row],[YearsAtCompany]]&lt;=3,"2-3 Years",Table1[[#This Row],[YearsAtCompany]]&lt;=4,"3-4 Years",Table1[[#This Row],[YearsAtCompany]]&lt;=5,"4-5 Years",Table1[[#This Row],[YearsAtCompany]]&gt;5,"&gt;5 Years")</f>
        <v>0-1 Year</v>
      </c>
    </row>
    <row r="180" spans="1:39" x14ac:dyDescent="0.45">
      <c r="A180">
        <v>46</v>
      </c>
      <c r="B180" t="s">
        <v>43</v>
      </c>
      <c r="C180" t="s">
        <v>64</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_xlfn.IFS(Table1[[#This Row],[Age]]&lt;30,"Young",Table1[[#This Row],[Age]]&lt;=40,"Adult",Table1[[#This Row],[Age]]&gt;40,"Senior")</f>
        <v>Senior</v>
      </c>
      <c r="AK180" t="str" cm="1">
        <f t="array" ref="AK180">_xlfn.IFS(Table1[[#This Row],[MonthlyIncome]]&lt;5000,"Low",Table1[[#This Row],[MonthlyIncome]]&lt;10000,"Medium",Table1[[#This Row],[MonthlyIncome]]&gt;10000,"High")</f>
        <v>High</v>
      </c>
      <c r="AL180" t="str" cm="1">
        <f t="array" ref="AL180">_xlfn.IFS(Table1[[#This Row],[Attrition]]="Yes","Resigned",Table1[[#This Row],[Attrition]]="No","Active")</f>
        <v>Active</v>
      </c>
      <c r="AM180" t="str" cm="1">
        <f t="array" ref="AM180">_xlfn.IFS(Table1[[#This Row],[YearsAtCompany]]&lt;=1,"0-1 Year",Table1[[#This Row],[YearsAtCompany]]&lt;=2,"1-2 Years",Table1[[#This Row],[YearsAtCompany]]&lt;=3,"2-3 Years",Table1[[#This Row],[YearsAtCompany]]&lt;=4,"3-4 Years",Table1[[#This Row],[YearsAtCompany]]&lt;=5,"4-5 Years",Table1[[#This Row],[YearsAtCompany]]&gt;5,"&gt;5 Years")</f>
        <v>&gt;5 Years</v>
      </c>
    </row>
    <row r="181" spans="1:39" hidden="1" x14ac:dyDescent="0.45">
      <c r="A181">
        <v>38</v>
      </c>
      <c r="B181" t="s">
        <v>43</v>
      </c>
      <c r="C181" t="s">
        <v>64</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_xlfn.IFS(Table1[[#This Row],[Age]]&lt;30,"Young",Table1[[#This Row],[Age]]&lt;=40,"Adult",Table1[[#This Row],[Age]]&gt;40,"Senior")</f>
        <v>Adult</v>
      </c>
      <c r="AK181" t="str" cm="1">
        <f t="array" ref="AK181">_xlfn.IFS(Table1[[#This Row],[MonthlyIncome]]&lt;5000,"Low",Table1[[#This Row],[MonthlyIncome]]&lt;10000,"Medium",Table1[[#This Row],[MonthlyIncome]]&gt;10000,"High")</f>
        <v>Low</v>
      </c>
      <c r="AL181" t="str" cm="1">
        <f t="array" ref="AL181">_xlfn.IFS(Table1[[#This Row],[Attrition]]="Yes","Resigned",Table1[[#This Row],[Attrition]]="No","Active")</f>
        <v>Active</v>
      </c>
      <c r="AM181" t="str" cm="1">
        <f t="array" ref="AM181">_xlfn.IFS(Table1[[#This Row],[YearsAtCompany]]&lt;=1,"0-1 Year",Table1[[#This Row],[YearsAtCompany]]&lt;=2,"1-2 Years",Table1[[#This Row],[YearsAtCompany]]&lt;=3,"2-3 Years",Table1[[#This Row],[YearsAtCompany]]&lt;=4,"3-4 Years",Table1[[#This Row],[YearsAtCompany]]&lt;=5,"4-5 Years",Table1[[#This Row],[YearsAtCompany]]&gt;5,"&gt;5 Years")</f>
        <v>1-2 Years</v>
      </c>
    </row>
    <row r="182" spans="1:39" hidden="1" x14ac:dyDescent="0.45">
      <c r="A182">
        <v>31</v>
      </c>
      <c r="B182" t="s">
        <v>43</v>
      </c>
      <c r="C182" t="s">
        <v>64</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_xlfn.IFS(Table1[[#This Row],[Age]]&lt;30,"Young",Table1[[#This Row],[Age]]&lt;=40,"Adult",Table1[[#This Row],[Age]]&gt;40,"Senior")</f>
        <v>Adult</v>
      </c>
      <c r="AK182" t="str" cm="1">
        <f t="array" ref="AK182">_xlfn.IFS(Table1[[#This Row],[MonthlyIncome]]&lt;5000,"Low",Table1[[#This Row],[MonthlyIncome]]&lt;10000,"Medium",Table1[[#This Row],[MonthlyIncome]]&gt;10000,"High")</f>
        <v>Low</v>
      </c>
      <c r="AL182" t="str" cm="1">
        <f t="array" ref="AL182">_xlfn.IFS(Table1[[#This Row],[Attrition]]="Yes","Resigned",Table1[[#This Row],[Attrition]]="No","Active")</f>
        <v>Active</v>
      </c>
      <c r="AM182" t="str" cm="1">
        <f t="array" ref="AM182">_xlfn.IFS(Table1[[#This Row],[YearsAtCompany]]&lt;=1,"0-1 Year",Table1[[#This Row],[YearsAtCompany]]&lt;=2,"1-2 Years",Table1[[#This Row],[YearsAtCompany]]&lt;=3,"2-3 Years",Table1[[#This Row],[YearsAtCompany]]&lt;=4,"3-4 Years",Table1[[#This Row],[YearsAtCompany]]&lt;=5,"4-5 Years",Table1[[#This Row],[YearsAtCompany]]&gt;5,"&gt;5 Years")</f>
        <v>3-4 Years</v>
      </c>
    </row>
    <row r="183" spans="1:39" hidden="1" x14ac:dyDescent="0.45">
      <c r="A183">
        <v>34</v>
      </c>
      <c r="B183" t="s">
        <v>43</v>
      </c>
      <c r="C183" t="s">
        <v>64</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_xlfn.IFS(Table1[[#This Row],[Age]]&lt;30,"Young",Table1[[#This Row],[Age]]&lt;=40,"Adult",Table1[[#This Row],[Age]]&gt;40,"Senior")</f>
        <v>Adult</v>
      </c>
      <c r="AK183" t="str" cm="1">
        <f t="array" ref="AK183">_xlfn.IFS(Table1[[#This Row],[MonthlyIncome]]&lt;5000,"Low",Table1[[#This Row],[MonthlyIncome]]&lt;10000,"Medium",Table1[[#This Row],[MonthlyIncome]]&gt;10000,"High")</f>
        <v>Low</v>
      </c>
      <c r="AL183" t="str" cm="1">
        <f t="array" ref="AL183">_xlfn.IFS(Table1[[#This Row],[Attrition]]="Yes","Resigned",Table1[[#This Row],[Attrition]]="No","Active")</f>
        <v>Active</v>
      </c>
      <c r="AM183" t="str" cm="1">
        <f t="array" ref="AM183">_xlfn.IFS(Table1[[#This Row],[YearsAtCompany]]&lt;=1,"0-1 Year",Table1[[#This Row],[YearsAtCompany]]&lt;=2,"1-2 Years",Table1[[#This Row],[YearsAtCompany]]&lt;=3,"2-3 Years",Table1[[#This Row],[YearsAtCompany]]&lt;=4,"3-4 Years",Table1[[#This Row],[YearsAtCompany]]&lt;=5,"4-5 Years",Table1[[#This Row],[YearsAtCompany]]&gt;5,"&gt;5 Years")</f>
        <v>2-3 Years</v>
      </c>
    </row>
    <row r="184" spans="1:39" x14ac:dyDescent="0.45">
      <c r="A184">
        <v>41</v>
      </c>
      <c r="B184" t="s">
        <v>35</v>
      </c>
      <c r="C184" t="s">
        <v>64</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_xlfn.IFS(Table1[[#This Row],[Age]]&lt;30,"Young",Table1[[#This Row],[Age]]&lt;=40,"Adult",Table1[[#This Row],[Age]]&gt;40,"Senior")</f>
        <v>Senior</v>
      </c>
      <c r="AK184" t="str" cm="1">
        <f t="array" ref="AK184">_xlfn.IFS(Table1[[#This Row],[MonthlyIncome]]&lt;5000,"Low",Table1[[#This Row],[MonthlyIncome]]&lt;10000,"Medium",Table1[[#This Row],[MonthlyIncome]]&gt;10000,"High")</f>
        <v>Low</v>
      </c>
      <c r="AL184" t="str" cm="1">
        <f t="array" ref="AL184">_xlfn.IFS(Table1[[#This Row],[Attrition]]="Yes","Resigned",Table1[[#This Row],[Attrition]]="No","Active")</f>
        <v>Resigned</v>
      </c>
      <c r="AM184" t="str" cm="1">
        <f t="array" ref="AM184">_xlfn.IFS(Table1[[#This Row],[YearsAtCompany]]&lt;=1,"0-1 Year",Table1[[#This Row],[YearsAtCompany]]&lt;=2,"1-2 Years",Table1[[#This Row],[YearsAtCompany]]&lt;=3,"2-3 Years",Table1[[#This Row],[YearsAtCompany]]&lt;=4,"3-4 Years",Table1[[#This Row],[YearsAtCompany]]&lt;=5,"4-5 Years",Table1[[#This Row],[YearsAtCompany]]&gt;5,"&gt;5 Years")</f>
        <v>3-4 Years</v>
      </c>
    </row>
    <row r="185" spans="1:39" hidden="1" x14ac:dyDescent="0.45">
      <c r="A185">
        <v>50</v>
      </c>
      <c r="B185" t="s">
        <v>43</v>
      </c>
      <c r="C185" t="s">
        <v>64</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_xlfn.IFS(Table1[[#This Row],[Age]]&lt;30,"Young",Table1[[#This Row],[Age]]&lt;=40,"Adult",Table1[[#This Row],[Age]]&gt;40,"Senior")</f>
        <v>Senior</v>
      </c>
      <c r="AK185" t="str" cm="1">
        <f t="array" ref="AK185">_xlfn.IFS(Table1[[#This Row],[MonthlyIncome]]&lt;5000,"Low",Table1[[#This Row],[MonthlyIncome]]&lt;10000,"Medium",Table1[[#This Row],[MonthlyIncome]]&gt;10000,"High")</f>
        <v>Low</v>
      </c>
      <c r="AL185" t="str" cm="1">
        <f t="array" ref="AL185">_xlfn.IFS(Table1[[#This Row],[Attrition]]="Yes","Resigned",Table1[[#This Row],[Attrition]]="No","Active")</f>
        <v>Active</v>
      </c>
      <c r="AM185" t="str" cm="1">
        <f t="array" ref="AM185">_xlfn.IFS(Table1[[#This Row],[YearsAtCompany]]&lt;=1,"0-1 Year",Table1[[#This Row],[YearsAtCompany]]&lt;=2,"1-2 Years",Table1[[#This Row],[YearsAtCompany]]&lt;=3,"2-3 Years",Table1[[#This Row],[YearsAtCompany]]&lt;=4,"3-4 Years",Table1[[#This Row],[YearsAtCompany]]&lt;=5,"4-5 Years",Table1[[#This Row],[YearsAtCompany]]&gt;5,"&gt;5 Years")</f>
        <v>2-3 Years</v>
      </c>
    </row>
    <row r="186" spans="1:39" hidden="1" x14ac:dyDescent="0.45">
      <c r="A186">
        <v>53</v>
      </c>
      <c r="B186" t="s">
        <v>43</v>
      </c>
      <c r="C186" t="s">
        <v>64</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_xlfn.IFS(Table1[[#This Row],[Age]]&lt;30,"Young",Table1[[#This Row],[Age]]&lt;=40,"Adult",Table1[[#This Row],[Age]]&gt;40,"Senior")</f>
        <v>Senior</v>
      </c>
      <c r="AK186" t="str" cm="1">
        <f t="array" ref="AK186">_xlfn.IFS(Table1[[#This Row],[MonthlyIncome]]&lt;5000,"Low",Table1[[#This Row],[MonthlyIncome]]&lt;10000,"Medium",Table1[[#This Row],[MonthlyIncome]]&gt;10000,"High")</f>
        <v>Low</v>
      </c>
      <c r="AL186" t="str" cm="1">
        <f t="array" ref="AL186">_xlfn.IFS(Table1[[#This Row],[Attrition]]="Yes","Resigned",Table1[[#This Row],[Attrition]]="No","Active")</f>
        <v>Active</v>
      </c>
      <c r="AM186" t="str" cm="1">
        <f t="array" ref="AM186">_xlfn.IFS(Table1[[#This Row],[YearsAtCompany]]&lt;=1,"0-1 Year",Table1[[#This Row],[YearsAtCompany]]&lt;=2,"1-2 Years",Table1[[#This Row],[YearsAtCompany]]&lt;=3,"2-3 Years",Table1[[#This Row],[YearsAtCompany]]&lt;=4,"3-4 Years",Table1[[#This Row],[YearsAtCompany]]&lt;=5,"4-5 Years",Table1[[#This Row],[YearsAtCompany]]&gt;5,"&gt;5 Years")</f>
        <v>3-4 Years</v>
      </c>
    </row>
    <row r="187" spans="1:39" hidden="1" x14ac:dyDescent="0.45">
      <c r="A187">
        <v>33</v>
      </c>
      <c r="B187" t="s">
        <v>43</v>
      </c>
      <c r="C187" t="s">
        <v>64</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_xlfn.IFS(Table1[[#This Row],[Age]]&lt;30,"Young",Table1[[#This Row],[Age]]&lt;=40,"Adult",Table1[[#This Row],[Age]]&gt;40,"Senior")</f>
        <v>Adult</v>
      </c>
      <c r="AK187" t="str" cm="1">
        <f t="array" ref="AK187">_xlfn.IFS(Table1[[#This Row],[MonthlyIncome]]&lt;5000,"Low",Table1[[#This Row],[MonthlyIncome]]&lt;10000,"Medium",Table1[[#This Row],[MonthlyIncome]]&gt;10000,"High")</f>
        <v>Low</v>
      </c>
      <c r="AL187" t="str" cm="1">
        <f t="array" ref="AL187">_xlfn.IFS(Table1[[#This Row],[Attrition]]="Yes","Resigned",Table1[[#This Row],[Attrition]]="No","Active")</f>
        <v>Active</v>
      </c>
      <c r="AM187" t="str" cm="1">
        <f t="array" ref="AM187">_xlfn.IFS(Table1[[#This Row],[YearsAtCompany]]&lt;=1,"0-1 Year",Table1[[#This Row],[YearsAtCompany]]&lt;=2,"1-2 Years",Table1[[#This Row],[YearsAtCompany]]&lt;=3,"2-3 Years",Table1[[#This Row],[YearsAtCompany]]&lt;=4,"3-4 Years",Table1[[#This Row],[YearsAtCompany]]&lt;=5,"4-5 Years",Table1[[#This Row],[YearsAtCompany]]&gt;5,"&gt;5 Years")</f>
        <v>&gt;5 Years</v>
      </c>
    </row>
    <row r="188" spans="1:39" hidden="1" x14ac:dyDescent="0.45">
      <c r="A188">
        <v>40</v>
      </c>
      <c r="B188" t="s">
        <v>43</v>
      </c>
      <c r="C188" t="s">
        <v>64</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_xlfn.IFS(Table1[[#This Row],[Age]]&lt;30,"Young",Table1[[#This Row],[Age]]&lt;=40,"Adult",Table1[[#This Row],[Age]]&gt;40,"Senior")</f>
        <v>Adult</v>
      </c>
      <c r="AK188" t="str" cm="1">
        <f t="array" ref="AK188">_xlfn.IFS(Table1[[#This Row],[MonthlyIncome]]&lt;5000,"Low",Table1[[#This Row],[MonthlyIncome]]&lt;10000,"Medium",Table1[[#This Row],[MonthlyIncome]]&gt;10000,"High")</f>
        <v>High</v>
      </c>
      <c r="AL188" t="str" cm="1">
        <f t="array" ref="AL188">_xlfn.IFS(Table1[[#This Row],[Attrition]]="Yes","Resigned",Table1[[#This Row],[Attrition]]="No","Active")</f>
        <v>Active</v>
      </c>
      <c r="AM188" t="str" cm="1">
        <f t="array" ref="AM188">_xlfn.IFS(Table1[[#This Row],[YearsAtCompany]]&lt;=1,"0-1 Year",Table1[[#This Row],[YearsAtCompany]]&lt;=2,"1-2 Years",Table1[[#This Row],[YearsAtCompany]]&lt;=3,"2-3 Years",Table1[[#This Row],[YearsAtCompany]]&lt;=4,"3-4 Years",Table1[[#This Row],[YearsAtCompany]]&lt;=5,"4-5 Years",Table1[[#This Row],[YearsAtCompany]]&gt;5,"&gt;5 Years")</f>
        <v>&gt;5 Years</v>
      </c>
    </row>
    <row r="189" spans="1:39" hidden="1" x14ac:dyDescent="0.45">
      <c r="A189">
        <v>55</v>
      </c>
      <c r="B189" t="s">
        <v>43</v>
      </c>
      <c r="C189" t="s">
        <v>64</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_xlfn.IFS(Table1[[#This Row],[Age]]&lt;30,"Young",Table1[[#This Row],[Age]]&lt;=40,"Adult",Table1[[#This Row],[Age]]&gt;40,"Senior")</f>
        <v>Senior</v>
      </c>
      <c r="AK189" t="str" cm="1">
        <f t="array" ref="AK189">_xlfn.IFS(Table1[[#This Row],[MonthlyIncome]]&lt;5000,"Low",Table1[[#This Row],[MonthlyIncome]]&lt;10000,"Medium",Table1[[#This Row],[MonthlyIncome]]&gt;10000,"High")</f>
        <v>High</v>
      </c>
      <c r="AL189" t="str" cm="1">
        <f t="array" ref="AL189">_xlfn.IFS(Table1[[#This Row],[Attrition]]="Yes","Resigned",Table1[[#This Row],[Attrition]]="No","Active")</f>
        <v>Active</v>
      </c>
      <c r="AM189" t="str" cm="1">
        <f t="array" ref="AM189">_xlfn.IFS(Table1[[#This Row],[YearsAtCompany]]&lt;=1,"0-1 Year",Table1[[#This Row],[YearsAtCompany]]&lt;=2,"1-2 Years",Table1[[#This Row],[YearsAtCompany]]&lt;=3,"2-3 Years",Table1[[#This Row],[YearsAtCompany]]&lt;=4,"3-4 Years",Table1[[#This Row],[YearsAtCompany]]&lt;=5,"4-5 Years",Table1[[#This Row],[YearsAtCompany]]&gt;5,"&gt;5 Years")</f>
        <v>&gt;5 Years</v>
      </c>
    </row>
    <row r="190" spans="1:39" hidden="1" x14ac:dyDescent="0.45">
      <c r="A190">
        <v>34</v>
      </c>
      <c r="B190" t="s">
        <v>43</v>
      </c>
      <c r="C190" t="s">
        <v>63</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_xlfn.IFS(Table1[[#This Row],[Age]]&lt;30,"Young",Table1[[#This Row],[Age]]&lt;=40,"Adult",Table1[[#This Row],[Age]]&gt;40,"Senior")</f>
        <v>Adult</v>
      </c>
      <c r="AK190" t="str" cm="1">
        <f t="array" ref="AK190">_xlfn.IFS(Table1[[#This Row],[MonthlyIncome]]&lt;5000,"Low",Table1[[#This Row],[MonthlyIncome]]&lt;10000,"Medium",Table1[[#This Row],[MonthlyIncome]]&gt;10000,"High")</f>
        <v>Medium</v>
      </c>
      <c r="AL190" t="str" cm="1">
        <f t="array" ref="AL190">_xlfn.IFS(Table1[[#This Row],[Attrition]]="Yes","Resigned",Table1[[#This Row],[Attrition]]="No","Active")</f>
        <v>Active</v>
      </c>
      <c r="AM190" t="str" cm="1">
        <f t="array" ref="AM190">_xlfn.IFS(Table1[[#This Row],[YearsAtCompany]]&lt;=1,"0-1 Year",Table1[[#This Row],[YearsAtCompany]]&lt;=2,"1-2 Years",Table1[[#This Row],[YearsAtCompany]]&lt;=3,"2-3 Years",Table1[[#This Row],[YearsAtCompany]]&lt;=4,"3-4 Years",Table1[[#This Row],[YearsAtCompany]]&lt;=5,"4-5 Years",Table1[[#This Row],[YearsAtCompany]]&gt;5,"&gt;5 Years")</f>
        <v>&gt;5 Years</v>
      </c>
    </row>
    <row r="191" spans="1:39" hidden="1" x14ac:dyDescent="0.45">
      <c r="A191">
        <v>51</v>
      </c>
      <c r="B191" t="s">
        <v>43</v>
      </c>
      <c r="C191" t="s">
        <v>64</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_xlfn.IFS(Table1[[#This Row],[Age]]&lt;30,"Young",Table1[[#This Row],[Age]]&lt;=40,"Adult",Table1[[#This Row],[Age]]&gt;40,"Senior")</f>
        <v>Senior</v>
      </c>
      <c r="AK191" t="str" cm="1">
        <f t="array" ref="AK191">_xlfn.IFS(Table1[[#This Row],[MonthlyIncome]]&lt;5000,"Low",Table1[[#This Row],[MonthlyIncome]]&lt;10000,"Medium",Table1[[#This Row],[MonthlyIncome]]&gt;10000,"High")</f>
        <v>High</v>
      </c>
      <c r="AL191" t="str" cm="1">
        <f t="array" ref="AL191">_xlfn.IFS(Table1[[#This Row],[Attrition]]="Yes","Resigned",Table1[[#This Row],[Attrition]]="No","Active")</f>
        <v>Active</v>
      </c>
      <c r="AM191" t="str" cm="1">
        <f t="array" ref="AM191">_xlfn.IFS(Table1[[#This Row],[YearsAtCompany]]&lt;=1,"0-1 Year",Table1[[#This Row],[YearsAtCompany]]&lt;=2,"1-2 Years",Table1[[#This Row],[YearsAtCompany]]&lt;=3,"2-3 Years",Table1[[#This Row],[YearsAtCompany]]&lt;=4,"3-4 Years",Table1[[#This Row],[YearsAtCompany]]&lt;=5,"4-5 Years",Table1[[#This Row],[YearsAtCompany]]&gt;5,"&gt;5 Years")</f>
        <v>&gt;5 Years</v>
      </c>
    </row>
    <row r="192" spans="1:39" hidden="1" x14ac:dyDescent="0.45">
      <c r="A192">
        <v>52</v>
      </c>
      <c r="B192" t="s">
        <v>43</v>
      </c>
      <c r="C192" t="s">
        <v>64</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_xlfn.IFS(Table1[[#This Row],[Age]]&lt;30,"Young",Table1[[#This Row],[Age]]&lt;=40,"Adult",Table1[[#This Row],[Age]]&gt;40,"Senior")</f>
        <v>Senior</v>
      </c>
      <c r="AK192" t="str" cm="1">
        <f t="array" ref="AK192">_xlfn.IFS(Table1[[#This Row],[MonthlyIncome]]&lt;5000,"Low",Table1[[#This Row],[MonthlyIncome]]&lt;10000,"Medium",Table1[[#This Row],[MonthlyIncome]]&gt;10000,"High")</f>
        <v>High</v>
      </c>
      <c r="AL192" t="str" cm="1">
        <f t="array" ref="AL192">_xlfn.IFS(Table1[[#This Row],[Attrition]]="Yes","Resigned",Table1[[#This Row],[Attrition]]="No","Active")</f>
        <v>Active</v>
      </c>
      <c r="AM192" t="str" cm="1">
        <f t="array" ref="AM192">_xlfn.IFS(Table1[[#This Row],[YearsAtCompany]]&lt;=1,"0-1 Year",Table1[[#This Row],[YearsAtCompany]]&lt;=2,"1-2 Years",Table1[[#This Row],[YearsAtCompany]]&lt;=3,"2-3 Years",Table1[[#This Row],[YearsAtCompany]]&lt;=4,"3-4 Years",Table1[[#This Row],[YearsAtCompany]]&lt;=5,"4-5 Years",Table1[[#This Row],[YearsAtCompany]]&gt;5,"&gt;5 Years")</f>
        <v>&gt;5 Years</v>
      </c>
    </row>
    <row r="193" spans="1:39" hidden="1" x14ac:dyDescent="0.45">
      <c r="A193">
        <v>27</v>
      </c>
      <c r="B193" t="s">
        <v>43</v>
      </c>
      <c r="C193" t="s">
        <v>64</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_xlfn.IFS(Table1[[#This Row],[Age]]&lt;30,"Young",Table1[[#This Row],[Age]]&lt;=40,"Adult",Table1[[#This Row],[Age]]&gt;40,"Senior")</f>
        <v>Young</v>
      </c>
      <c r="AK193" t="str" cm="1">
        <f t="array" ref="AK193">_xlfn.IFS(Table1[[#This Row],[MonthlyIncome]]&lt;5000,"Low",Table1[[#This Row],[MonthlyIncome]]&lt;10000,"Medium",Table1[[#This Row],[MonthlyIncome]]&gt;10000,"High")</f>
        <v>Low</v>
      </c>
      <c r="AL193" t="str" cm="1">
        <f t="array" ref="AL193">_xlfn.IFS(Table1[[#This Row],[Attrition]]="Yes","Resigned",Table1[[#This Row],[Attrition]]="No","Active")</f>
        <v>Active</v>
      </c>
      <c r="AM193" t="str" cm="1">
        <f t="array" ref="AM193">_xlfn.IFS(Table1[[#This Row],[YearsAtCompany]]&lt;=1,"0-1 Year",Table1[[#This Row],[YearsAtCompany]]&lt;=2,"1-2 Years",Table1[[#This Row],[YearsAtCompany]]&lt;=3,"2-3 Years",Table1[[#This Row],[YearsAtCompany]]&lt;=4,"3-4 Years",Table1[[#This Row],[YearsAtCompany]]&lt;=5,"4-5 Years",Table1[[#This Row],[YearsAtCompany]]&gt;5,"&gt;5 Years")</f>
        <v>&gt;5 Years</v>
      </c>
    </row>
    <row r="194" spans="1:39" hidden="1" x14ac:dyDescent="0.45">
      <c r="A194">
        <v>35</v>
      </c>
      <c r="B194" t="s">
        <v>35</v>
      </c>
      <c r="C194" t="s">
        <v>64</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_xlfn.IFS(Table1[[#This Row],[Age]]&lt;30,"Young",Table1[[#This Row],[Age]]&lt;=40,"Adult",Table1[[#This Row],[Age]]&gt;40,"Senior")</f>
        <v>Adult</v>
      </c>
      <c r="AK194" t="str" cm="1">
        <f t="array" ref="AK194">_xlfn.IFS(Table1[[#This Row],[MonthlyIncome]]&lt;5000,"Low",Table1[[#This Row],[MonthlyIncome]]&lt;10000,"Medium",Table1[[#This Row],[MonthlyIncome]]&gt;10000,"High")</f>
        <v>Medium</v>
      </c>
      <c r="AL194" t="str" cm="1">
        <f t="array" ref="AL194">_xlfn.IFS(Table1[[#This Row],[Attrition]]="Yes","Resigned",Table1[[#This Row],[Attrition]]="No","Active")</f>
        <v>Resigned</v>
      </c>
      <c r="AM194" t="str" cm="1">
        <f t="array" ref="AM194">_xlfn.IFS(Table1[[#This Row],[YearsAtCompany]]&lt;=1,"0-1 Year",Table1[[#This Row],[YearsAtCompany]]&lt;=2,"1-2 Years",Table1[[#This Row],[YearsAtCompany]]&lt;=3,"2-3 Years",Table1[[#This Row],[YearsAtCompany]]&lt;=4,"3-4 Years",Table1[[#This Row],[YearsAtCompany]]&lt;=5,"4-5 Years",Table1[[#This Row],[YearsAtCompany]]&gt;5,"&gt;5 Years")</f>
        <v>0-1 Year</v>
      </c>
    </row>
    <row r="195" spans="1:39" hidden="1" x14ac:dyDescent="0.45">
      <c r="A195">
        <v>43</v>
      </c>
      <c r="B195" t="s">
        <v>43</v>
      </c>
      <c r="C195" t="s">
        <v>62</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_xlfn.IFS(Table1[[#This Row],[Age]]&lt;30,"Young",Table1[[#This Row],[Age]]&lt;=40,"Adult",Table1[[#This Row],[Age]]&gt;40,"Senior")</f>
        <v>Senior</v>
      </c>
      <c r="AK195" t="str" cm="1">
        <f t="array" ref="AK195">_xlfn.IFS(Table1[[#This Row],[MonthlyIncome]]&lt;5000,"Low",Table1[[#This Row],[MonthlyIncome]]&lt;10000,"Medium",Table1[[#This Row],[MonthlyIncome]]&gt;10000,"High")</f>
        <v>Low</v>
      </c>
      <c r="AL195" t="str" cm="1">
        <f t="array" ref="AL195">_xlfn.IFS(Table1[[#This Row],[Attrition]]="Yes","Resigned",Table1[[#This Row],[Attrition]]="No","Active")</f>
        <v>Active</v>
      </c>
      <c r="AM195" t="str" cm="1">
        <f t="array" ref="AM195">_xlfn.IFS(Table1[[#This Row],[YearsAtCompany]]&lt;=1,"0-1 Year",Table1[[#This Row],[YearsAtCompany]]&lt;=2,"1-2 Years",Table1[[#This Row],[YearsAtCompany]]&lt;=3,"2-3 Years",Table1[[#This Row],[YearsAtCompany]]&lt;=4,"3-4 Years",Table1[[#This Row],[YearsAtCompany]]&lt;=5,"4-5 Years",Table1[[#This Row],[YearsAtCompany]]&gt;5,"&gt;5 Years")</f>
        <v>4-5 Years</v>
      </c>
    </row>
    <row r="196" spans="1:39" hidden="1" x14ac:dyDescent="0.45">
      <c r="A196">
        <v>45</v>
      </c>
      <c r="B196" t="s">
        <v>43</v>
      </c>
      <c r="C196" t="s">
        <v>62</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_xlfn.IFS(Table1[[#This Row],[Age]]&lt;30,"Young",Table1[[#This Row],[Age]]&lt;=40,"Adult",Table1[[#This Row],[Age]]&gt;40,"Senior")</f>
        <v>Senior</v>
      </c>
      <c r="AK196" t="str" cm="1">
        <f t="array" ref="AK196">_xlfn.IFS(Table1[[#This Row],[MonthlyIncome]]&lt;5000,"Low",Table1[[#This Row],[MonthlyIncome]]&lt;10000,"Medium",Table1[[#This Row],[MonthlyIncome]]&gt;10000,"High")</f>
        <v>High</v>
      </c>
      <c r="AL196" t="str" cm="1">
        <f t="array" ref="AL196">_xlfn.IFS(Table1[[#This Row],[Attrition]]="Yes","Resigned",Table1[[#This Row],[Attrition]]="No","Active")</f>
        <v>Active</v>
      </c>
      <c r="AM196" t="str" cm="1">
        <f t="array" ref="AM196">_xlfn.IFS(Table1[[#This Row],[YearsAtCompany]]&lt;=1,"0-1 Year",Table1[[#This Row],[YearsAtCompany]]&lt;=2,"1-2 Years",Table1[[#This Row],[YearsAtCompany]]&lt;=3,"2-3 Years",Table1[[#This Row],[YearsAtCompany]]&lt;=4,"3-4 Years",Table1[[#This Row],[YearsAtCompany]]&lt;=5,"4-5 Years",Table1[[#This Row],[YearsAtCompany]]&gt;5,"&gt;5 Years")</f>
        <v>&gt;5 Years</v>
      </c>
    </row>
    <row r="197" spans="1:39" hidden="1" x14ac:dyDescent="0.45">
      <c r="A197">
        <v>37</v>
      </c>
      <c r="B197" t="s">
        <v>43</v>
      </c>
      <c r="C197" t="s">
        <v>64</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_xlfn.IFS(Table1[[#This Row],[Age]]&lt;30,"Young",Table1[[#This Row],[Age]]&lt;=40,"Adult",Table1[[#This Row],[Age]]&gt;40,"Senior")</f>
        <v>Adult</v>
      </c>
      <c r="AK197" t="str" cm="1">
        <f t="array" ref="AK197">_xlfn.IFS(Table1[[#This Row],[MonthlyIncome]]&lt;5000,"Low",Table1[[#This Row],[MonthlyIncome]]&lt;10000,"Medium",Table1[[#This Row],[MonthlyIncome]]&gt;10000,"High")</f>
        <v>Low</v>
      </c>
      <c r="AL197" t="str" cm="1">
        <f t="array" ref="AL197">_xlfn.IFS(Table1[[#This Row],[Attrition]]="Yes","Resigned",Table1[[#This Row],[Attrition]]="No","Active")</f>
        <v>Active</v>
      </c>
      <c r="AM197" t="str" cm="1">
        <f t="array" ref="AM197">_xlfn.IFS(Table1[[#This Row],[YearsAtCompany]]&lt;=1,"0-1 Year",Table1[[#This Row],[YearsAtCompany]]&lt;=2,"1-2 Years",Table1[[#This Row],[YearsAtCompany]]&lt;=3,"2-3 Years",Table1[[#This Row],[YearsAtCompany]]&lt;=4,"3-4 Years",Table1[[#This Row],[YearsAtCompany]]&lt;=5,"4-5 Years",Table1[[#This Row],[YearsAtCompany]]&gt;5,"&gt;5 Years")</f>
        <v>&gt;5 Years</v>
      </c>
    </row>
    <row r="198" spans="1:39" hidden="1" x14ac:dyDescent="0.45">
      <c r="A198">
        <v>35</v>
      </c>
      <c r="B198" t="s">
        <v>43</v>
      </c>
      <c r="C198" t="s">
        <v>63</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_xlfn.IFS(Table1[[#This Row],[Age]]&lt;30,"Young",Table1[[#This Row],[Age]]&lt;=40,"Adult",Table1[[#This Row],[Age]]&gt;40,"Senior")</f>
        <v>Adult</v>
      </c>
      <c r="AK198" t="str" cm="1">
        <f t="array" ref="AK198">_xlfn.IFS(Table1[[#This Row],[MonthlyIncome]]&lt;5000,"Low",Table1[[#This Row],[MonthlyIncome]]&lt;10000,"Medium",Table1[[#This Row],[MonthlyIncome]]&gt;10000,"High")</f>
        <v>Low</v>
      </c>
      <c r="AL198" t="str" cm="1">
        <f t="array" ref="AL198">_xlfn.IFS(Table1[[#This Row],[Attrition]]="Yes","Resigned",Table1[[#This Row],[Attrition]]="No","Active")</f>
        <v>Active</v>
      </c>
      <c r="AM198" t="str" cm="1">
        <f t="array" ref="AM198">_xlfn.IFS(Table1[[#This Row],[YearsAtCompany]]&lt;=1,"0-1 Year",Table1[[#This Row],[YearsAtCompany]]&lt;=2,"1-2 Years",Table1[[#This Row],[YearsAtCompany]]&lt;=3,"2-3 Years",Table1[[#This Row],[YearsAtCompany]]&lt;=4,"3-4 Years",Table1[[#This Row],[YearsAtCompany]]&lt;=5,"4-5 Years",Table1[[#This Row],[YearsAtCompany]]&gt;5,"&gt;5 Years")</f>
        <v>&gt;5 Years</v>
      </c>
    </row>
    <row r="199" spans="1:39" hidden="1" x14ac:dyDescent="0.45">
      <c r="A199">
        <v>42</v>
      </c>
      <c r="B199" t="s">
        <v>43</v>
      </c>
      <c r="C199" t="s">
        <v>62</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_xlfn.IFS(Table1[[#This Row],[Age]]&lt;30,"Young",Table1[[#This Row],[Age]]&lt;=40,"Adult",Table1[[#This Row],[Age]]&gt;40,"Senior")</f>
        <v>Senior</v>
      </c>
      <c r="AK199" t="str" cm="1">
        <f t="array" ref="AK199">_xlfn.IFS(Table1[[#This Row],[MonthlyIncome]]&lt;5000,"Low",Table1[[#This Row],[MonthlyIncome]]&lt;10000,"Medium",Table1[[#This Row],[MonthlyIncome]]&gt;10000,"High")</f>
        <v>Medium</v>
      </c>
      <c r="AL199" t="str" cm="1">
        <f t="array" ref="AL199">_xlfn.IFS(Table1[[#This Row],[Attrition]]="Yes","Resigned",Table1[[#This Row],[Attrition]]="No","Active")</f>
        <v>Active</v>
      </c>
      <c r="AM199" t="str" cm="1">
        <f t="array" ref="AM199">_xlfn.IFS(Table1[[#This Row],[YearsAtCompany]]&lt;=1,"0-1 Year",Table1[[#This Row],[YearsAtCompany]]&lt;=2,"1-2 Years",Table1[[#This Row],[YearsAtCompany]]&lt;=3,"2-3 Years",Table1[[#This Row],[YearsAtCompany]]&lt;=4,"3-4 Years",Table1[[#This Row],[YearsAtCompany]]&lt;=5,"4-5 Years",Table1[[#This Row],[YearsAtCompany]]&gt;5,"&gt;5 Years")</f>
        <v>4-5 Years</v>
      </c>
    </row>
    <row r="200" spans="1:39" hidden="1" x14ac:dyDescent="0.45">
      <c r="A200">
        <v>38</v>
      </c>
      <c r="B200" t="s">
        <v>43</v>
      </c>
      <c r="C200" t="s">
        <v>64</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_xlfn.IFS(Table1[[#This Row],[Age]]&lt;30,"Young",Table1[[#This Row],[Age]]&lt;=40,"Adult",Table1[[#This Row],[Age]]&gt;40,"Senior")</f>
        <v>Adult</v>
      </c>
      <c r="AK200" t="str" cm="1">
        <f t="array" ref="AK200">_xlfn.IFS(Table1[[#This Row],[MonthlyIncome]]&lt;5000,"Low",Table1[[#This Row],[MonthlyIncome]]&lt;10000,"Medium",Table1[[#This Row],[MonthlyIncome]]&gt;10000,"High")</f>
        <v>Medium</v>
      </c>
      <c r="AL200" t="str" cm="1">
        <f t="array" ref="AL200">_xlfn.IFS(Table1[[#This Row],[Attrition]]="Yes","Resigned",Table1[[#This Row],[Attrition]]="No","Active")</f>
        <v>Active</v>
      </c>
      <c r="AM200" t="str" cm="1">
        <f t="array" ref="AM200">_xlfn.IFS(Table1[[#This Row],[YearsAtCompany]]&lt;=1,"0-1 Year",Table1[[#This Row],[YearsAtCompany]]&lt;=2,"1-2 Years",Table1[[#This Row],[YearsAtCompany]]&lt;=3,"2-3 Years",Table1[[#This Row],[YearsAtCompany]]&lt;=4,"3-4 Years",Table1[[#This Row],[YearsAtCompany]]&lt;=5,"4-5 Years",Table1[[#This Row],[YearsAtCompany]]&gt;5,"&gt;5 Years")</f>
        <v>0-1 Year</v>
      </c>
    </row>
    <row r="201" spans="1:39" hidden="1" x14ac:dyDescent="0.45">
      <c r="A201">
        <v>38</v>
      </c>
      <c r="B201" t="s">
        <v>43</v>
      </c>
      <c r="C201" t="s">
        <v>64</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_xlfn.IFS(Table1[[#This Row],[Age]]&lt;30,"Young",Table1[[#This Row],[Age]]&lt;=40,"Adult",Table1[[#This Row],[Age]]&gt;40,"Senior")</f>
        <v>Adult</v>
      </c>
      <c r="AK201" t="str" cm="1">
        <f t="array" ref="AK201">_xlfn.IFS(Table1[[#This Row],[MonthlyIncome]]&lt;5000,"Low",Table1[[#This Row],[MonthlyIncome]]&lt;10000,"Medium",Table1[[#This Row],[MonthlyIncome]]&gt;10000,"High")</f>
        <v>Medium</v>
      </c>
      <c r="AL201" t="str" cm="1">
        <f t="array" ref="AL201">_xlfn.IFS(Table1[[#This Row],[Attrition]]="Yes","Resigned",Table1[[#This Row],[Attrition]]="No","Active")</f>
        <v>Active</v>
      </c>
      <c r="AM201" t="str" cm="1">
        <f t="array" ref="AM201">_xlfn.IFS(Table1[[#This Row],[YearsAtCompany]]&lt;=1,"0-1 Year",Table1[[#This Row],[YearsAtCompany]]&lt;=2,"1-2 Years",Table1[[#This Row],[YearsAtCompany]]&lt;=3,"2-3 Years",Table1[[#This Row],[YearsAtCompany]]&lt;=4,"3-4 Years",Table1[[#This Row],[YearsAtCompany]]&lt;=5,"4-5 Years",Table1[[#This Row],[YearsAtCompany]]&gt;5,"&gt;5 Years")</f>
        <v>&gt;5 Years</v>
      </c>
    </row>
    <row r="202" spans="1:39" hidden="1" x14ac:dyDescent="0.45">
      <c r="A202">
        <v>27</v>
      </c>
      <c r="B202" t="s">
        <v>43</v>
      </c>
      <c r="C202" t="s">
        <v>63</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_xlfn.IFS(Table1[[#This Row],[Age]]&lt;30,"Young",Table1[[#This Row],[Age]]&lt;=40,"Adult",Table1[[#This Row],[Age]]&gt;40,"Senior")</f>
        <v>Young</v>
      </c>
      <c r="AK202" t="str" cm="1">
        <f t="array" ref="AK202">_xlfn.IFS(Table1[[#This Row],[MonthlyIncome]]&lt;5000,"Low",Table1[[#This Row],[MonthlyIncome]]&lt;10000,"Medium",Table1[[#This Row],[MonthlyIncome]]&gt;10000,"High")</f>
        <v>Low</v>
      </c>
      <c r="AL202" t="str" cm="1">
        <f t="array" ref="AL202">_xlfn.IFS(Table1[[#This Row],[Attrition]]="Yes","Resigned",Table1[[#This Row],[Attrition]]="No","Active")</f>
        <v>Active</v>
      </c>
      <c r="AM202" t="str" cm="1">
        <f t="array" ref="AM202">_xlfn.IFS(Table1[[#This Row],[YearsAtCompany]]&lt;=1,"0-1 Year",Table1[[#This Row],[YearsAtCompany]]&lt;=2,"1-2 Years",Table1[[#This Row],[YearsAtCompany]]&lt;=3,"2-3 Years",Table1[[#This Row],[YearsAtCompany]]&lt;=4,"3-4 Years",Table1[[#This Row],[YearsAtCompany]]&lt;=5,"4-5 Years",Table1[[#This Row],[YearsAtCompany]]&gt;5,"&gt;5 Years")</f>
        <v>1-2 Years</v>
      </c>
    </row>
    <row r="203" spans="1:39" hidden="1" x14ac:dyDescent="0.45">
      <c r="A203">
        <v>49</v>
      </c>
      <c r="B203" t="s">
        <v>43</v>
      </c>
      <c r="C203" t="s">
        <v>62</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_xlfn.IFS(Table1[[#This Row],[Age]]&lt;30,"Young",Table1[[#This Row],[Age]]&lt;=40,"Adult",Table1[[#This Row],[Age]]&gt;40,"Senior")</f>
        <v>Senior</v>
      </c>
      <c r="AK203" t="str" cm="1">
        <f t="array" ref="AK203">_xlfn.IFS(Table1[[#This Row],[MonthlyIncome]]&lt;5000,"Low",Table1[[#This Row],[MonthlyIncome]]&lt;10000,"Medium",Table1[[#This Row],[MonthlyIncome]]&gt;10000,"High")</f>
        <v>Medium</v>
      </c>
      <c r="AL203" t="str" cm="1">
        <f t="array" ref="AL203">_xlfn.IFS(Table1[[#This Row],[Attrition]]="Yes","Resigned",Table1[[#This Row],[Attrition]]="No","Active")</f>
        <v>Active</v>
      </c>
      <c r="AM203" t="str" cm="1">
        <f t="array" ref="AM203">_xlfn.IFS(Table1[[#This Row],[YearsAtCompany]]&lt;=1,"0-1 Year",Table1[[#This Row],[YearsAtCompany]]&lt;=2,"1-2 Years",Table1[[#This Row],[YearsAtCompany]]&lt;=3,"2-3 Years",Table1[[#This Row],[YearsAtCompany]]&lt;=4,"3-4 Years",Table1[[#This Row],[YearsAtCompany]]&lt;=5,"4-5 Years",Table1[[#This Row],[YearsAtCompany]]&gt;5,"&gt;5 Years")</f>
        <v>&gt;5 Years</v>
      </c>
    </row>
    <row r="204" spans="1:39" hidden="1" x14ac:dyDescent="0.45">
      <c r="A204">
        <v>34</v>
      </c>
      <c r="B204" t="s">
        <v>43</v>
      </c>
      <c r="C204" t="s">
        <v>63</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_xlfn.IFS(Table1[[#This Row],[Age]]&lt;30,"Young",Table1[[#This Row],[Age]]&lt;=40,"Adult",Table1[[#This Row],[Age]]&gt;40,"Senior")</f>
        <v>Adult</v>
      </c>
      <c r="AK204" t="str" cm="1">
        <f t="array" ref="AK204">_xlfn.IFS(Table1[[#This Row],[MonthlyIncome]]&lt;5000,"Low",Table1[[#This Row],[MonthlyIncome]]&lt;10000,"Medium",Table1[[#This Row],[MonthlyIncome]]&gt;10000,"High")</f>
        <v>Low</v>
      </c>
      <c r="AL204" t="str" cm="1">
        <f t="array" ref="AL204">_xlfn.IFS(Table1[[#This Row],[Attrition]]="Yes","Resigned",Table1[[#This Row],[Attrition]]="No","Active")</f>
        <v>Active</v>
      </c>
      <c r="AM204" t="str" cm="1">
        <f t="array" ref="AM204">_xlfn.IFS(Table1[[#This Row],[YearsAtCompany]]&lt;=1,"0-1 Year",Table1[[#This Row],[YearsAtCompany]]&lt;=2,"1-2 Years",Table1[[#This Row],[YearsAtCompany]]&lt;=3,"2-3 Years",Table1[[#This Row],[YearsAtCompany]]&lt;=4,"3-4 Years",Table1[[#This Row],[YearsAtCompany]]&lt;=5,"4-5 Years",Table1[[#This Row],[YearsAtCompany]]&gt;5,"&gt;5 Years")</f>
        <v>4-5 Years</v>
      </c>
    </row>
    <row r="205" spans="1:39" hidden="1" x14ac:dyDescent="0.45">
      <c r="A205">
        <v>40</v>
      </c>
      <c r="B205" t="s">
        <v>43</v>
      </c>
      <c r="C205" t="s">
        <v>64</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_xlfn.IFS(Table1[[#This Row],[Age]]&lt;30,"Young",Table1[[#This Row],[Age]]&lt;=40,"Adult",Table1[[#This Row],[Age]]&gt;40,"Senior")</f>
        <v>Adult</v>
      </c>
      <c r="AK205" t="str" cm="1">
        <f t="array" ref="AK205">_xlfn.IFS(Table1[[#This Row],[MonthlyIncome]]&lt;5000,"Low",Table1[[#This Row],[MonthlyIncome]]&lt;10000,"Medium",Table1[[#This Row],[MonthlyIncome]]&gt;10000,"High")</f>
        <v>Low</v>
      </c>
      <c r="AL205" t="str" cm="1">
        <f t="array" ref="AL205">_xlfn.IFS(Table1[[#This Row],[Attrition]]="Yes","Resigned",Table1[[#This Row],[Attrition]]="No","Active")</f>
        <v>Active</v>
      </c>
      <c r="AM205" t="str" cm="1">
        <f t="array" ref="AM205">_xlfn.IFS(Table1[[#This Row],[YearsAtCompany]]&lt;=1,"0-1 Year",Table1[[#This Row],[YearsAtCompany]]&lt;=2,"1-2 Years",Table1[[#This Row],[YearsAtCompany]]&lt;=3,"2-3 Years",Table1[[#This Row],[YearsAtCompany]]&lt;=4,"3-4 Years",Table1[[#This Row],[YearsAtCompany]]&lt;=5,"4-5 Years",Table1[[#This Row],[YearsAtCompany]]&gt;5,"&gt;5 Years")</f>
        <v>&gt;5 Years</v>
      </c>
    </row>
    <row r="206" spans="1:39" hidden="1" x14ac:dyDescent="0.45">
      <c r="A206">
        <v>38</v>
      </c>
      <c r="B206" t="s">
        <v>35</v>
      </c>
      <c r="C206" t="s">
        <v>64</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_xlfn.IFS(Table1[[#This Row],[Age]]&lt;30,"Young",Table1[[#This Row],[Age]]&lt;=40,"Adult",Table1[[#This Row],[Age]]&gt;40,"Senior")</f>
        <v>Adult</v>
      </c>
      <c r="AK206" t="str" cm="1">
        <f t="array" ref="AK206">_xlfn.IFS(Table1[[#This Row],[MonthlyIncome]]&lt;5000,"Low",Table1[[#This Row],[MonthlyIncome]]&lt;10000,"Medium",Table1[[#This Row],[MonthlyIncome]]&gt;10000,"High")</f>
        <v>Medium</v>
      </c>
      <c r="AL206" t="str" cm="1">
        <f t="array" ref="AL206">_xlfn.IFS(Table1[[#This Row],[Attrition]]="Yes","Resigned",Table1[[#This Row],[Attrition]]="No","Active")</f>
        <v>Resigned</v>
      </c>
      <c r="AM206" t="str" cm="1">
        <f t="array" ref="AM206">_xlfn.IFS(Table1[[#This Row],[YearsAtCompany]]&lt;=1,"0-1 Year",Table1[[#This Row],[YearsAtCompany]]&lt;=2,"1-2 Years",Table1[[#This Row],[YearsAtCompany]]&lt;=3,"2-3 Years",Table1[[#This Row],[YearsAtCompany]]&lt;=4,"3-4 Years",Table1[[#This Row],[YearsAtCompany]]&lt;=5,"4-5 Years",Table1[[#This Row],[YearsAtCompany]]&gt;5,"&gt;5 Years")</f>
        <v>0-1 Year</v>
      </c>
    </row>
    <row r="207" spans="1:39" x14ac:dyDescent="0.45">
      <c r="A207">
        <v>29</v>
      </c>
      <c r="B207" t="s">
        <v>35</v>
      </c>
      <c r="C207" t="s">
        <v>64</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_xlfn.IFS(Table1[[#This Row],[Age]]&lt;30,"Young",Table1[[#This Row],[Age]]&lt;=40,"Adult",Table1[[#This Row],[Age]]&gt;40,"Senior")</f>
        <v>Young</v>
      </c>
      <c r="AK207" t="str" cm="1">
        <f t="array" ref="AK207">_xlfn.IFS(Table1[[#This Row],[MonthlyIncome]]&lt;5000,"Low",Table1[[#This Row],[MonthlyIncome]]&lt;10000,"Medium",Table1[[#This Row],[MonthlyIncome]]&gt;10000,"High")</f>
        <v>Medium</v>
      </c>
      <c r="AL207" t="str" cm="1">
        <f t="array" ref="AL207">_xlfn.IFS(Table1[[#This Row],[Attrition]]="Yes","Resigned",Table1[[#This Row],[Attrition]]="No","Active")</f>
        <v>Resigned</v>
      </c>
      <c r="AM207" t="str" cm="1">
        <f t="array" ref="AM207">_xlfn.IFS(Table1[[#This Row],[YearsAtCompany]]&lt;=1,"0-1 Year",Table1[[#This Row],[YearsAtCompany]]&lt;=2,"1-2 Years",Table1[[#This Row],[YearsAtCompany]]&lt;=3,"2-3 Years",Table1[[#This Row],[YearsAtCompany]]&lt;=4,"3-4 Years",Table1[[#This Row],[YearsAtCompany]]&lt;=5,"4-5 Years",Table1[[#This Row],[YearsAtCompany]]&gt;5,"&gt;5 Years")</f>
        <v>&gt;5 Years</v>
      </c>
    </row>
    <row r="208" spans="1:39" hidden="1" x14ac:dyDescent="0.45">
      <c r="A208">
        <v>22</v>
      </c>
      <c r="B208" t="s">
        <v>43</v>
      </c>
      <c r="C208" t="s">
        <v>64</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_xlfn.IFS(Table1[[#This Row],[Age]]&lt;30,"Young",Table1[[#This Row],[Age]]&lt;=40,"Adult",Table1[[#This Row],[Age]]&gt;40,"Senior")</f>
        <v>Young</v>
      </c>
      <c r="AK208" t="str" cm="1">
        <f t="array" ref="AK208">_xlfn.IFS(Table1[[#This Row],[MonthlyIncome]]&lt;5000,"Low",Table1[[#This Row],[MonthlyIncome]]&lt;10000,"Medium",Table1[[#This Row],[MonthlyIncome]]&gt;10000,"High")</f>
        <v>Low</v>
      </c>
      <c r="AL208" t="str" cm="1">
        <f t="array" ref="AL208">_xlfn.IFS(Table1[[#This Row],[Attrition]]="Yes","Resigned",Table1[[#This Row],[Attrition]]="No","Active")</f>
        <v>Active</v>
      </c>
      <c r="AM208" t="str" cm="1">
        <f t="array" ref="AM208">_xlfn.IFS(Table1[[#This Row],[YearsAtCompany]]&lt;=1,"0-1 Year",Table1[[#This Row],[YearsAtCompany]]&lt;=2,"1-2 Years",Table1[[#This Row],[YearsAtCompany]]&lt;=3,"2-3 Years",Table1[[#This Row],[YearsAtCompany]]&lt;=4,"3-4 Years",Table1[[#This Row],[YearsAtCompany]]&lt;=5,"4-5 Years",Table1[[#This Row],[YearsAtCompany]]&gt;5,"&gt;5 Years")</f>
        <v>3-4 Years</v>
      </c>
    </row>
    <row r="209" spans="1:39" hidden="1" x14ac:dyDescent="0.45">
      <c r="A209">
        <v>36</v>
      </c>
      <c r="B209" t="s">
        <v>43</v>
      </c>
      <c r="C209" t="s">
        <v>63</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_xlfn.IFS(Table1[[#This Row],[Age]]&lt;30,"Young",Table1[[#This Row],[Age]]&lt;=40,"Adult",Table1[[#This Row],[Age]]&gt;40,"Senior")</f>
        <v>Adult</v>
      </c>
      <c r="AK209" t="str" cm="1">
        <f t="array" ref="AK209">_xlfn.IFS(Table1[[#This Row],[MonthlyIncome]]&lt;5000,"Low",Table1[[#This Row],[MonthlyIncome]]&lt;10000,"Medium",Table1[[#This Row],[MonthlyIncome]]&gt;10000,"High")</f>
        <v>Low</v>
      </c>
      <c r="AL209" t="str" cm="1">
        <f t="array" ref="AL209">_xlfn.IFS(Table1[[#This Row],[Attrition]]="Yes","Resigned",Table1[[#This Row],[Attrition]]="No","Active")</f>
        <v>Active</v>
      </c>
      <c r="AM209" t="str" cm="1">
        <f t="array" ref="AM209">_xlfn.IFS(Table1[[#This Row],[YearsAtCompany]]&lt;=1,"0-1 Year",Table1[[#This Row],[YearsAtCompany]]&lt;=2,"1-2 Years",Table1[[#This Row],[YearsAtCompany]]&lt;=3,"2-3 Years",Table1[[#This Row],[YearsAtCompany]]&lt;=4,"3-4 Years",Table1[[#This Row],[YearsAtCompany]]&lt;=5,"4-5 Years",Table1[[#This Row],[YearsAtCompany]]&gt;5,"&gt;5 Years")</f>
        <v>&gt;5 Years</v>
      </c>
    </row>
    <row r="210" spans="1:39" hidden="1" x14ac:dyDescent="0.45">
      <c r="A210">
        <v>40</v>
      </c>
      <c r="B210" t="s">
        <v>43</v>
      </c>
      <c r="C210" t="s">
        <v>62</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_xlfn.IFS(Table1[[#This Row],[Age]]&lt;30,"Young",Table1[[#This Row],[Age]]&lt;=40,"Adult",Table1[[#This Row],[Age]]&gt;40,"Senior")</f>
        <v>Adult</v>
      </c>
      <c r="AK210" t="str" cm="1">
        <f t="array" ref="AK210">_xlfn.IFS(Table1[[#This Row],[MonthlyIncome]]&lt;5000,"Low",Table1[[#This Row],[MonthlyIncome]]&lt;10000,"Medium",Table1[[#This Row],[MonthlyIncome]]&gt;10000,"High")</f>
        <v>Low</v>
      </c>
      <c r="AL210" t="str" cm="1">
        <f t="array" ref="AL210">_xlfn.IFS(Table1[[#This Row],[Attrition]]="Yes","Resigned",Table1[[#This Row],[Attrition]]="No","Active")</f>
        <v>Active</v>
      </c>
      <c r="AM210" t="str" cm="1">
        <f t="array" ref="AM210">_xlfn.IFS(Table1[[#This Row],[YearsAtCompany]]&lt;=1,"0-1 Year",Table1[[#This Row],[YearsAtCompany]]&lt;=2,"1-2 Years",Table1[[#This Row],[YearsAtCompany]]&lt;=3,"2-3 Years",Table1[[#This Row],[YearsAtCompany]]&lt;=4,"3-4 Years",Table1[[#This Row],[YearsAtCompany]]&lt;=5,"4-5 Years",Table1[[#This Row],[YearsAtCompany]]&gt;5,"&gt;5 Years")</f>
        <v>2-3 Years</v>
      </c>
    </row>
    <row r="211" spans="1:39" hidden="1" x14ac:dyDescent="0.45">
      <c r="A211">
        <v>46</v>
      </c>
      <c r="B211" t="s">
        <v>43</v>
      </c>
      <c r="C211" t="s">
        <v>64</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_xlfn.IFS(Table1[[#This Row],[Age]]&lt;30,"Young",Table1[[#This Row],[Age]]&lt;=40,"Adult",Table1[[#This Row],[Age]]&gt;40,"Senior")</f>
        <v>Senior</v>
      </c>
      <c r="AK211" t="str" cm="1">
        <f t="array" ref="AK211">_xlfn.IFS(Table1[[#This Row],[MonthlyIncome]]&lt;5000,"Low",Table1[[#This Row],[MonthlyIncome]]&lt;10000,"Medium",Table1[[#This Row],[MonthlyIncome]]&gt;10000,"High")</f>
        <v>Medium</v>
      </c>
      <c r="AL211" t="str" cm="1">
        <f t="array" ref="AL211">_xlfn.IFS(Table1[[#This Row],[Attrition]]="Yes","Resigned",Table1[[#This Row],[Attrition]]="No","Active")</f>
        <v>Active</v>
      </c>
      <c r="AM211" t="str" cm="1">
        <f t="array" ref="AM211">_xlfn.IFS(Table1[[#This Row],[YearsAtCompany]]&lt;=1,"0-1 Year",Table1[[#This Row],[YearsAtCompany]]&lt;=2,"1-2 Years",Table1[[#This Row],[YearsAtCompany]]&lt;=3,"2-3 Years",Table1[[#This Row],[YearsAtCompany]]&lt;=4,"3-4 Years",Table1[[#This Row],[YearsAtCompany]]&lt;=5,"4-5 Years",Table1[[#This Row],[YearsAtCompany]]&gt;5,"&gt;5 Years")</f>
        <v>3-4 Years</v>
      </c>
    </row>
    <row r="212" spans="1:39" x14ac:dyDescent="0.45">
      <c r="A212">
        <v>32</v>
      </c>
      <c r="B212" t="s">
        <v>35</v>
      </c>
      <c r="C212" t="s">
        <v>64</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_xlfn.IFS(Table1[[#This Row],[Age]]&lt;30,"Young",Table1[[#This Row],[Age]]&lt;=40,"Adult",Table1[[#This Row],[Age]]&gt;40,"Senior")</f>
        <v>Adult</v>
      </c>
      <c r="AK212" t="str" cm="1">
        <f t="array" ref="AK212">_xlfn.IFS(Table1[[#This Row],[MonthlyIncome]]&lt;5000,"Low",Table1[[#This Row],[MonthlyIncome]]&lt;10000,"Medium",Table1[[#This Row],[MonthlyIncome]]&gt;10000,"High")</f>
        <v>High</v>
      </c>
      <c r="AL212" t="str" cm="1">
        <f t="array" ref="AL212">_xlfn.IFS(Table1[[#This Row],[Attrition]]="Yes","Resigned",Table1[[#This Row],[Attrition]]="No","Active")</f>
        <v>Resigned</v>
      </c>
      <c r="AM212" t="str" cm="1">
        <f t="array" ref="AM212">_xlfn.IFS(Table1[[#This Row],[YearsAtCompany]]&lt;=1,"0-1 Year",Table1[[#This Row],[YearsAtCompany]]&lt;=2,"1-2 Years",Table1[[#This Row],[YearsAtCompany]]&lt;=3,"2-3 Years",Table1[[#This Row],[YearsAtCompany]]&lt;=4,"3-4 Years",Table1[[#This Row],[YearsAtCompany]]&lt;=5,"4-5 Years",Table1[[#This Row],[YearsAtCompany]]&gt;5,"&gt;5 Years")</f>
        <v>&gt;5 Years</v>
      </c>
    </row>
    <row r="213" spans="1:39" hidden="1" x14ac:dyDescent="0.45">
      <c r="A213">
        <v>30</v>
      </c>
      <c r="B213" t="s">
        <v>43</v>
      </c>
      <c r="C213" t="s">
        <v>62</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_xlfn.IFS(Table1[[#This Row],[Age]]&lt;30,"Young",Table1[[#This Row],[Age]]&lt;=40,"Adult",Table1[[#This Row],[Age]]&gt;40,"Senior")</f>
        <v>Adult</v>
      </c>
      <c r="AK213" t="str" cm="1">
        <f t="array" ref="AK213">_xlfn.IFS(Table1[[#This Row],[MonthlyIncome]]&lt;5000,"Low",Table1[[#This Row],[MonthlyIncome]]&lt;10000,"Medium",Table1[[#This Row],[MonthlyIncome]]&gt;10000,"High")</f>
        <v>Medium</v>
      </c>
      <c r="AL213" t="str" cm="1">
        <f t="array" ref="AL213">_xlfn.IFS(Table1[[#This Row],[Attrition]]="Yes","Resigned",Table1[[#This Row],[Attrition]]="No","Active")</f>
        <v>Active</v>
      </c>
      <c r="AM213" t="str" cm="1">
        <f t="array" ref="AM213">_xlfn.IFS(Table1[[#This Row],[YearsAtCompany]]&lt;=1,"0-1 Year",Table1[[#This Row],[YearsAtCompany]]&lt;=2,"1-2 Years",Table1[[#This Row],[YearsAtCompany]]&lt;=3,"2-3 Years",Table1[[#This Row],[YearsAtCompany]]&lt;=4,"3-4 Years",Table1[[#This Row],[YearsAtCompany]]&lt;=5,"4-5 Years",Table1[[#This Row],[YearsAtCompany]]&gt;5,"&gt;5 Years")</f>
        <v>&gt;5 Years</v>
      </c>
    </row>
    <row r="214" spans="1:39" x14ac:dyDescent="0.45">
      <c r="A214">
        <v>27</v>
      </c>
      <c r="B214" t="s">
        <v>43</v>
      </c>
      <c r="C214" t="s">
        <v>63</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_xlfn.IFS(Table1[[#This Row],[Age]]&lt;30,"Young",Table1[[#This Row],[Age]]&lt;=40,"Adult",Table1[[#This Row],[Age]]&gt;40,"Senior")</f>
        <v>Young</v>
      </c>
      <c r="AK214" t="str" cm="1">
        <f t="array" ref="AK214">_xlfn.IFS(Table1[[#This Row],[MonthlyIncome]]&lt;5000,"Low",Table1[[#This Row],[MonthlyIncome]]&lt;10000,"Medium",Table1[[#This Row],[MonthlyIncome]]&gt;10000,"High")</f>
        <v>Medium</v>
      </c>
      <c r="AL214" t="str" cm="1">
        <f t="array" ref="AL214">_xlfn.IFS(Table1[[#This Row],[Attrition]]="Yes","Resigned",Table1[[#This Row],[Attrition]]="No","Active")</f>
        <v>Active</v>
      </c>
      <c r="AM214" t="str" cm="1">
        <f t="array" ref="AM214">_xlfn.IFS(Table1[[#This Row],[YearsAtCompany]]&lt;=1,"0-1 Year",Table1[[#This Row],[YearsAtCompany]]&lt;=2,"1-2 Years",Table1[[#This Row],[YearsAtCompany]]&lt;=3,"2-3 Years",Table1[[#This Row],[YearsAtCompany]]&lt;=4,"3-4 Years",Table1[[#This Row],[YearsAtCompany]]&lt;=5,"4-5 Years",Table1[[#This Row],[YearsAtCompany]]&gt;5,"&gt;5 Years")</f>
        <v>&gt;5 Years</v>
      </c>
    </row>
    <row r="215" spans="1:39" hidden="1" x14ac:dyDescent="0.45">
      <c r="A215">
        <v>51</v>
      </c>
      <c r="B215" t="s">
        <v>43</v>
      </c>
      <c r="C215" t="s">
        <v>64</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_xlfn.IFS(Table1[[#This Row],[Age]]&lt;30,"Young",Table1[[#This Row],[Age]]&lt;=40,"Adult",Table1[[#This Row],[Age]]&gt;40,"Senior")</f>
        <v>Senior</v>
      </c>
      <c r="AK215" t="str" cm="1">
        <f t="array" ref="AK215">_xlfn.IFS(Table1[[#This Row],[MonthlyIncome]]&lt;5000,"Low",Table1[[#This Row],[MonthlyIncome]]&lt;10000,"Medium",Table1[[#This Row],[MonthlyIncome]]&gt;10000,"High")</f>
        <v>High</v>
      </c>
      <c r="AL215" t="str" cm="1">
        <f t="array" ref="AL215">_xlfn.IFS(Table1[[#This Row],[Attrition]]="Yes","Resigned",Table1[[#This Row],[Attrition]]="No","Active")</f>
        <v>Active</v>
      </c>
      <c r="AM215" t="str" cm="1">
        <f t="array" ref="AM215">_xlfn.IFS(Table1[[#This Row],[YearsAtCompany]]&lt;=1,"0-1 Year",Table1[[#This Row],[YearsAtCompany]]&lt;=2,"1-2 Years",Table1[[#This Row],[YearsAtCompany]]&lt;=3,"2-3 Years",Table1[[#This Row],[YearsAtCompany]]&lt;=4,"3-4 Years",Table1[[#This Row],[YearsAtCompany]]&lt;=5,"4-5 Years",Table1[[#This Row],[YearsAtCompany]]&gt;5,"&gt;5 Years")</f>
        <v>&gt;5 Years</v>
      </c>
    </row>
    <row r="216" spans="1:39" hidden="1" x14ac:dyDescent="0.45">
      <c r="A216">
        <v>30</v>
      </c>
      <c r="B216" t="s">
        <v>35</v>
      </c>
      <c r="C216" t="s">
        <v>64</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_xlfn.IFS(Table1[[#This Row],[Age]]&lt;30,"Young",Table1[[#This Row],[Age]]&lt;=40,"Adult",Table1[[#This Row],[Age]]&gt;40,"Senior")</f>
        <v>Adult</v>
      </c>
      <c r="AK216" t="str" cm="1">
        <f t="array" ref="AK216">_xlfn.IFS(Table1[[#This Row],[MonthlyIncome]]&lt;5000,"Low",Table1[[#This Row],[MonthlyIncome]]&lt;10000,"Medium",Table1[[#This Row],[MonthlyIncome]]&gt;10000,"High")</f>
        <v>Low</v>
      </c>
      <c r="AL216" t="str" cm="1">
        <f t="array" ref="AL216">_xlfn.IFS(Table1[[#This Row],[Attrition]]="Yes","Resigned",Table1[[#This Row],[Attrition]]="No","Active")</f>
        <v>Resigned</v>
      </c>
      <c r="AM216" t="str" cm="1">
        <f t="array" ref="AM216">_xlfn.IFS(Table1[[#This Row],[YearsAtCompany]]&lt;=1,"0-1 Year",Table1[[#This Row],[YearsAtCompany]]&lt;=2,"1-2 Years",Table1[[#This Row],[YearsAtCompany]]&lt;=3,"2-3 Years",Table1[[#This Row],[YearsAtCompany]]&lt;=4,"3-4 Years",Table1[[#This Row],[YearsAtCompany]]&lt;=5,"4-5 Years",Table1[[#This Row],[YearsAtCompany]]&gt;5,"&gt;5 Years")</f>
        <v>4-5 Years</v>
      </c>
    </row>
    <row r="217" spans="1:39" x14ac:dyDescent="0.45">
      <c r="A217">
        <v>41</v>
      </c>
      <c r="B217" t="s">
        <v>43</v>
      </c>
      <c r="C217" t="s">
        <v>64</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_xlfn.IFS(Table1[[#This Row],[Age]]&lt;30,"Young",Table1[[#This Row],[Age]]&lt;=40,"Adult",Table1[[#This Row],[Age]]&gt;40,"Senior")</f>
        <v>Senior</v>
      </c>
      <c r="AK217" t="str" cm="1">
        <f t="array" ref="AK217">_xlfn.IFS(Table1[[#This Row],[MonthlyIncome]]&lt;5000,"Low",Table1[[#This Row],[MonthlyIncome]]&lt;10000,"Medium",Table1[[#This Row],[MonthlyIncome]]&gt;10000,"High")</f>
        <v>High</v>
      </c>
      <c r="AL217" t="str" cm="1">
        <f t="array" ref="AL217">_xlfn.IFS(Table1[[#This Row],[Attrition]]="Yes","Resigned",Table1[[#This Row],[Attrition]]="No","Active")</f>
        <v>Active</v>
      </c>
      <c r="AM217" t="str" cm="1">
        <f t="array" ref="AM217">_xlfn.IFS(Table1[[#This Row],[YearsAtCompany]]&lt;=1,"0-1 Year",Table1[[#This Row],[YearsAtCompany]]&lt;=2,"1-2 Years",Table1[[#This Row],[YearsAtCompany]]&lt;=3,"2-3 Years",Table1[[#This Row],[YearsAtCompany]]&lt;=4,"3-4 Years",Table1[[#This Row],[YearsAtCompany]]&lt;=5,"4-5 Years",Table1[[#This Row],[YearsAtCompany]]&gt;5,"&gt;5 Years")</f>
        <v>0-1 Year</v>
      </c>
    </row>
    <row r="218" spans="1:39" x14ac:dyDescent="0.45">
      <c r="A218">
        <v>30</v>
      </c>
      <c r="B218" t="s">
        <v>35</v>
      </c>
      <c r="C218" t="s">
        <v>63</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_xlfn.IFS(Table1[[#This Row],[Age]]&lt;30,"Young",Table1[[#This Row],[Age]]&lt;=40,"Adult",Table1[[#This Row],[Age]]&gt;40,"Senior")</f>
        <v>Adult</v>
      </c>
      <c r="AK218" t="str" cm="1">
        <f t="array" ref="AK218">_xlfn.IFS(Table1[[#This Row],[MonthlyIncome]]&lt;5000,"Low",Table1[[#This Row],[MonthlyIncome]]&lt;10000,"Medium",Table1[[#This Row],[MonthlyIncome]]&gt;10000,"High")</f>
        <v>Medium</v>
      </c>
      <c r="AL218" t="str" cm="1">
        <f t="array" ref="AL218">_xlfn.IFS(Table1[[#This Row],[Attrition]]="Yes","Resigned",Table1[[#This Row],[Attrition]]="No","Active")</f>
        <v>Resigned</v>
      </c>
      <c r="AM218" t="str" cm="1">
        <f t="array" ref="AM218">_xlfn.IFS(Table1[[#This Row],[YearsAtCompany]]&lt;=1,"0-1 Year",Table1[[#This Row],[YearsAtCompany]]&lt;=2,"1-2 Years",Table1[[#This Row],[YearsAtCompany]]&lt;=3,"2-3 Years",Table1[[#This Row],[YearsAtCompany]]&lt;=4,"3-4 Years",Table1[[#This Row],[YearsAtCompany]]&lt;=5,"4-5 Years",Table1[[#This Row],[YearsAtCompany]]&gt;5,"&gt;5 Years")</f>
        <v>&gt;5 Years</v>
      </c>
    </row>
    <row r="219" spans="1:39" hidden="1" x14ac:dyDescent="0.45">
      <c r="A219">
        <v>29</v>
      </c>
      <c r="B219" t="s">
        <v>35</v>
      </c>
      <c r="C219" t="s">
        <v>64</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_xlfn.IFS(Table1[[#This Row],[Age]]&lt;30,"Young",Table1[[#This Row],[Age]]&lt;=40,"Adult",Table1[[#This Row],[Age]]&gt;40,"Senior")</f>
        <v>Young</v>
      </c>
      <c r="AK219" t="str" cm="1">
        <f t="array" ref="AK219">_xlfn.IFS(Table1[[#This Row],[MonthlyIncome]]&lt;5000,"Low",Table1[[#This Row],[MonthlyIncome]]&lt;10000,"Medium",Table1[[#This Row],[MonthlyIncome]]&gt;10000,"High")</f>
        <v>Low</v>
      </c>
      <c r="AL219" t="str" cm="1">
        <f t="array" ref="AL219">_xlfn.IFS(Table1[[#This Row],[Attrition]]="Yes","Resigned",Table1[[#This Row],[Attrition]]="No","Active")</f>
        <v>Resigned</v>
      </c>
      <c r="AM219" t="str" cm="1">
        <f t="array" ref="AM219">_xlfn.IFS(Table1[[#This Row],[YearsAtCompany]]&lt;=1,"0-1 Year",Table1[[#This Row],[YearsAtCompany]]&lt;=2,"1-2 Years",Table1[[#This Row],[YearsAtCompany]]&lt;=3,"2-3 Years",Table1[[#This Row],[YearsAtCompany]]&lt;=4,"3-4 Years",Table1[[#This Row],[YearsAtCompany]]&lt;=5,"4-5 Years",Table1[[#This Row],[YearsAtCompany]]&gt;5,"&gt;5 Years")</f>
        <v>&gt;5 Years</v>
      </c>
    </row>
    <row r="220" spans="1:39" x14ac:dyDescent="0.45">
      <c r="A220">
        <v>45</v>
      </c>
      <c r="B220" t="s">
        <v>43</v>
      </c>
      <c r="C220" t="s">
        <v>62</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_xlfn.IFS(Table1[[#This Row],[Age]]&lt;30,"Young",Table1[[#This Row],[Age]]&lt;=40,"Adult",Table1[[#This Row],[Age]]&gt;40,"Senior")</f>
        <v>Senior</v>
      </c>
      <c r="AK220" t="str" cm="1">
        <f t="array" ref="AK220">_xlfn.IFS(Table1[[#This Row],[MonthlyIncome]]&lt;5000,"Low",Table1[[#This Row],[MonthlyIncome]]&lt;10000,"Medium",Table1[[#This Row],[MonthlyIncome]]&gt;10000,"High")</f>
        <v>Medium</v>
      </c>
      <c r="AL220" t="str" cm="1">
        <f t="array" ref="AL220">_xlfn.IFS(Table1[[#This Row],[Attrition]]="Yes","Resigned",Table1[[#This Row],[Attrition]]="No","Active")</f>
        <v>Active</v>
      </c>
      <c r="AM220" t="str" cm="1">
        <f t="array" ref="AM220">_xlfn.IFS(Table1[[#This Row],[YearsAtCompany]]&lt;=1,"0-1 Year",Table1[[#This Row],[YearsAtCompany]]&lt;=2,"1-2 Years",Table1[[#This Row],[YearsAtCompany]]&lt;=3,"2-3 Years",Table1[[#This Row],[YearsAtCompany]]&lt;=4,"3-4 Years",Table1[[#This Row],[YearsAtCompany]]&lt;=5,"4-5 Years",Table1[[#This Row],[YearsAtCompany]]&gt;5,"&gt;5 Years")</f>
        <v>&gt;5 Years</v>
      </c>
    </row>
    <row r="221" spans="1:39" x14ac:dyDescent="0.45">
      <c r="A221">
        <v>54</v>
      </c>
      <c r="B221" t="s">
        <v>43</v>
      </c>
      <c r="C221" t="s">
        <v>64</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_xlfn.IFS(Table1[[#This Row],[Age]]&lt;30,"Young",Table1[[#This Row],[Age]]&lt;=40,"Adult",Table1[[#This Row],[Age]]&gt;40,"Senior")</f>
        <v>Senior</v>
      </c>
      <c r="AK221" t="str" cm="1">
        <f t="array" ref="AK221">_xlfn.IFS(Table1[[#This Row],[MonthlyIncome]]&lt;5000,"Low",Table1[[#This Row],[MonthlyIncome]]&lt;10000,"Medium",Table1[[#This Row],[MonthlyIncome]]&gt;10000,"High")</f>
        <v>Medium</v>
      </c>
      <c r="AL221" t="str" cm="1">
        <f t="array" ref="AL221">_xlfn.IFS(Table1[[#This Row],[Attrition]]="Yes","Resigned",Table1[[#This Row],[Attrition]]="No","Active")</f>
        <v>Active</v>
      </c>
      <c r="AM221" t="str" cm="1">
        <f t="array" ref="AM221">_xlfn.IFS(Table1[[#This Row],[YearsAtCompany]]&lt;=1,"0-1 Year",Table1[[#This Row],[YearsAtCompany]]&lt;=2,"1-2 Years",Table1[[#This Row],[YearsAtCompany]]&lt;=3,"2-3 Years",Table1[[#This Row],[YearsAtCompany]]&lt;=4,"3-4 Years",Table1[[#This Row],[YearsAtCompany]]&lt;=5,"4-5 Years",Table1[[#This Row],[YearsAtCompany]]&gt;5,"&gt;5 Years")</f>
        <v>&gt;5 Years</v>
      </c>
    </row>
    <row r="222" spans="1:39" hidden="1" x14ac:dyDescent="0.45">
      <c r="A222">
        <v>36</v>
      </c>
      <c r="B222" t="s">
        <v>43</v>
      </c>
      <c r="C222" t="s">
        <v>64</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_xlfn.IFS(Table1[[#This Row],[Age]]&lt;30,"Young",Table1[[#This Row],[Age]]&lt;=40,"Adult",Table1[[#This Row],[Age]]&gt;40,"Senior")</f>
        <v>Adult</v>
      </c>
      <c r="AK222" t="str" cm="1">
        <f t="array" ref="AK222">_xlfn.IFS(Table1[[#This Row],[MonthlyIncome]]&lt;5000,"Low",Table1[[#This Row],[MonthlyIncome]]&lt;10000,"Medium",Table1[[#This Row],[MonthlyIncome]]&gt;10000,"High")</f>
        <v>Medium</v>
      </c>
      <c r="AL222" t="str" cm="1">
        <f t="array" ref="AL222">_xlfn.IFS(Table1[[#This Row],[Attrition]]="Yes","Resigned",Table1[[#This Row],[Attrition]]="No","Active")</f>
        <v>Active</v>
      </c>
      <c r="AM222" t="str" cm="1">
        <f t="array" ref="AM222">_xlfn.IFS(Table1[[#This Row],[YearsAtCompany]]&lt;=1,"0-1 Year",Table1[[#This Row],[YearsAtCompany]]&lt;=2,"1-2 Years",Table1[[#This Row],[YearsAtCompany]]&lt;=3,"2-3 Years",Table1[[#This Row],[YearsAtCompany]]&lt;=4,"3-4 Years",Table1[[#This Row],[YearsAtCompany]]&lt;=5,"4-5 Years",Table1[[#This Row],[YearsAtCompany]]&gt;5,"&gt;5 Years")</f>
        <v>&gt;5 Years</v>
      </c>
    </row>
    <row r="223" spans="1:39" hidden="1" x14ac:dyDescent="0.45">
      <c r="A223">
        <v>33</v>
      </c>
      <c r="B223" t="s">
        <v>43</v>
      </c>
      <c r="C223" t="s">
        <v>64</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_xlfn.IFS(Table1[[#This Row],[Age]]&lt;30,"Young",Table1[[#This Row],[Age]]&lt;=40,"Adult",Table1[[#This Row],[Age]]&gt;40,"Senior")</f>
        <v>Adult</v>
      </c>
      <c r="AK223" t="str" cm="1">
        <f t="array" ref="AK223">_xlfn.IFS(Table1[[#This Row],[MonthlyIncome]]&lt;5000,"Low",Table1[[#This Row],[MonthlyIncome]]&lt;10000,"Medium",Table1[[#This Row],[MonthlyIncome]]&gt;10000,"High")</f>
        <v>Low</v>
      </c>
      <c r="AL223" t="str" cm="1">
        <f t="array" ref="AL223">_xlfn.IFS(Table1[[#This Row],[Attrition]]="Yes","Resigned",Table1[[#This Row],[Attrition]]="No","Active")</f>
        <v>Active</v>
      </c>
      <c r="AM223" t="str" cm="1">
        <f t="array" ref="AM223">_xlfn.IFS(Table1[[#This Row],[YearsAtCompany]]&lt;=1,"0-1 Year",Table1[[#This Row],[YearsAtCompany]]&lt;=2,"1-2 Years",Table1[[#This Row],[YearsAtCompany]]&lt;=3,"2-3 Years",Table1[[#This Row],[YearsAtCompany]]&lt;=4,"3-4 Years",Table1[[#This Row],[YearsAtCompany]]&lt;=5,"4-5 Years",Table1[[#This Row],[YearsAtCompany]]&gt;5,"&gt;5 Years")</f>
        <v>2-3 Years</v>
      </c>
    </row>
    <row r="224" spans="1:39" hidden="1" x14ac:dyDescent="0.45">
      <c r="A224">
        <v>37</v>
      </c>
      <c r="B224" t="s">
        <v>43</v>
      </c>
      <c r="C224" t="s">
        <v>63</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_xlfn.IFS(Table1[[#This Row],[Age]]&lt;30,"Young",Table1[[#This Row],[Age]]&lt;=40,"Adult",Table1[[#This Row],[Age]]&gt;40,"Senior")</f>
        <v>Adult</v>
      </c>
      <c r="AK224" t="str" cm="1">
        <f t="array" ref="AK224">_xlfn.IFS(Table1[[#This Row],[MonthlyIncome]]&lt;5000,"Low",Table1[[#This Row],[MonthlyIncome]]&lt;10000,"Medium",Table1[[#This Row],[MonthlyIncome]]&gt;10000,"High")</f>
        <v>High</v>
      </c>
      <c r="AL224" t="str" cm="1">
        <f t="array" ref="AL224">_xlfn.IFS(Table1[[#This Row],[Attrition]]="Yes","Resigned",Table1[[#This Row],[Attrition]]="No","Active")</f>
        <v>Active</v>
      </c>
      <c r="AM224" t="str" cm="1">
        <f t="array" ref="AM224">_xlfn.IFS(Table1[[#This Row],[YearsAtCompany]]&lt;=1,"0-1 Year",Table1[[#This Row],[YearsAtCompany]]&lt;=2,"1-2 Years",Table1[[#This Row],[YearsAtCompany]]&lt;=3,"2-3 Years",Table1[[#This Row],[YearsAtCompany]]&lt;=4,"3-4 Years",Table1[[#This Row],[YearsAtCompany]]&lt;=5,"4-5 Years",Table1[[#This Row],[YearsAtCompany]]&gt;5,"&gt;5 Years")</f>
        <v>&gt;5 Years</v>
      </c>
    </row>
    <row r="225" spans="1:39" x14ac:dyDescent="0.45">
      <c r="A225">
        <v>38</v>
      </c>
      <c r="B225" t="s">
        <v>43</v>
      </c>
      <c r="C225" t="s">
        <v>64</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_xlfn.IFS(Table1[[#This Row],[Age]]&lt;30,"Young",Table1[[#This Row],[Age]]&lt;=40,"Adult",Table1[[#This Row],[Age]]&gt;40,"Senior")</f>
        <v>Adult</v>
      </c>
      <c r="AK225" t="str" cm="1">
        <f t="array" ref="AK225">_xlfn.IFS(Table1[[#This Row],[MonthlyIncome]]&lt;5000,"Low",Table1[[#This Row],[MonthlyIncome]]&lt;10000,"Medium",Table1[[#This Row],[MonthlyIncome]]&gt;10000,"High")</f>
        <v>High</v>
      </c>
      <c r="AL225" t="str" cm="1">
        <f t="array" ref="AL225">_xlfn.IFS(Table1[[#This Row],[Attrition]]="Yes","Resigned",Table1[[#This Row],[Attrition]]="No","Active")</f>
        <v>Active</v>
      </c>
      <c r="AM225" t="str" cm="1">
        <f t="array" ref="AM225">_xlfn.IFS(Table1[[#This Row],[YearsAtCompany]]&lt;=1,"0-1 Year",Table1[[#This Row],[YearsAtCompany]]&lt;=2,"1-2 Years",Table1[[#This Row],[YearsAtCompany]]&lt;=3,"2-3 Years",Table1[[#This Row],[YearsAtCompany]]&lt;=4,"3-4 Years",Table1[[#This Row],[YearsAtCompany]]&lt;=5,"4-5 Years",Table1[[#This Row],[YearsAtCompany]]&gt;5,"&gt;5 Years")</f>
        <v>&gt;5 Years</v>
      </c>
    </row>
    <row r="226" spans="1:39" hidden="1" x14ac:dyDescent="0.45">
      <c r="A226">
        <v>31</v>
      </c>
      <c r="B226" t="s">
        <v>43</v>
      </c>
      <c r="C226" t="s">
        <v>62</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_xlfn.IFS(Table1[[#This Row],[Age]]&lt;30,"Young",Table1[[#This Row],[Age]]&lt;=40,"Adult",Table1[[#This Row],[Age]]&gt;40,"Senior")</f>
        <v>Adult</v>
      </c>
      <c r="AK226" t="str" cm="1">
        <f t="array" ref="AK226">_xlfn.IFS(Table1[[#This Row],[MonthlyIncome]]&lt;5000,"Low",Table1[[#This Row],[MonthlyIncome]]&lt;10000,"Medium",Table1[[#This Row],[MonthlyIncome]]&gt;10000,"High")</f>
        <v>Low</v>
      </c>
      <c r="AL226" t="str" cm="1">
        <f t="array" ref="AL226">_xlfn.IFS(Table1[[#This Row],[Attrition]]="Yes","Resigned",Table1[[#This Row],[Attrition]]="No","Active")</f>
        <v>Active</v>
      </c>
      <c r="AM226" t="str" cm="1">
        <f t="array" ref="AM226">_xlfn.IFS(Table1[[#This Row],[YearsAtCompany]]&lt;=1,"0-1 Year",Table1[[#This Row],[YearsAtCompany]]&lt;=2,"1-2 Years",Table1[[#This Row],[YearsAtCompany]]&lt;=3,"2-3 Years",Table1[[#This Row],[YearsAtCompany]]&lt;=4,"3-4 Years",Table1[[#This Row],[YearsAtCompany]]&lt;=5,"4-5 Years",Table1[[#This Row],[YearsAtCompany]]&gt;5,"&gt;5 Years")</f>
        <v>4-5 Years</v>
      </c>
    </row>
    <row r="227" spans="1:39" hidden="1" x14ac:dyDescent="0.45">
      <c r="A227">
        <v>59</v>
      </c>
      <c r="B227" t="s">
        <v>43</v>
      </c>
      <c r="C227" t="s">
        <v>64</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_xlfn.IFS(Table1[[#This Row],[Age]]&lt;30,"Young",Table1[[#This Row],[Age]]&lt;=40,"Adult",Table1[[#This Row],[Age]]&gt;40,"Senior")</f>
        <v>Senior</v>
      </c>
      <c r="AK227" t="str" cm="1">
        <f t="array" ref="AK227">_xlfn.IFS(Table1[[#This Row],[MonthlyIncome]]&lt;5000,"Low",Table1[[#This Row],[MonthlyIncome]]&lt;10000,"Medium",Table1[[#This Row],[MonthlyIncome]]&gt;10000,"High")</f>
        <v>Low</v>
      </c>
      <c r="AL227" t="str" cm="1">
        <f t="array" ref="AL227">_xlfn.IFS(Table1[[#This Row],[Attrition]]="Yes","Resigned",Table1[[#This Row],[Attrition]]="No","Active")</f>
        <v>Active</v>
      </c>
      <c r="AM227" t="str" cm="1">
        <f t="array" ref="AM227">_xlfn.IFS(Table1[[#This Row],[YearsAtCompany]]&lt;=1,"0-1 Year",Table1[[#This Row],[YearsAtCompany]]&lt;=2,"1-2 Years",Table1[[#This Row],[YearsAtCompany]]&lt;=3,"2-3 Years",Table1[[#This Row],[YearsAtCompany]]&lt;=4,"3-4 Years",Table1[[#This Row],[YearsAtCompany]]&lt;=5,"4-5 Years",Table1[[#This Row],[YearsAtCompany]]&gt;5,"&gt;5 Years")</f>
        <v>0-1 Year</v>
      </c>
    </row>
    <row r="228" spans="1:39" x14ac:dyDescent="0.45">
      <c r="A228">
        <v>37</v>
      </c>
      <c r="B228" t="s">
        <v>43</v>
      </c>
      <c r="C228" t="s">
        <v>63</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_xlfn.IFS(Table1[[#This Row],[Age]]&lt;30,"Young",Table1[[#This Row],[Age]]&lt;=40,"Adult",Table1[[#This Row],[Age]]&gt;40,"Senior")</f>
        <v>Adult</v>
      </c>
      <c r="AK228" t="str" cm="1">
        <f t="array" ref="AK228">_xlfn.IFS(Table1[[#This Row],[MonthlyIncome]]&lt;5000,"Low",Table1[[#This Row],[MonthlyIncome]]&lt;10000,"Medium",Table1[[#This Row],[MonthlyIncome]]&gt;10000,"High")</f>
        <v>Low</v>
      </c>
      <c r="AL228" t="str" cm="1">
        <f t="array" ref="AL228">_xlfn.IFS(Table1[[#This Row],[Attrition]]="Yes","Resigned",Table1[[#This Row],[Attrition]]="No","Active")</f>
        <v>Active</v>
      </c>
      <c r="AM228" t="str" cm="1">
        <f t="array" ref="AM228">_xlfn.IFS(Table1[[#This Row],[YearsAtCompany]]&lt;=1,"0-1 Year",Table1[[#This Row],[YearsAtCompany]]&lt;=2,"1-2 Years",Table1[[#This Row],[YearsAtCompany]]&lt;=3,"2-3 Years",Table1[[#This Row],[YearsAtCompany]]&lt;=4,"3-4 Years",Table1[[#This Row],[YearsAtCompany]]&lt;=5,"4-5 Years",Table1[[#This Row],[YearsAtCompany]]&gt;5,"&gt;5 Years")</f>
        <v>&gt;5 Years</v>
      </c>
    </row>
    <row r="229" spans="1:39" x14ac:dyDescent="0.45">
      <c r="A229">
        <v>29</v>
      </c>
      <c r="B229" t="s">
        <v>43</v>
      </c>
      <c r="C229" t="s">
        <v>63</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_xlfn.IFS(Table1[[#This Row],[Age]]&lt;30,"Young",Table1[[#This Row],[Age]]&lt;=40,"Adult",Table1[[#This Row],[Age]]&gt;40,"Senior")</f>
        <v>Young</v>
      </c>
      <c r="AK229" t="str" cm="1">
        <f t="array" ref="AK229">_xlfn.IFS(Table1[[#This Row],[MonthlyIncome]]&lt;5000,"Low",Table1[[#This Row],[MonthlyIncome]]&lt;10000,"Medium",Table1[[#This Row],[MonthlyIncome]]&gt;10000,"High")</f>
        <v>Medium</v>
      </c>
      <c r="AL229" t="str" cm="1">
        <f t="array" ref="AL229">_xlfn.IFS(Table1[[#This Row],[Attrition]]="Yes","Resigned",Table1[[#This Row],[Attrition]]="No","Active")</f>
        <v>Active</v>
      </c>
      <c r="AM229" t="str" cm="1">
        <f t="array" ref="AM229">_xlfn.IFS(Table1[[#This Row],[YearsAtCompany]]&lt;=1,"0-1 Year",Table1[[#This Row],[YearsAtCompany]]&lt;=2,"1-2 Years",Table1[[#This Row],[YearsAtCompany]]&lt;=3,"2-3 Years",Table1[[#This Row],[YearsAtCompany]]&lt;=4,"3-4 Years",Table1[[#This Row],[YearsAtCompany]]&lt;=5,"4-5 Years",Table1[[#This Row],[YearsAtCompany]]&gt;5,"&gt;5 Years")</f>
        <v>&gt;5 Years</v>
      </c>
    </row>
    <row r="230" spans="1:39" x14ac:dyDescent="0.45">
      <c r="A230">
        <v>35</v>
      </c>
      <c r="B230" t="s">
        <v>43</v>
      </c>
      <c r="C230" t="s">
        <v>63</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_xlfn.IFS(Table1[[#This Row],[Age]]&lt;30,"Young",Table1[[#This Row],[Age]]&lt;=40,"Adult",Table1[[#This Row],[Age]]&gt;40,"Senior")</f>
        <v>Adult</v>
      </c>
      <c r="AK230" t="str" cm="1">
        <f t="array" ref="AK230">_xlfn.IFS(Table1[[#This Row],[MonthlyIncome]]&lt;5000,"Low",Table1[[#This Row],[MonthlyIncome]]&lt;10000,"Medium",Table1[[#This Row],[MonthlyIncome]]&gt;10000,"High")</f>
        <v>Medium</v>
      </c>
      <c r="AL230" t="str" cm="1">
        <f t="array" ref="AL230">_xlfn.IFS(Table1[[#This Row],[Attrition]]="Yes","Resigned",Table1[[#This Row],[Attrition]]="No","Active")</f>
        <v>Active</v>
      </c>
      <c r="AM230" t="str" cm="1">
        <f t="array" ref="AM230">_xlfn.IFS(Table1[[#This Row],[YearsAtCompany]]&lt;=1,"0-1 Year",Table1[[#This Row],[YearsAtCompany]]&lt;=2,"1-2 Years",Table1[[#This Row],[YearsAtCompany]]&lt;=3,"2-3 Years",Table1[[#This Row],[YearsAtCompany]]&lt;=4,"3-4 Years",Table1[[#This Row],[YearsAtCompany]]&lt;=5,"4-5 Years",Table1[[#This Row],[YearsAtCompany]]&gt;5,"&gt;5 Years")</f>
        <v>&gt;5 Years</v>
      </c>
    </row>
    <row r="231" spans="1:39" hidden="1" x14ac:dyDescent="0.45">
      <c r="A231">
        <v>29</v>
      </c>
      <c r="B231" t="s">
        <v>35</v>
      </c>
      <c r="C231" t="s">
        <v>64</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_xlfn.IFS(Table1[[#This Row],[Age]]&lt;30,"Young",Table1[[#This Row],[Age]]&lt;=40,"Adult",Table1[[#This Row],[Age]]&gt;40,"Senior")</f>
        <v>Young</v>
      </c>
      <c r="AK231" t="str" cm="1">
        <f t="array" ref="AK231">_xlfn.IFS(Table1[[#This Row],[MonthlyIncome]]&lt;5000,"Low",Table1[[#This Row],[MonthlyIncome]]&lt;10000,"Medium",Table1[[#This Row],[MonthlyIncome]]&gt;10000,"High")</f>
        <v>Low</v>
      </c>
      <c r="AL231" t="str" cm="1">
        <f t="array" ref="AL231">_xlfn.IFS(Table1[[#This Row],[Attrition]]="Yes","Resigned",Table1[[#This Row],[Attrition]]="No","Active")</f>
        <v>Resigned</v>
      </c>
      <c r="AM231" t="str" cm="1">
        <f t="array" ref="AM231">_xlfn.IFS(Table1[[#This Row],[YearsAtCompany]]&lt;=1,"0-1 Year",Table1[[#This Row],[YearsAtCompany]]&lt;=2,"1-2 Years",Table1[[#This Row],[YearsAtCompany]]&lt;=3,"2-3 Years",Table1[[#This Row],[YearsAtCompany]]&lt;=4,"3-4 Years",Table1[[#This Row],[YearsAtCompany]]&lt;=5,"4-5 Years",Table1[[#This Row],[YearsAtCompany]]&gt;5,"&gt;5 Years")</f>
        <v>3-4 Years</v>
      </c>
    </row>
    <row r="232" spans="1:39" hidden="1" x14ac:dyDescent="0.45">
      <c r="A232">
        <v>52</v>
      </c>
      <c r="B232" t="s">
        <v>43</v>
      </c>
      <c r="C232" t="s">
        <v>64</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_xlfn.IFS(Table1[[#This Row],[Age]]&lt;30,"Young",Table1[[#This Row],[Age]]&lt;=40,"Adult",Table1[[#This Row],[Age]]&gt;40,"Senior")</f>
        <v>Senior</v>
      </c>
      <c r="AK232" t="str" cm="1">
        <f t="array" ref="AK232">_xlfn.IFS(Table1[[#This Row],[MonthlyIncome]]&lt;5000,"Low",Table1[[#This Row],[MonthlyIncome]]&lt;10000,"Medium",Table1[[#This Row],[MonthlyIncome]]&gt;10000,"High")</f>
        <v>Low</v>
      </c>
      <c r="AL232" t="str" cm="1">
        <f t="array" ref="AL232">_xlfn.IFS(Table1[[#This Row],[Attrition]]="Yes","Resigned",Table1[[#This Row],[Attrition]]="No","Active")</f>
        <v>Active</v>
      </c>
      <c r="AM232" t="str" cm="1">
        <f t="array" ref="AM232">_xlfn.IFS(Table1[[#This Row],[YearsAtCompany]]&lt;=1,"0-1 Year",Table1[[#This Row],[YearsAtCompany]]&lt;=2,"1-2 Years",Table1[[#This Row],[YearsAtCompany]]&lt;=3,"2-3 Years",Table1[[#This Row],[YearsAtCompany]]&lt;=4,"3-4 Years",Table1[[#This Row],[YearsAtCompany]]&lt;=5,"4-5 Years",Table1[[#This Row],[YearsAtCompany]]&gt;5,"&gt;5 Years")</f>
        <v>1-2 Years</v>
      </c>
    </row>
    <row r="233" spans="1:39" hidden="1" x14ac:dyDescent="0.45">
      <c r="A233">
        <v>42</v>
      </c>
      <c r="B233" t="s">
        <v>43</v>
      </c>
      <c r="C233" t="s">
        <v>64</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_xlfn.IFS(Table1[[#This Row],[Age]]&lt;30,"Young",Table1[[#This Row],[Age]]&lt;=40,"Adult",Table1[[#This Row],[Age]]&gt;40,"Senior")</f>
        <v>Senior</v>
      </c>
      <c r="AK233" t="str" cm="1">
        <f t="array" ref="AK233">_xlfn.IFS(Table1[[#This Row],[MonthlyIncome]]&lt;5000,"Low",Table1[[#This Row],[MonthlyIncome]]&lt;10000,"Medium",Table1[[#This Row],[MonthlyIncome]]&gt;10000,"High")</f>
        <v>High</v>
      </c>
      <c r="AL233" t="str" cm="1">
        <f t="array" ref="AL233">_xlfn.IFS(Table1[[#This Row],[Attrition]]="Yes","Resigned",Table1[[#This Row],[Attrition]]="No","Active")</f>
        <v>Active</v>
      </c>
      <c r="AM233" t="str" cm="1">
        <f t="array" ref="AM233">_xlfn.IFS(Table1[[#This Row],[YearsAtCompany]]&lt;=1,"0-1 Year",Table1[[#This Row],[YearsAtCompany]]&lt;=2,"1-2 Years",Table1[[#This Row],[YearsAtCompany]]&lt;=3,"2-3 Years",Table1[[#This Row],[YearsAtCompany]]&lt;=4,"3-4 Years",Table1[[#This Row],[YearsAtCompany]]&lt;=5,"4-5 Years",Table1[[#This Row],[YearsAtCompany]]&gt;5,"&gt;5 Years")</f>
        <v>&gt;5 Years</v>
      </c>
    </row>
    <row r="234" spans="1:39" hidden="1" x14ac:dyDescent="0.45">
      <c r="A234">
        <v>59</v>
      </c>
      <c r="B234" t="s">
        <v>43</v>
      </c>
      <c r="C234" t="s">
        <v>64</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_xlfn.IFS(Table1[[#This Row],[Age]]&lt;30,"Young",Table1[[#This Row],[Age]]&lt;=40,"Adult",Table1[[#This Row],[Age]]&gt;40,"Senior")</f>
        <v>Senior</v>
      </c>
      <c r="AK234" t="str" cm="1">
        <f t="array" ref="AK234">_xlfn.IFS(Table1[[#This Row],[MonthlyIncome]]&lt;5000,"Low",Table1[[#This Row],[MonthlyIncome]]&lt;10000,"Medium",Table1[[#This Row],[MonthlyIncome]]&gt;10000,"High")</f>
        <v>Low</v>
      </c>
      <c r="AL234" t="str" cm="1">
        <f t="array" ref="AL234">_xlfn.IFS(Table1[[#This Row],[Attrition]]="Yes","Resigned",Table1[[#This Row],[Attrition]]="No","Active")</f>
        <v>Active</v>
      </c>
      <c r="AM234" t="str" cm="1">
        <f t="array" ref="AM234">_xlfn.IFS(Table1[[#This Row],[YearsAtCompany]]&lt;=1,"0-1 Year",Table1[[#This Row],[YearsAtCompany]]&lt;=2,"1-2 Years",Table1[[#This Row],[YearsAtCompany]]&lt;=3,"2-3 Years",Table1[[#This Row],[YearsAtCompany]]&lt;=4,"3-4 Years",Table1[[#This Row],[YearsAtCompany]]&lt;=5,"4-5 Years",Table1[[#This Row],[YearsAtCompany]]&gt;5,"&gt;5 Years")</f>
        <v>1-2 Years</v>
      </c>
    </row>
    <row r="235" spans="1:39" x14ac:dyDescent="0.45">
      <c r="A235">
        <v>50</v>
      </c>
      <c r="B235" t="s">
        <v>43</v>
      </c>
      <c r="C235" t="s">
        <v>64</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_xlfn.IFS(Table1[[#This Row],[Age]]&lt;30,"Young",Table1[[#This Row],[Age]]&lt;=40,"Adult",Table1[[#This Row],[Age]]&gt;40,"Senior")</f>
        <v>Senior</v>
      </c>
      <c r="AK235" t="str" cm="1">
        <f t="array" ref="AK235">_xlfn.IFS(Table1[[#This Row],[MonthlyIncome]]&lt;5000,"Low",Table1[[#This Row],[MonthlyIncome]]&lt;10000,"Medium",Table1[[#This Row],[MonthlyIncome]]&gt;10000,"High")</f>
        <v>High</v>
      </c>
      <c r="AL235" t="str" cm="1">
        <f t="array" ref="AL235">_xlfn.IFS(Table1[[#This Row],[Attrition]]="Yes","Resigned",Table1[[#This Row],[Attrition]]="No","Active")</f>
        <v>Active</v>
      </c>
      <c r="AM235" t="str" cm="1">
        <f t="array" ref="AM235">_xlfn.IFS(Table1[[#This Row],[YearsAtCompany]]&lt;=1,"0-1 Year",Table1[[#This Row],[YearsAtCompany]]&lt;=2,"1-2 Years",Table1[[#This Row],[YearsAtCompany]]&lt;=3,"2-3 Years",Table1[[#This Row],[YearsAtCompany]]&lt;=4,"3-4 Years",Table1[[#This Row],[YearsAtCompany]]&lt;=5,"4-5 Years",Table1[[#This Row],[YearsAtCompany]]&gt;5,"&gt;5 Years")</f>
        <v>&gt;5 Years</v>
      </c>
    </row>
    <row r="236" spans="1:39" hidden="1" x14ac:dyDescent="0.45">
      <c r="A236">
        <v>33</v>
      </c>
      <c r="B236" t="s">
        <v>35</v>
      </c>
      <c r="C236" t="s">
        <v>64</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_xlfn.IFS(Table1[[#This Row],[Age]]&lt;30,"Young",Table1[[#This Row],[Age]]&lt;=40,"Adult",Table1[[#This Row],[Age]]&gt;40,"Senior")</f>
        <v>Adult</v>
      </c>
      <c r="AK236" t="str" cm="1">
        <f t="array" ref="AK236">_xlfn.IFS(Table1[[#This Row],[MonthlyIncome]]&lt;5000,"Low",Table1[[#This Row],[MonthlyIncome]]&lt;10000,"Medium",Table1[[#This Row],[MonthlyIncome]]&gt;10000,"High")</f>
        <v>Low</v>
      </c>
      <c r="AL236" t="str" cm="1">
        <f t="array" ref="AL236">_xlfn.IFS(Table1[[#This Row],[Attrition]]="Yes","Resigned",Table1[[#This Row],[Attrition]]="No","Active")</f>
        <v>Resigned</v>
      </c>
      <c r="AM236" t="str" cm="1">
        <f t="array" ref="AM236">_xlfn.IFS(Table1[[#This Row],[YearsAtCompany]]&lt;=1,"0-1 Year",Table1[[#This Row],[YearsAtCompany]]&lt;=2,"1-2 Years",Table1[[#This Row],[YearsAtCompany]]&lt;=3,"2-3 Years",Table1[[#This Row],[YearsAtCompany]]&lt;=4,"3-4 Years",Table1[[#This Row],[YearsAtCompany]]&lt;=5,"4-5 Years",Table1[[#This Row],[YearsAtCompany]]&gt;5,"&gt;5 Years")</f>
        <v>4-5 Years</v>
      </c>
    </row>
    <row r="237" spans="1:39" x14ac:dyDescent="0.45">
      <c r="A237">
        <v>43</v>
      </c>
      <c r="B237" t="s">
        <v>43</v>
      </c>
      <c r="C237" t="s">
        <v>64</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_xlfn.IFS(Table1[[#This Row],[Age]]&lt;30,"Young",Table1[[#This Row],[Age]]&lt;=40,"Adult",Table1[[#This Row],[Age]]&gt;40,"Senior")</f>
        <v>Senior</v>
      </c>
      <c r="AK237" t="str" cm="1">
        <f t="array" ref="AK237">_xlfn.IFS(Table1[[#This Row],[MonthlyIncome]]&lt;5000,"Low",Table1[[#This Row],[MonthlyIncome]]&lt;10000,"Medium",Table1[[#This Row],[MonthlyIncome]]&gt;10000,"High")</f>
        <v>High</v>
      </c>
      <c r="AL237" t="str" cm="1">
        <f t="array" ref="AL237">_xlfn.IFS(Table1[[#This Row],[Attrition]]="Yes","Resigned",Table1[[#This Row],[Attrition]]="No","Active")</f>
        <v>Active</v>
      </c>
      <c r="AM237" t="str" cm="1">
        <f t="array" ref="AM237">_xlfn.IFS(Table1[[#This Row],[YearsAtCompany]]&lt;=1,"0-1 Year",Table1[[#This Row],[YearsAtCompany]]&lt;=2,"1-2 Years",Table1[[#This Row],[YearsAtCompany]]&lt;=3,"2-3 Years",Table1[[#This Row],[YearsAtCompany]]&lt;=4,"3-4 Years",Table1[[#This Row],[YearsAtCompany]]&lt;=5,"4-5 Years",Table1[[#This Row],[YearsAtCompany]]&gt;5,"&gt;5 Years")</f>
        <v>&gt;5 Years</v>
      </c>
    </row>
    <row r="238" spans="1:39" hidden="1" x14ac:dyDescent="0.45">
      <c r="A238">
        <v>33</v>
      </c>
      <c r="B238" t="s">
        <v>35</v>
      </c>
      <c r="C238" t="s">
        <v>64</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_xlfn.IFS(Table1[[#This Row],[Age]]&lt;30,"Young",Table1[[#This Row],[Age]]&lt;=40,"Adult",Table1[[#This Row],[Age]]&gt;40,"Senior")</f>
        <v>Adult</v>
      </c>
      <c r="AK238" t="str" cm="1">
        <f t="array" ref="AK238">_xlfn.IFS(Table1[[#This Row],[MonthlyIncome]]&lt;5000,"Low",Table1[[#This Row],[MonthlyIncome]]&lt;10000,"Medium",Table1[[#This Row],[MonthlyIncome]]&gt;10000,"High")</f>
        <v>Low</v>
      </c>
      <c r="AL238" t="str" cm="1">
        <f t="array" ref="AL238">_xlfn.IFS(Table1[[#This Row],[Attrition]]="Yes","Resigned",Table1[[#This Row],[Attrition]]="No","Active")</f>
        <v>Resigned</v>
      </c>
      <c r="AM238" t="str" cm="1">
        <f t="array" ref="AM238">_xlfn.IFS(Table1[[#This Row],[YearsAtCompany]]&lt;=1,"0-1 Year",Table1[[#This Row],[YearsAtCompany]]&lt;=2,"1-2 Years",Table1[[#This Row],[YearsAtCompany]]&lt;=3,"2-3 Years",Table1[[#This Row],[YearsAtCompany]]&lt;=4,"3-4 Years",Table1[[#This Row],[YearsAtCompany]]&lt;=5,"4-5 Years",Table1[[#This Row],[YearsAtCompany]]&gt;5,"&gt;5 Years")</f>
        <v>&gt;5 Years</v>
      </c>
    </row>
    <row r="239" spans="1:39" x14ac:dyDescent="0.45">
      <c r="A239">
        <v>52</v>
      </c>
      <c r="B239" t="s">
        <v>43</v>
      </c>
      <c r="C239" t="s">
        <v>62</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_xlfn.IFS(Table1[[#This Row],[Age]]&lt;30,"Young",Table1[[#This Row],[Age]]&lt;=40,"Adult",Table1[[#This Row],[Age]]&gt;40,"Senior")</f>
        <v>Senior</v>
      </c>
      <c r="AK239" t="str" cm="1">
        <f t="array" ref="AK239">_xlfn.IFS(Table1[[#This Row],[MonthlyIncome]]&lt;5000,"Low",Table1[[#This Row],[MonthlyIncome]]&lt;10000,"Medium",Table1[[#This Row],[MonthlyIncome]]&gt;10000,"High")</f>
        <v>High</v>
      </c>
      <c r="AL239" t="str" cm="1">
        <f t="array" ref="AL239">_xlfn.IFS(Table1[[#This Row],[Attrition]]="Yes","Resigned",Table1[[#This Row],[Attrition]]="No","Active")</f>
        <v>Active</v>
      </c>
      <c r="AM239" t="str" cm="1">
        <f t="array" ref="AM239">_xlfn.IFS(Table1[[#This Row],[YearsAtCompany]]&lt;=1,"0-1 Year",Table1[[#This Row],[YearsAtCompany]]&lt;=2,"1-2 Years",Table1[[#This Row],[YearsAtCompany]]&lt;=3,"2-3 Years",Table1[[#This Row],[YearsAtCompany]]&lt;=4,"3-4 Years",Table1[[#This Row],[YearsAtCompany]]&lt;=5,"4-5 Years",Table1[[#This Row],[YearsAtCompany]]&gt;5,"&gt;5 Years")</f>
        <v>&gt;5 Years</v>
      </c>
    </row>
    <row r="240" spans="1:39" x14ac:dyDescent="0.45">
      <c r="A240">
        <v>32</v>
      </c>
      <c r="B240" t="s">
        <v>43</v>
      </c>
      <c r="C240" t="s">
        <v>64</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_xlfn.IFS(Table1[[#This Row],[Age]]&lt;30,"Young",Table1[[#This Row],[Age]]&lt;=40,"Adult",Table1[[#This Row],[Age]]&gt;40,"Senior")</f>
        <v>Adult</v>
      </c>
      <c r="AK240" t="str" cm="1">
        <f t="array" ref="AK240">_xlfn.IFS(Table1[[#This Row],[MonthlyIncome]]&lt;5000,"Low",Table1[[#This Row],[MonthlyIncome]]&lt;10000,"Medium",Table1[[#This Row],[MonthlyIncome]]&gt;10000,"High")</f>
        <v>Low</v>
      </c>
      <c r="AL240" t="str" cm="1">
        <f t="array" ref="AL240">_xlfn.IFS(Table1[[#This Row],[Attrition]]="Yes","Resigned",Table1[[#This Row],[Attrition]]="No","Active")</f>
        <v>Active</v>
      </c>
      <c r="AM240" t="str" cm="1">
        <f t="array" ref="AM240">_xlfn.IFS(Table1[[#This Row],[YearsAtCompany]]&lt;=1,"0-1 Year",Table1[[#This Row],[YearsAtCompany]]&lt;=2,"1-2 Years",Table1[[#This Row],[YearsAtCompany]]&lt;=3,"2-3 Years",Table1[[#This Row],[YearsAtCompany]]&lt;=4,"3-4 Years",Table1[[#This Row],[YearsAtCompany]]&lt;=5,"4-5 Years",Table1[[#This Row],[YearsAtCompany]]&gt;5,"&gt;5 Years")</f>
        <v>3-4 Years</v>
      </c>
    </row>
    <row r="241" spans="1:39" hidden="1" x14ac:dyDescent="0.45">
      <c r="A241">
        <v>32</v>
      </c>
      <c r="B241" t="s">
        <v>35</v>
      </c>
      <c r="C241" t="s">
        <v>64</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_xlfn.IFS(Table1[[#This Row],[Age]]&lt;30,"Young",Table1[[#This Row],[Age]]&lt;=40,"Adult",Table1[[#This Row],[Age]]&gt;40,"Senior")</f>
        <v>Adult</v>
      </c>
      <c r="AK241" t="str" cm="1">
        <f t="array" ref="AK241">_xlfn.IFS(Table1[[#This Row],[MonthlyIncome]]&lt;5000,"Low",Table1[[#This Row],[MonthlyIncome]]&lt;10000,"Medium",Table1[[#This Row],[MonthlyIncome]]&gt;10000,"High")</f>
        <v>Low</v>
      </c>
      <c r="AL241" t="str" cm="1">
        <f t="array" ref="AL241">_xlfn.IFS(Table1[[#This Row],[Attrition]]="Yes","Resigned",Table1[[#This Row],[Attrition]]="No","Active")</f>
        <v>Resigned</v>
      </c>
      <c r="AM241" t="str" cm="1">
        <f t="array" ref="AM241">_xlfn.IFS(Table1[[#This Row],[YearsAtCompany]]&lt;=1,"0-1 Year",Table1[[#This Row],[YearsAtCompany]]&lt;=2,"1-2 Years",Table1[[#This Row],[YearsAtCompany]]&lt;=3,"2-3 Years",Table1[[#This Row],[YearsAtCompany]]&lt;=4,"3-4 Years",Table1[[#This Row],[YearsAtCompany]]&lt;=5,"4-5 Years",Table1[[#This Row],[YearsAtCompany]]&gt;5,"&gt;5 Years")</f>
        <v>2-3 Years</v>
      </c>
    </row>
    <row r="242" spans="1:39" hidden="1" x14ac:dyDescent="0.45">
      <c r="A242">
        <v>39</v>
      </c>
      <c r="B242" t="s">
        <v>43</v>
      </c>
      <c r="C242" t="s">
        <v>64</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_xlfn.IFS(Table1[[#This Row],[Age]]&lt;30,"Young",Table1[[#This Row],[Age]]&lt;=40,"Adult",Table1[[#This Row],[Age]]&gt;40,"Senior")</f>
        <v>Adult</v>
      </c>
      <c r="AK242" t="str" cm="1">
        <f t="array" ref="AK242">_xlfn.IFS(Table1[[#This Row],[MonthlyIncome]]&lt;5000,"Low",Table1[[#This Row],[MonthlyIncome]]&lt;10000,"Medium",Table1[[#This Row],[MonthlyIncome]]&gt;10000,"High")</f>
        <v>Low</v>
      </c>
      <c r="AL242" t="str" cm="1">
        <f t="array" ref="AL242">_xlfn.IFS(Table1[[#This Row],[Attrition]]="Yes","Resigned",Table1[[#This Row],[Attrition]]="No","Active")</f>
        <v>Active</v>
      </c>
      <c r="AM242" t="str" cm="1">
        <f t="array" ref="AM242">_xlfn.IFS(Table1[[#This Row],[YearsAtCompany]]&lt;=1,"0-1 Year",Table1[[#This Row],[YearsAtCompany]]&lt;=2,"1-2 Years",Table1[[#This Row],[YearsAtCompany]]&lt;=3,"2-3 Years",Table1[[#This Row],[YearsAtCompany]]&lt;=4,"3-4 Years",Table1[[#This Row],[YearsAtCompany]]&lt;=5,"4-5 Years",Table1[[#This Row],[YearsAtCompany]]&gt;5,"&gt;5 Years")</f>
        <v>2-3 Years</v>
      </c>
    </row>
    <row r="243" spans="1:39" x14ac:dyDescent="0.45">
      <c r="A243">
        <v>32</v>
      </c>
      <c r="B243" t="s">
        <v>43</v>
      </c>
      <c r="C243" t="s">
        <v>62</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_xlfn.IFS(Table1[[#This Row],[Age]]&lt;30,"Young",Table1[[#This Row],[Age]]&lt;=40,"Adult",Table1[[#This Row],[Age]]&gt;40,"Senior")</f>
        <v>Adult</v>
      </c>
      <c r="AK243" t="str" cm="1">
        <f t="array" ref="AK243">_xlfn.IFS(Table1[[#This Row],[MonthlyIncome]]&lt;5000,"Low",Table1[[#This Row],[MonthlyIncome]]&lt;10000,"Medium",Table1[[#This Row],[MonthlyIncome]]&gt;10000,"High")</f>
        <v>Low</v>
      </c>
      <c r="AL243" t="str" cm="1">
        <f t="array" ref="AL243">_xlfn.IFS(Table1[[#This Row],[Attrition]]="Yes","Resigned",Table1[[#This Row],[Attrition]]="No","Active")</f>
        <v>Active</v>
      </c>
      <c r="AM243" t="str" cm="1">
        <f t="array" ref="AM243">_xlfn.IFS(Table1[[#This Row],[YearsAtCompany]]&lt;=1,"0-1 Year",Table1[[#This Row],[YearsAtCompany]]&lt;=2,"1-2 Years",Table1[[#This Row],[YearsAtCompany]]&lt;=3,"2-3 Years",Table1[[#This Row],[YearsAtCompany]]&lt;=4,"3-4 Years",Table1[[#This Row],[YearsAtCompany]]&lt;=5,"4-5 Years",Table1[[#This Row],[YearsAtCompany]]&gt;5,"&gt;5 Years")</f>
        <v>2-3 Years</v>
      </c>
    </row>
    <row r="244" spans="1:39" hidden="1" x14ac:dyDescent="0.45">
      <c r="A244">
        <v>41</v>
      </c>
      <c r="B244" t="s">
        <v>43</v>
      </c>
      <c r="C244" t="s">
        <v>64</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_xlfn.IFS(Table1[[#This Row],[Age]]&lt;30,"Young",Table1[[#This Row],[Age]]&lt;=40,"Adult",Table1[[#This Row],[Age]]&gt;40,"Senior")</f>
        <v>Senior</v>
      </c>
      <c r="AK244" t="str" cm="1">
        <f t="array" ref="AK244">_xlfn.IFS(Table1[[#This Row],[MonthlyIncome]]&lt;5000,"Low",Table1[[#This Row],[MonthlyIncome]]&lt;10000,"Medium",Table1[[#This Row],[MonthlyIncome]]&gt;10000,"High")</f>
        <v>Low</v>
      </c>
      <c r="AL244" t="str" cm="1">
        <f t="array" ref="AL244">_xlfn.IFS(Table1[[#This Row],[Attrition]]="Yes","Resigned",Table1[[#This Row],[Attrition]]="No","Active")</f>
        <v>Active</v>
      </c>
      <c r="AM244" t="str" cm="1">
        <f t="array" ref="AM244">_xlfn.IFS(Table1[[#This Row],[YearsAtCompany]]&lt;=1,"0-1 Year",Table1[[#This Row],[YearsAtCompany]]&lt;=2,"1-2 Years",Table1[[#This Row],[YearsAtCompany]]&lt;=3,"2-3 Years",Table1[[#This Row],[YearsAtCompany]]&lt;=4,"3-4 Years",Table1[[#This Row],[YearsAtCompany]]&lt;=5,"4-5 Years",Table1[[#This Row],[YearsAtCompany]]&gt;5,"&gt;5 Years")</f>
        <v>0-1 Year</v>
      </c>
    </row>
    <row r="245" spans="1:39" hidden="1" x14ac:dyDescent="0.45">
      <c r="A245">
        <v>40</v>
      </c>
      <c r="B245" t="s">
        <v>43</v>
      </c>
      <c r="C245" t="s">
        <v>64</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_xlfn.IFS(Table1[[#This Row],[Age]]&lt;30,"Young",Table1[[#This Row],[Age]]&lt;=40,"Adult",Table1[[#This Row],[Age]]&gt;40,"Senior")</f>
        <v>Adult</v>
      </c>
      <c r="AK245" t="str" cm="1">
        <f t="array" ref="AK245">_xlfn.IFS(Table1[[#This Row],[MonthlyIncome]]&lt;5000,"Low",Table1[[#This Row],[MonthlyIncome]]&lt;10000,"Medium",Table1[[#This Row],[MonthlyIncome]]&gt;10000,"High")</f>
        <v>Low</v>
      </c>
      <c r="AL245" t="str" cm="1">
        <f t="array" ref="AL245">_xlfn.IFS(Table1[[#This Row],[Attrition]]="Yes","Resigned",Table1[[#This Row],[Attrition]]="No","Active")</f>
        <v>Active</v>
      </c>
      <c r="AM245" t="str" cm="1">
        <f t="array" ref="AM245">_xlfn.IFS(Table1[[#This Row],[YearsAtCompany]]&lt;=1,"0-1 Year",Table1[[#This Row],[YearsAtCompany]]&lt;=2,"1-2 Years",Table1[[#This Row],[YearsAtCompany]]&lt;=3,"2-3 Years",Table1[[#This Row],[YearsAtCompany]]&lt;=4,"3-4 Years",Table1[[#This Row],[YearsAtCompany]]&lt;=5,"4-5 Years",Table1[[#This Row],[YearsAtCompany]]&gt;5,"&gt;5 Years")</f>
        <v>&gt;5 Years</v>
      </c>
    </row>
    <row r="246" spans="1:39" hidden="1" x14ac:dyDescent="0.45">
      <c r="A246">
        <v>45</v>
      </c>
      <c r="B246" t="s">
        <v>43</v>
      </c>
      <c r="C246" t="s">
        <v>64</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_xlfn.IFS(Table1[[#This Row],[Age]]&lt;30,"Young",Table1[[#This Row],[Age]]&lt;=40,"Adult",Table1[[#This Row],[Age]]&gt;40,"Senior")</f>
        <v>Senior</v>
      </c>
      <c r="AK246" t="str" cm="1">
        <f t="array" ref="AK246">_xlfn.IFS(Table1[[#This Row],[MonthlyIncome]]&lt;5000,"Low",Table1[[#This Row],[MonthlyIncome]]&lt;10000,"Medium",Table1[[#This Row],[MonthlyIncome]]&gt;10000,"High")</f>
        <v>High</v>
      </c>
      <c r="AL246" t="str" cm="1">
        <f t="array" ref="AL246">_xlfn.IFS(Table1[[#This Row],[Attrition]]="Yes","Resigned",Table1[[#This Row],[Attrition]]="No","Active")</f>
        <v>Active</v>
      </c>
      <c r="AM246" t="str" cm="1">
        <f t="array" ref="AM246">_xlfn.IFS(Table1[[#This Row],[YearsAtCompany]]&lt;=1,"0-1 Year",Table1[[#This Row],[YearsAtCompany]]&lt;=2,"1-2 Years",Table1[[#This Row],[YearsAtCompany]]&lt;=3,"2-3 Years",Table1[[#This Row],[YearsAtCompany]]&lt;=4,"3-4 Years",Table1[[#This Row],[YearsAtCompany]]&lt;=5,"4-5 Years",Table1[[#This Row],[YearsAtCompany]]&gt;5,"&gt;5 Years")</f>
        <v>&gt;5 Years</v>
      </c>
    </row>
    <row r="247" spans="1:39" hidden="1" x14ac:dyDescent="0.45">
      <c r="A247">
        <v>31</v>
      </c>
      <c r="B247" t="s">
        <v>43</v>
      </c>
      <c r="C247" t="s">
        <v>63</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_xlfn.IFS(Table1[[#This Row],[Age]]&lt;30,"Young",Table1[[#This Row],[Age]]&lt;=40,"Adult",Table1[[#This Row],[Age]]&gt;40,"Senior")</f>
        <v>Adult</v>
      </c>
      <c r="AK247" t="str" cm="1">
        <f t="array" ref="AK247">_xlfn.IFS(Table1[[#This Row],[MonthlyIncome]]&lt;5000,"Low",Table1[[#This Row],[MonthlyIncome]]&lt;10000,"Medium",Table1[[#This Row],[MonthlyIncome]]&gt;10000,"High")</f>
        <v>High</v>
      </c>
      <c r="AL247" t="str" cm="1">
        <f t="array" ref="AL247">_xlfn.IFS(Table1[[#This Row],[Attrition]]="Yes","Resigned",Table1[[#This Row],[Attrition]]="No","Active")</f>
        <v>Active</v>
      </c>
      <c r="AM247" t="str" cm="1">
        <f t="array" ref="AM247">_xlfn.IFS(Table1[[#This Row],[YearsAtCompany]]&lt;=1,"0-1 Year",Table1[[#This Row],[YearsAtCompany]]&lt;=2,"1-2 Years",Table1[[#This Row],[YearsAtCompany]]&lt;=3,"2-3 Years",Table1[[#This Row],[YearsAtCompany]]&lt;=4,"3-4 Years",Table1[[#This Row],[YearsAtCompany]]&lt;=5,"4-5 Years",Table1[[#This Row],[YearsAtCompany]]&gt;5,"&gt;5 Years")</f>
        <v>1-2 Years</v>
      </c>
    </row>
    <row r="248" spans="1:39" hidden="1" x14ac:dyDescent="0.45">
      <c r="A248">
        <v>33</v>
      </c>
      <c r="B248" t="s">
        <v>43</v>
      </c>
      <c r="C248" t="s">
        <v>64</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_xlfn.IFS(Table1[[#This Row],[Age]]&lt;30,"Young",Table1[[#This Row],[Age]]&lt;=40,"Adult",Table1[[#This Row],[Age]]&gt;40,"Senior")</f>
        <v>Adult</v>
      </c>
      <c r="AK248" t="str" cm="1">
        <f t="array" ref="AK248">_xlfn.IFS(Table1[[#This Row],[MonthlyIncome]]&lt;5000,"Low",Table1[[#This Row],[MonthlyIncome]]&lt;10000,"Medium",Table1[[#This Row],[MonthlyIncome]]&gt;10000,"High")</f>
        <v>Low</v>
      </c>
      <c r="AL248" t="str" cm="1">
        <f t="array" ref="AL248">_xlfn.IFS(Table1[[#This Row],[Attrition]]="Yes","Resigned",Table1[[#This Row],[Attrition]]="No","Active")</f>
        <v>Active</v>
      </c>
      <c r="AM248" t="str" cm="1">
        <f t="array" ref="AM248">_xlfn.IFS(Table1[[#This Row],[YearsAtCompany]]&lt;=1,"0-1 Year",Table1[[#This Row],[YearsAtCompany]]&lt;=2,"1-2 Years",Table1[[#This Row],[YearsAtCompany]]&lt;=3,"2-3 Years",Table1[[#This Row],[YearsAtCompany]]&lt;=4,"3-4 Years",Table1[[#This Row],[YearsAtCompany]]&lt;=5,"4-5 Years",Table1[[#This Row],[YearsAtCompany]]&gt;5,"&gt;5 Years")</f>
        <v>1-2 Years</v>
      </c>
    </row>
    <row r="249" spans="1:39" hidden="1" x14ac:dyDescent="0.45">
      <c r="A249">
        <v>34</v>
      </c>
      <c r="B249" t="s">
        <v>43</v>
      </c>
      <c r="C249" t="s">
        <v>64</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_xlfn.IFS(Table1[[#This Row],[Age]]&lt;30,"Young",Table1[[#This Row],[Age]]&lt;=40,"Adult",Table1[[#This Row],[Age]]&gt;40,"Senior")</f>
        <v>Adult</v>
      </c>
      <c r="AK249" t="str" cm="1">
        <f t="array" ref="AK249">_xlfn.IFS(Table1[[#This Row],[MonthlyIncome]]&lt;5000,"Low",Table1[[#This Row],[MonthlyIncome]]&lt;10000,"Medium",Table1[[#This Row],[MonthlyIncome]]&gt;10000,"High")</f>
        <v>Medium</v>
      </c>
      <c r="AL249" t="str" cm="1">
        <f t="array" ref="AL249">_xlfn.IFS(Table1[[#This Row],[Attrition]]="Yes","Resigned",Table1[[#This Row],[Attrition]]="No","Active")</f>
        <v>Active</v>
      </c>
      <c r="AM249" t="str" cm="1">
        <f t="array" ref="AM249">_xlfn.IFS(Table1[[#This Row],[YearsAtCompany]]&lt;=1,"0-1 Year",Table1[[#This Row],[YearsAtCompany]]&lt;=2,"1-2 Years",Table1[[#This Row],[YearsAtCompany]]&lt;=3,"2-3 Years",Table1[[#This Row],[YearsAtCompany]]&lt;=4,"3-4 Years",Table1[[#This Row],[YearsAtCompany]]&lt;=5,"4-5 Years",Table1[[#This Row],[YearsAtCompany]]&gt;5,"&gt;5 Years")</f>
        <v>&gt;5 Years</v>
      </c>
    </row>
    <row r="250" spans="1:39" hidden="1" x14ac:dyDescent="0.45">
      <c r="A250">
        <v>37</v>
      </c>
      <c r="B250" t="s">
        <v>43</v>
      </c>
      <c r="C250" t="s">
        <v>64</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_xlfn.IFS(Table1[[#This Row],[Age]]&lt;30,"Young",Table1[[#This Row],[Age]]&lt;=40,"Adult",Table1[[#This Row],[Age]]&gt;40,"Senior")</f>
        <v>Adult</v>
      </c>
      <c r="AK250" t="str" cm="1">
        <f t="array" ref="AK250">_xlfn.IFS(Table1[[#This Row],[MonthlyIncome]]&lt;5000,"Low",Table1[[#This Row],[MonthlyIncome]]&lt;10000,"Medium",Table1[[#This Row],[MonthlyIncome]]&gt;10000,"High")</f>
        <v>Low</v>
      </c>
      <c r="AL250" t="str" cm="1">
        <f t="array" ref="AL250">_xlfn.IFS(Table1[[#This Row],[Attrition]]="Yes","Resigned",Table1[[#This Row],[Attrition]]="No","Active")</f>
        <v>Active</v>
      </c>
      <c r="AM250" t="str" cm="1">
        <f t="array" ref="AM250">_xlfn.IFS(Table1[[#This Row],[YearsAtCompany]]&lt;=1,"0-1 Year",Table1[[#This Row],[YearsAtCompany]]&lt;=2,"1-2 Years",Table1[[#This Row],[YearsAtCompany]]&lt;=3,"2-3 Years",Table1[[#This Row],[YearsAtCompany]]&lt;=4,"3-4 Years",Table1[[#This Row],[YearsAtCompany]]&lt;=5,"4-5 Years",Table1[[#This Row],[YearsAtCompany]]&gt;5,"&gt;5 Years")</f>
        <v>2-3 Years</v>
      </c>
    </row>
    <row r="251" spans="1:39" hidden="1" x14ac:dyDescent="0.45">
      <c r="A251">
        <v>45</v>
      </c>
      <c r="B251" t="s">
        <v>43</v>
      </c>
      <c r="C251" t="s">
        <v>63</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_xlfn.IFS(Table1[[#This Row],[Age]]&lt;30,"Young",Table1[[#This Row],[Age]]&lt;=40,"Adult",Table1[[#This Row],[Age]]&gt;40,"Senior")</f>
        <v>Senior</v>
      </c>
      <c r="AK251" t="str" cm="1">
        <f t="array" ref="AK251">_xlfn.IFS(Table1[[#This Row],[MonthlyIncome]]&lt;5000,"Low",Table1[[#This Row],[MonthlyIncome]]&lt;10000,"Medium",Table1[[#This Row],[MonthlyIncome]]&gt;10000,"High")</f>
        <v>Medium</v>
      </c>
      <c r="AL251" t="str" cm="1">
        <f t="array" ref="AL251">_xlfn.IFS(Table1[[#This Row],[Attrition]]="Yes","Resigned",Table1[[#This Row],[Attrition]]="No","Active")</f>
        <v>Active</v>
      </c>
      <c r="AM251" t="str" cm="1">
        <f t="array" ref="AM251">_xlfn.IFS(Table1[[#This Row],[YearsAtCompany]]&lt;=1,"0-1 Year",Table1[[#This Row],[YearsAtCompany]]&lt;=2,"1-2 Years",Table1[[#This Row],[YearsAtCompany]]&lt;=3,"2-3 Years",Table1[[#This Row],[YearsAtCompany]]&lt;=4,"3-4 Years",Table1[[#This Row],[YearsAtCompany]]&lt;=5,"4-5 Years",Table1[[#This Row],[YearsAtCompany]]&gt;5,"&gt;5 Years")</f>
        <v>2-3 Years</v>
      </c>
    </row>
    <row r="252" spans="1:39" hidden="1" x14ac:dyDescent="0.45">
      <c r="A252">
        <v>37</v>
      </c>
      <c r="B252" t="s">
        <v>35</v>
      </c>
      <c r="C252" t="s">
        <v>63</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_xlfn.IFS(Table1[[#This Row],[Age]]&lt;30,"Young",Table1[[#This Row],[Age]]&lt;=40,"Adult",Table1[[#This Row],[Age]]&gt;40,"Senior")</f>
        <v>Adult</v>
      </c>
      <c r="AK252" t="str" cm="1">
        <f t="array" ref="AK252">_xlfn.IFS(Table1[[#This Row],[MonthlyIncome]]&lt;5000,"Low",Table1[[#This Row],[MonthlyIncome]]&lt;10000,"Medium",Table1[[#This Row],[MonthlyIncome]]&gt;10000,"High")</f>
        <v>High</v>
      </c>
      <c r="AL252" t="str" cm="1">
        <f t="array" ref="AL252">_xlfn.IFS(Table1[[#This Row],[Attrition]]="Yes","Resigned",Table1[[#This Row],[Attrition]]="No","Active")</f>
        <v>Resigned</v>
      </c>
      <c r="AM252" t="str" cm="1">
        <f t="array" ref="AM252">_xlfn.IFS(Table1[[#This Row],[YearsAtCompany]]&lt;=1,"0-1 Year",Table1[[#This Row],[YearsAtCompany]]&lt;=2,"1-2 Years",Table1[[#This Row],[YearsAtCompany]]&lt;=3,"2-3 Years",Table1[[#This Row],[YearsAtCompany]]&lt;=4,"3-4 Years",Table1[[#This Row],[YearsAtCompany]]&lt;=5,"4-5 Years",Table1[[#This Row],[YearsAtCompany]]&gt;5,"&gt;5 Years")</f>
        <v>0-1 Year</v>
      </c>
    </row>
    <row r="253" spans="1:39" hidden="1" x14ac:dyDescent="0.45">
      <c r="A253">
        <v>39</v>
      </c>
      <c r="B253" t="s">
        <v>43</v>
      </c>
      <c r="C253" t="s">
        <v>63</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_xlfn.IFS(Table1[[#This Row],[Age]]&lt;30,"Young",Table1[[#This Row],[Age]]&lt;=40,"Adult",Table1[[#This Row],[Age]]&gt;40,"Senior")</f>
        <v>Adult</v>
      </c>
      <c r="AK253" t="str" cm="1">
        <f t="array" ref="AK253">_xlfn.IFS(Table1[[#This Row],[MonthlyIncome]]&lt;5000,"Low",Table1[[#This Row],[MonthlyIncome]]&lt;10000,"Medium",Table1[[#This Row],[MonthlyIncome]]&gt;10000,"High")</f>
        <v>High</v>
      </c>
      <c r="AL253" t="str" cm="1">
        <f t="array" ref="AL253">_xlfn.IFS(Table1[[#This Row],[Attrition]]="Yes","Resigned",Table1[[#This Row],[Attrition]]="No","Active")</f>
        <v>Active</v>
      </c>
      <c r="AM253" t="str" cm="1">
        <f t="array" ref="AM253">_xlfn.IFS(Table1[[#This Row],[YearsAtCompany]]&lt;=1,"0-1 Year",Table1[[#This Row],[YearsAtCompany]]&lt;=2,"1-2 Years",Table1[[#This Row],[YearsAtCompany]]&lt;=3,"2-3 Years",Table1[[#This Row],[YearsAtCompany]]&lt;=4,"3-4 Years",Table1[[#This Row],[YearsAtCompany]]&lt;=5,"4-5 Years",Table1[[#This Row],[YearsAtCompany]]&gt;5,"&gt;5 Years")</f>
        <v>&gt;5 Years</v>
      </c>
    </row>
    <row r="254" spans="1:39" hidden="1" x14ac:dyDescent="0.45">
      <c r="A254">
        <v>29</v>
      </c>
      <c r="B254" t="s">
        <v>43</v>
      </c>
      <c r="C254" t="s">
        <v>64</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_xlfn.IFS(Table1[[#This Row],[Age]]&lt;30,"Young",Table1[[#This Row],[Age]]&lt;=40,"Adult",Table1[[#This Row],[Age]]&gt;40,"Senior")</f>
        <v>Young</v>
      </c>
      <c r="AK254" t="str" cm="1">
        <f t="array" ref="AK254">_xlfn.IFS(Table1[[#This Row],[MonthlyIncome]]&lt;5000,"Low",Table1[[#This Row],[MonthlyIncome]]&lt;10000,"Medium",Table1[[#This Row],[MonthlyIncome]]&gt;10000,"High")</f>
        <v>Low</v>
      </c>
      <c r="AL254" t="str" cm="1">
        <f t="array" ref="AL254">_xlfn.IFS(Table1[[#This Row],[Attrition]]="Yes","Resigned",Table1[[#This Row],[Attrition]]="No","Active")</f>
        <v>Active</v>
      </c>
      <c r="AM254" t="str" cm="1">
        <f t="array" ref="AM254">_xlfn.IFS(Table1[[#This Row],[YearsAtCompany]]&lt;=1,"0-1 Year",Table1[[#This Row],[YearsAtCompany]]&lt;=2,"1-2 Years",Table1[[#This Row],[YearsAtCompany]]&lt;=3,"2-3 Years",Table1[[#This Row],[YearsAtCompany]]&lt;=4,"3-4 Years",Table1[[#This Row],[YearsAtCompany]]&lt;=5,"4-5 Years",Table1[[#This Row],[YearsAtCompany]]&gt;5,"&gt;5 Years")</f>
        <v>&gt;5 Years</v>
      </c>
    </row>
    <row r="255" spans="1:39" hidden="1" x14ac:dyDescent="0.45">
      <c r="A255">
        <v>42</v>
      </c>
      <c r="B255" t="s">
        <v>43</v>
      </c>
      <c r="C255" t="s">
        <v>64</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_xlfn.IFS(Table1[[#This Row],[Age]]&lt;30,"Young",Table1[[#This Row],[Age]]&lt;=40,"Adult",Table1[[#This Row],[Age]]&gt;40,"Senior")</f>
        <v>Senior</v>
      </c>
      <c r="AK255" t="str" cm="1">
        <f t="array" ref="AK255">_xlfn.IFS(Table1[[#This Row],[MonthlyIncome]]&lt;5000,"Low",Table1[[#This Row],[MonthlyIncome]]&lt;10000,"Medium",Table1[[#This Row],[MonthlyIncome]]&gt;10000,"High")</f>
        <v>Medium</v>
      </c>
      <c r="AL255" t="str" cm="1">
        <f t="array" ref="AL255">_xlfn.IFS(Table1[[#This Row],[Attrition]]="Yes","Resigned",Table1[[#This Row],[Attrition]]="No","Active")</f>
        <v>Active</v>
      </c>
      <c r="AM255" t="str" cm="1">
        <f t="array" ref="AM255">_xlfn.IFS(Table1[[#This Row],[YearsAtCompany]]&lt;=1,"0-1 Year",Table1[[#This Row],[YearsAtCompany]]&lt;=2,"1-2 Years",Table1[[#This Row],[YearsAtCompany]]&lt;=3,"2-3 Years",Table1[[#This Row],[YearsAtCompany]]&lt;=4,"3-4 Years",Table1[[#This Row],[YearsAtCompany]]&lt;=5,"4-5 Years",Table1[[#This Row],[YearsAtCompany]]&gt;5,"&gt;5 Years")</f>
        <v>2-3 Years</v>
      </c>
    </row>
    <row r="256" spans="1:39" x14ac:dyDescent="0.45">
      <c r="A256">
        <v>29</v>
      </c>
      <c r="B256" t="s">
        <v>43</v>
      </c>
      <c r="C256" t="s">
        <v>64</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_xlfn.IFS(Table1[[#This Row],[Age]]&lt;30,"Young",Table1[[#This Row],[Age]]&lt;=40,"Adult",Table1[[#This Row],[Age]]&gt;40,"Senior")</f>
        <v>Young</v>
      </c>
      <c r="AK256" t="str" cm="1">
        <f t="array" ref="AK256">_xlfn.IFS(Table1[[#This Row],[MonthlyIncome]]&lt;5000,"Low",Table1[[#This Row],[MonthlyIncome]]&lt;10000,"Medium",Table1[[#This Row],[MonthlyIncome]]&gt;10000,"High")</f>
        <v>Medium</v>
      </c>
      <c r="AL256" t="str" cm="1">
        <f t="array" ref="AL256">_xlfn.IFS(Table1[[#This Row],[Attrition]]="Yes","Resigned",Table1[[#This Row],[Attrition]]="No","Active")</f>
        <v>Active</v>
      </c>
      <c r="AM256" t="str" cm="1">
        <f t="array" ref="AM256">_xlfn.IFS(Table1[[#This Row],[YearsAtCompany]]&lt;=1,"0-1 Year",Table1[[#This Row],[YearsAtCompany]]&lt;=2,"1-2 Years",Table1[[#This Row],[YearsAtCompany]]&lt;=3,"2-3 Years",Table1[[#This Row],[YearsAtCompany]]&lt;=4,"3-4 Years",Table1[[#This Row],[YearsAtCompany]]&lt;=5,"4-5 Years",Table1[[#This Row],[YearsAtCompany]]&gt;5,"&gt;5 Years")</f>
        <v>2-3 Years</v>
      </c>
    </row>
    <row r="257" spans="1:39" hidden="1" x14ac:dyDescent="0.45">
      <c r="A257">
        <v>25</v>
      </c>
      <c r="B257" t="s">
        <v>43</v>
      </c>
      <c r="C257" t="s">
        <v>64</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_xlfn.IFS(Table1[[#This Row],[Age]]&lt;30,"Young",Table1[[#This Row],[Age]]&lt;=40,"Adult",Table1[[#This Row],[Age]]&gt;40,"Senior")</f>
        <v>Young</v>
      </c>
      <c r="AK257" t="str" cm="1">
        <f t="array" ref="AK257">_xlfn.IFS(Table1[[#This Row],[MonthlyIncome]]&lt;5000,"Low",Table1[[#This Row],[MonthlyIncome]]&lt;10000,"Medium",Table1[[#This Row],[MonthlyIncome]]&gt;10000,"High")</f>
        <v>Low</v>
      </c>
      <c r="AL257" t="str" cm="1">
        <f t="array" ref="AL257">_xlfn.IFS(Table1[[#This Row],[Attrition]]="Yes","Resigned",Table1[[#This Row],[Attrition]]="No","Active")</f>
        <v>Active</v>
      </c>
      <c r="AM257" t="str" cm="1">
        <f t="array" ref="AM257">_xlfn.IFS(Table1[[#This Row],[YearsAtCompany]]&lt;=1,"0-1 Year",Table1[[#This Row],[YearsAtCompany]]&lt;=2,"1-2 Years",Table1[[#This Row],[YearsAtCompany]]&lt;=3,"2-3 Years",Table1[[#This Row],[YearsAtCompany]]&lt;=4,"3-4 Years",Table1[[#This Row],[YearsAtCompany]]&lt;=5,"4-5 Years",Table1[[#This Row],[YearsAtCompany]]&gt;5,"&gt;5 Years")</f>
        <v>3-4 Years</v>
      </c>
    </row>
    <row r="258" spans="1:39" hidden="1" x14ac:dyDescent="0.45">
      <c r="A258">
        <v>42</v>
      </c>
      <c r="B258" t="s">
        <v>43</v>
      </c>
      <c r="C258" t="s">
        <v>64</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_xlfn.IFS(Table1[[#This Row],[Age]]&lt;30,"Young",Table1[[#This Row],[Age]]&lt;=40,"Adult",Table1[[#This Row],[Age]]&gt;40,"Senior")</f>
        <v>Senior</v>
      </c>
      <c r="AK258" t="str" cm="1">
        <f t="array" ref="AK258">_xlfn.IFS(Table1[[#This Row],[MonthlyIncome]]&lt;5000,"Low",Table1[[#This Row],[MonthlyIncome]]&lt;10000,"Medium",Table1[[#This Row],[MonthlyIncome]]&gt;10000,"High")</f>
        <v>Low</v>
      </c>
      <c r="AL258" t="str" cm="1">
        <f t="array" ref="AL258">_xlfn.IFS(Table1[[#This Row],[Attrition]]="Yes","Resigned",Table1[[#This Row],[Attrition]]="No","Active")</f>
        <v>Active</v>
      </c>
      <c r="AM258" t="str" cm="1">
        <f t="array" ref="AM258">_xlfn.IFS(Table1[[#This Row],[YearsAtCompany]]&lt;=1,"0-1 Year",Table1[[#This Row],[YearsAtCompany]]&lt;=2,"1-2 Years",Table1[[#This Row],[YearsAtCompany]]&lt;=3,"2-3 Years",Table1[[#This Row],[YearsAtCompany]]&lt;=4,"3-4 Years",Table1[[#This Row],[YearsAtCompany]]&lt;=5,"4-5 Years",Table1[[#This Row],[YearsAtCompany]]&gt;5,"&gt;5 Years")</f>
        <v>&gt;5 Years</v>
      </c>
    </row>
    <row r="259" spans="1:39" hidden="1" x14ac:dyDescent="0.45">
      <c r="A259">
        <v>40</v>
      </c>
      <c r="B259" t="s">
        <v>43</v>
      </c>
      <c r="C259" t="s">
        <v>64</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_xlfn.IFS(Table1[[#This Row],[Age]]&lt;30,"Young",Table1[[#This Row],[Age]]&lt;=40,"Adult",Table1[[#This Row],[Age]]&gt;40,"Senior")</f>
        <v>Adult</v>
      </c>
      <c r="AK259" t="str" cm="1">
        <f t="array" ref="AK259">_xlfn.IFS(Table1[[#This Row],[MonthlyIncome]]&lt;5000,"Low",Table1[[#This Row],[MonthlyIncome]]&lt;10000,"Medium",Table1[[#This Row],[MonthlyIncome]]&gt;10000,"High")</f>
        <v>High</v>
      </c>
      <c r="AL259" t="str" cm="1">
        <f t="array" ref="AL259">_xlfn.IFS(Table1[[#This Row],[Attrition]]="Yes","Resigned",Table1[[#This Row],[Attrition]]="No","Active")</f>
        <v>Active</v>
      </c>
      <c r="AM259" t="str" cm="1">
        <f t="array" ref="AM259">_xlfn.IFS(Table1[[#This Row],[YearsAtCompany]]&lt;=1,"0-1 Year",Table1[[#This Row],[YearsAtCompany]]&lt;=2,"1-2 Years",Table1[[#This Row],[YearsAtCompany]]&lt;=3,"2-3 Years",Table1[[#This Row],[YearsAtCompany]]&lt;=4,"3-4 Years",Table1[[#This Row],[YearsAtCompany]]&lt;=5,"4-5 Years",Table1[[#This Row],[YearsAtCompany]]&gt;5,"&gt;5 Years")</f>
        <v>&gt;5 Years</v>
      </c>
    </row>
    <row r="260" spans="1:39" hidden="1" x14ac:dyDescent="0.45">
      <c r="A260">
        <v>51</v>
      </c>
      <c r="B260" t="s">
        <v>43</v>
      </c>
      <c r="C260" t="s">
        <v>64</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_xlfn.IFS(Table1[[#This Row],[Age]]&lt;30,"Young",Table1[[#This Row],[Age]]&lt;=40,"Adult",Table1[[#This Row],[Age]]&gt;40,"Senior")</f>
        <v>Senior</v>
      </c>
      <c r="AK260" t="str" cm="1">
        <f t="array" ref="AK260">_xlfn.IFS(Table1[[#This Row],[MonthlyIncome]]&lt;5000,"Low",Table1[[#This Row],[MonthlyIncome]]&lt;10000,"Medium",Table1[[#This Row],[MonthlyIncome]]&gt;10000,"High")</f>
        <v>Low</v>
      </c>
      <c r="AL260" t="str" cm="1">
        <f t="array" ref="AL260">_xlfn.IFS(Table1[[#This Row],[Attrition]]="Yes","Resigned",Table1[[#This Row],[Attrition]]="No","Active")</f>
        <v>Active</v>
      </c>
      <c r="AM260" t="str" cm="1">
        <f t="array" ref="AM260">_xlfn.IFS(Table1[[#This Row],[YearsAtCompany]]&lt;=1,"0-1 Year",Table1[[#This Row],[YearsAtCompany]]&lt;=2,"1-2 Years",Table1[[#This Row],[YearsAtCompany]]&lt;=3,"2-3 Years",Table1[[#This Row],[YearsAtCompany]]&lt;=4,"3-4 Years",Table1[[#This Row],[YearsAtCompany]]&lt;=5,"4-5 Years",Table1[[#This Row],[YearsAtCompany]]&gt;5,"&gt;5 Years")</f>
        <v>0-1 Year</v>
      </c>
    </row>
    <row r="261" spans="1:39" hidden="1" x14ac:dyDescent="0.45">
      <c r="A261">
        <v>31</v>
      </c>
      <c r="B261" t="s">
        <v>35</v>
      </c>
      <c r="C261" t="s">
        <v>63</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_xlfn.IFS(Table1[[#This Row],[Age]]&lt;30,"Young",Table1[[#This Row],[Age]]&lt;=40,"Adult",Table1[[#This Row],[Age]]&gt;40,"Senior")</f>
        <v>Adult</v>
      </c>
      <c r="AK261" t="str" cm="1">
        <f t="array" ref="AK261">_xlfn.IFS(Table1[[#This Row],[MonthlyIncome]]&lt;5000,"Low",Table1[[#This Row],[MonthlyIncome]]&lt;10000,"Medium",Table1[[#This Row],[MonthlyIncome]]&gt;10000,"High")</f>
        <v>Low</v>
      </c>
      <c r="AL261" t="str" cm="1">
        <f t="array" ref="AL261">_xlfn.IFS(Table1[[#This Row],[Attrition]]="Yes","Resigned",Table1[[#This Row],[Attrition]]="No","Active")</f>
        <v>Resigned</v>
      </c>
      <c r="AM261" t="str" cm="1">
        <f t="array" ref="AM261">_xlfn.IFS(Table1[[#This Row],[YearsAtCompany]]&lt;=1,"0-1 Year",Table1[[#This Row],[YearsAtCompany]]&lt;=2,"1-2 Years",Table1[[#This Row],[YearsAtCompany]]&lt;=3,"2-3 Years",Table1[[#This Row],[YearsAtCompany]]&lt;=4,"3-4 Years",Table1[[#This Row],[YearsAtCompany]]&lt;=5,"4-5 Years",Table1[[#This Row],[YearsAtCompany]]&gt;5,"&gt;5 Years")</f>
        <v>4-5 Years</v>
      </c>
    </row>
    <row r="262" spans="1:39" hidden="1" x14ac:dyDescent="0.45">
      <c r="A262">
        <v>32</v>
      </c>
      <c r="B262" t="s">
        <v>43</v>
      </c>
      <c r="C262" t="s">
        <v>63</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_xlfn.IFS(Table1[[#This Row],[Age]]&lt;30,"Young",Table1[[#This Row],[Age]]&lt;=40,"Adult",Table1[[#This Row],[Age]]&gt;40,"Senior")</f>
        <v>Adult</v>
      </c>
      <c r="AK262" t="str" cm="1">
        <f t="array" ref="AK262">_xlfn.IFS(Table1[[#This Row],[MonthlyIncome]]&lt;5000,"Low",Table1[[#This Row],[MonthlyIncome]]&lt;10000,"Medium",Table1[[#This Row],[MonthlyIncome]]&gt;10000,"High")</f>
        <v>Low</v>
      </c>
      <c r="AL262" t="str" cm="1">
        <f t="array" ref="AL262">_xlfn.IFS(Table1[[#This Row],[Attrition]]="Yes","Resigned",Table1[[#This Row],[Attrition]]="No","Active")</f>
        <v>Active</v>
      </c>
      <c r="AM262" t="str" cm="1">
        <f t="array" ref="AM262">_xlfn.IFS(Table1[[#This Row],[YearsAtCompany]]&lt;=1,"0-1 Year",Table1[[#This Row],[YearsAtCompany]]&lt;=2,"1-2 Years",Table1[[#This Row],[YearsAtCompany]]&lt;=3,"2-3 Years",Table1[[#This Row],[YearsAtCompany]]&lt;=4,"3-4 Years",Table1[[#This Row],[YearsAtCompany]]&lt;=5,"4-5 Years",Table1[[#This Row],[YearsAtCompany]]&gt;5,"&gt;5 Years")</f>
        <v>4-5 Years</v>
      </c>
    </row>
    <row r="263" spans="1:39" x14ac:dyDescent="0.45">
      <c r="A263">
        <v>38</v>
      </c>
      <c r="B263" t="s">
        <v>43</v>
      </c>
      <c r="C263" t="s">
        <v>62</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_xlfn.IFS(Table1[[#This Row],[Age]]&lt;30,"Young",Table1[[#This Row],[Age]]&lt;=40,"Adult",Table1[[#This Row],[Age]]&gt;40,"Senior")</f>
        <v>Adult</v>
      </c>
      <c r="AK263" t="str" cm="1">
        <f t="array" ref="AK263">_xlfn.IFS(Table1[[#This Row],[MonthlyIncome]]&lt;5000,"Low",Table1[[#This Row],[MonthlyIncome]]&lt;10000,"Medium",Table1[[#This Row],[MonthlyIncome]]&gt;10000,"High")</f>
        <v>Medium</v>
      </c>
      <c r="AL263" t="str" cm="1">
        <f t="array" ref="AL263">_xlfn.IFS(Table1[[#This Row],[Attrition]]="Yes","Resigned",Table1[[#This Row],[Attrition]]="No","Active")</f>
        <v>Active</v>
      </c>
      <c r="AM263" t="str" cm="1">
        <f t="array" ref="AM263">_xlfn.IFS(Table1[[#This Row],[YearsAtCompany]]&lt;=1,"0-1 Year",Table1[[#This Row],[YearsAtCompany]]&lt;=2,"1-2 Years",Table1[[#This Row],[YearsAtCompany]]&lt;=3,"2-3 Years",Table1[[#This Row],[YearsAtCompany]]&lt;=4,"3-4 Years",Table1[[#This Row],[YearsAtCompany]]&lt;=5,"4-5 Years",Table1[[#This Row],[YearsAtCompany]]&gt;5,"&gt;5 Years")</f>
        <v>&gt;5 Years</v>
      </c>
    </row>
    <row r="264" spans="1:39" hidden="1" x14ac:dyDescent="0.45">
      <c r="A264">
        <v>32</v>
      </c>
      <c r="B264" t="s">
        <v>43</v>
      </c>
      <c r="C264" t="s">
        <v>64</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_xlfn.IFS(Table1[[#This Row],[Age]]&lt;30,"Young",Table1[[#This Row],[Age]]&lt;=40,"Adult",Table1[[#This Row],[Age]]&gt;40,"Senior")</f>
        <v>Adult</v>
      </c>
      <c r="AK264" t="str" cm="1">
        <f t="array" ref="AK264">_xlfn.IFS(Table1[[#This Row],[MonthlyIncome]]&lt;5000,"Low",Table1[[#This Row],[MonthlyIncome]]&lt;10000,"Medium",Table1[[#This Row],[MonthlyIncome]]&gt;10000,"High")</f>
        <v>Low</v>
      </c>
      <c r="AL264" t="str" cm="1">
        <f t="array" ref="AL264">_xlfn.IFS(Table1[[#This Row],[Attrition]]="Yes","Resigned",Table1[[#This Row],[Attrition]]="No","Active")</f>
        <v>Active</v>
      </c>
      <c r="AM264" t="str" cm="1">
        <f t="array" ref="AM264">_xlfn.IFS(Table1[[#This Row],[YearsAtCompany]]&lt;=1,"0-1 Year",Table1[[#This Row],[YearsAtCompany]]&lt;=2,"1-2 Years",Table1[[#This Row],[YearsAtCompany]]&lt;=3,"2-3 Years",Table1[[#This Row],[YearsAtCompany]]&lt;=4,"3-4 Years",Table1[[#This Row],[YearsAtCompany]]&lt;=5,"4-5 Years",Table1[[#This Row],[YearsAtCompany]]&gt;5,"&gt;5 Years")</f>
        <v>&gt;5 Years</v>
      </c>
    </row>
    <row r="265" spans="1:39" x14ac:dyDescent="0.45">
      <c r="A265">
        <v>46</v>
      </c>
      <c r="B265" t="s">
        <v>43</v>
      </c>
      <c r="C265" t="s">
        <v>64</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_xlfn.IFS(Table1[[#This Row],[Age]]&lt;30,"Young",Table1[[#This Row],[Age]]&lt;=40,"Adult",Table1[[#This Row],[Age]]&gt;40,"Senior")</f>
        <v>Senior</v>
      </c>
      <c r="AK265" t="str" cm="1">
        <f t="array" ref="AK265">_xlfn.IFS(Table1[[#This Row],[MonthlyIncome]]&lt;5000,"Low",Table1[[#This Row],[MonthlyIncome]]&lt;10000,"Medium",Table1[[#This Row],[MonthlyIncome]]&gt;10000,"High")</f>
        <v>High</v>
      </c>
      <c r="AL265" t="str" cm="1">
        <f t="array" ref="AL265">_xlfn.IFS(Table1[[#This Row],[Attrition]]="Yes","Resigned",Table1[[#This Row],[Attrition]]="No","Active")</f>
        <v>Active</v>
      </c>
      <c r="AM265" t="str" cm="1">
        <f t="array" ref="AM265">_xlfn.IFS(Table1[[#This Row],[YearsAtCompany]]&lt;=1,"0-1 Year",Table1[[#This Row],[YearsAtCompany]]&lt;=2,"1-2 Years",Table1[[#This Row],[YearsAtCompany]]&lt;=3,"2-3 Years",Table1[[#This Row],[YearsAtCompany]]&lt;=4,"3-4 Years",Table1[[#This Row],[YearsAtCompany]]&lt;=5,"4-5 Years",Table1[[#This Row],[YearsAtCompany]]&gt;5,"&gt;5 Years")</f>
        <v>&gt;5 Years</v>
      </c>
    </row>
    <row r="266" spans="1:39" hidden="1" x14ac:dyDescent="0.45">
      <c r="A266">
        <v>28</v>
      </c>
      <c r="B266" t="s">
        <v>35</v>
      </c>
      <c r="C266" t="s">
        <v>64</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_xlfn.IFS(Table1[[#This Row],[Age]]&lt;30,"Young",Table1[[#This Row],[Age]]&lt;=40,"Adult",Table1[[#This Row],[Age]]&gt;40,"Senior")</f>
        <v>Young</v>
      </c>
      <c r="AK266" t="str" cm="1">
        <f t="array" ref="AK266">_xlfn.IFS(Table1[[#This Row],[MonthlyIncome]]&lt;5000,"Low",Table1[[#This Row],[MonthlyIncome]]&lt;10000,"Medium",Table1[[#This Row],[MonthlyIncome]]&gt;10000,"High")</f>
        <v>Low</v>
      </c>
      <c r="AL266" t="str" cm="1">
        <f t="array" ref="AL266">_xlfn.IFS(Table1[[#This Row],[Attrition]]="Yes","Resigned",Table1[[#This Row],[Attrition]]="No","Active")</f>
        <v>Resigned</v>
      </c>
      <c r="AM266" t="str" cm="1">
        <f t="array" ref="AM266">_xlfn.IFS(Table1[[#This Row],[YearsAtCompany]]&lt;=1,"0-1 Year",Table1[[#This Row],[YearsAtCompany]]&lt;=2,"1-2 Years",Table1[[#This Row],[YearsAtCompany]]&lt;=3,"2-3 Years",Table1[[#This Row],[YearsAtCompany]]&lt;=4,"3-4 Years",Table1[[#This Row],[YearsAtCompany]]&lt;=5,"4-5 Years",Table1[[#This Row],[YearsAtCompany]]&gt;5,"&gt;5 Years")</f>
        <v>0-1 Year</v>
      </c>
    </row>
    <row r="267" spans="1:39" x14ac:dyDescent="0.45">
      <c r="A267">
        <v>29</v>
      </c>
      <c r="B267" t="s">
        <v>43</v>
      </c>
      <c r="C267" t="s">
        <v>64</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_xlfn.IFS(Table1[[#This Row],[Age]]&lt;30,"Young",Table1[[#This Row],[Age]]&lt;=40,"Adult",Table1[[#This Row],[Age]]&gt;40,"Senior")</f>
        <v>Young</v>
      </c>
      <c r="AK267" t="str" cm="1">
        <f t="array" ref="AK267">_xlfn.IFS(Table1[[#This Row],[MonthlyIncome]]&lt;5000,"Low",Table1[[#This Row],[MonthlyIncome]]&lt;10000,"Medium",Table1[[#This Row],[MonthlyIncome]]&gt;10000,"High")</f>
        <v>Medium</v>
      </c>
      <c r="AL267" t="str" cm="1">
        <f t="array" ref="AL267">_xlfn.IFS(Table1[[#This Row],[Attrition]]="Yes","Resigned",Table1[[#This Row],[Attrition]]="No","Active")</f>
        <v>Active</v>
      </c>
      <c r="AM267" t="str" cm="1">
        <f t="array" ref="AM267">_xlfn.IFS(Table1[[#This Row],[YearsAtCompany]]&lt;=1,"0-1 Year",Table1[[#This Row],[YearsAtCompany]]&lt;=2,"1-2 Years",Table1[[#This Row],[YearsAtCompany]]&lt;=3,"2-3 Years",Table1[[#This Row],[YearsAtCompany]]&lt;=4,"3-4 Years",Table1[[#This Row],[YearsAtCompany]]&lt;=5,"4-5 Years",Table1[[#This Row],[YearsAtCompany]]&gt;5,"&gt;5 Years")</f>
        <v>0-1 Year</v>
      </c>
    </row>
    <row r="268" spans="1:39" hidden="1" x14ac:dyDescent="0.45">
      <c r="A268">
        <v>31</v>
      </c>
      <c r="B268" t="s">
        <v>43</v>
      </c>
      <c r="C268" t="s">
        <v>64</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_xlfn.IFS(Table1[[#This Row],[Age]]&lt;30,"Young",Table1[[#This Row],[Age]]&lt;=40,"Adult",Table1[[#This Row],[Age]]&gt;40,"Senior")</f>
        <v>Adult</v>
      </c>
      <c r="AK268" t="str" cm="1">
        <f t="array" ref="AK268">_xlfn.IFS(Table1[[#This Row],[MonthlyIncome]]&lt;5000,"Low",Table1[[#This Row],[MonthlyIncome]]&lt;10000,"Medium",Table1[[#This Row],[MonthlyIncome]]&gt;10000,"High")</f>
        <v>Medium</v>
      </c>
      <c r="AL268" t="str" cm="1">
        <f t="array" ref="AL268">_xlfn.IFS(Table1[[#This Row],[Attrition]]="Yes","Resigned",Table1[[#This Row],[Attrition]]="No","Active")</f>
        <v>Active</v>
      </c>
      <c r="AM268" t="str" cm="1">
        <f t="array" ref="AM268">_xlfn.IFS(Table1[[#This Row],[YearsAtCompany]]&lt;=1,"0-1 Year",Table1[[#This Row],[YearsAtCompany]]&lt;=2,"1-2 Years",Table1[[#This Row],[YearsAtCompany]]&lt;=3,"2-3 Years",Table1[[#This Row],[YearsAtCompany]]&lt;=4,"3-4 Years",Table1[[#This Row],[YearsAtCompany]]&lt;=5,"4-5 Years",Table1[[#This Row],[YearsAtCompany]]&gt;5,"&gt;5 Years")</f>
        <v>&gt;5 Years</v>
      </c>
    </row>
    <row r="269" spans="1:39" hidden="1" x14ac:dyDescent="0.45">
      <c r="A269">
        <v>25</v>
      </c>
      <c r="B269" t="s">
        <v>43</v>
      </c>
      <c r="C269" t="s">
        <v>62</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_xlfn.IFS(Table1[[#This Row],[Age]]&lt;30,"Young",Table1[[#This Row],[Age]]&lt;=40,"Adult",Table1[[#This Row],[Age]]&gt;40,"Senior")</f>
        <v>Young</v>
      </c>
      <c r="AK269" t="str" cm="1">
        <f t="array" ref="AK269">_xlfn.IFS(Table1[[#This Row],[MonthlyIncome]]&lt;5000,"Low",Table1[[#This Row],[MonthlyIncome]]&lt;10000,"Medium",Table1[[#This Row],[MonthlyIncome]]&gt;10000,"High")</f>
        <v>Low</v>
      </c>
      <c r="AL269" t="str" cm="1">
        <f t="array" ref="AL269">_xlfn.IFS(Table1[[#This Row],[Attrition]]="Yes","Resigned",Table1[[#This Row],[Attrition]]="No","Active")</f>
        <v>Active</v>
      </c>
      <c r="AM269" t="str" cm="1">
        <f t="array" ref="AM269">_xlfn.IFS(Table1[[#This Row],[YearsAtCompany]]&lt;=1,"0-1 Year",Table1[[#This Row],[YearsAtCompany]]&lt;=2,"1-2 Years",Table1[[#This Row],[YearsAtCompany]]&lt;=3,"2-3 Years",Table1[[#This Row],[YearsAtCompany]]&lt;=4,"3-4 Years",Table1[[#This Row],[YearsAtCompany]]&lt;=5,"4-5 Years",Table1[[#This Row],[YearsAtCompany]]&gt;5,"&gt;5 Years")</f>
        <v>&gt;5 Years</v>
      </c>
    </row>
    <row r="270" spans="1:39" hidden="1" x14ac:dyDescent="0.45">
      <c r="A270">
        <v>45</v>
      </c>
      <c r="B270" t="s">
        <v>43</v>
      </c>
      <c r="C270" t="s">
        <v>64</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_xlfn.IFS(Table1[[#This Row],[Age]]&lt;30,"Young",Table1[[#This Row],[Age]]&lt;=40,"Adult",Table1[[#This Row],[Age]]&gt;40,"Senior")</f>
        <v>Senior</v>
      </c>
      <c r="AK270" t="str" cm="1">
        <f t="array" ref="AK270">_xlfn.IFS(Table1[[#This Row],[MonthlyIncome]]&lt;5000,"Low",Table1[[#This Row],[MonthlyIncome]]&lt;10000,"Medium",Table1[[#This Row],[MonthlyIncome]]&gt;10000,"High")</f>
        <v>High</v>
      </c>
      <c r="AL270" t="str" cm="1">
        <f t="array" ref="AL270">_xlfn.IFS(Table1[[#This Row],[Attrition]]="Yes","Resigned",Table1[[#This Row],[Attrition]]="No","Active")</f>
        <v>Active</v>
      </c>
      <c r="AM270" t="str" cm="1">
        <f t="array" ref="AM270">_xlfn.IFS(Table1[[#This Row],[YearsAtCompany]]&lt;=1,"0-1 Year",Table1[[#This Row],[YearsAtCompany]]&lt;=2,"1-2 Years",Table1[[#This Row],[YearsAtCompany]]&lt;=3,"2-3 Years",Table1[[#This Row],[YearsAtCompany]]&lt;=4,"3-4 Years",Table1[[#This Row],[YearsAtCompany]]&lt;=5,"4-5 Years",Table1[[#This Row],[YearsAtCompany]]&gt;5,"&gt;5 Years")</f>
        <v>&gt;5 Years</v>
      </c>
    </row>
    <row r="271" spans="1:39" hidden="1" x14ac:dyDescent="0.45">
      <c r="A271">
        <v>36</v>
      </c>
      <c r="B271" t="s">
        <v>43</v>
      </c>
      <c r="C271" t="s">
        <v>64</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_xlfn.IFS(Table1[[#This Row],[Age]]&lt;30,"Young",Table1[[#This Row],[Age]]&lt;=40,"Adult",Table1[[#This Row],[Age]]&gt;40,"Senior")</f>
        <v>Adult</v>
      </c>
      <c r="AK271" t="str" cm="1">
        <f t="array" ref="AK271">_xlfn.IFS(Table1[[#This Row],[MonthlyIncome]]&lt;5000,"Low",Table1[[#This Row],[MonthlyIncome]]&lt;10000,"Medium",Table1[[#This Row],[MonthlyIncome]]&gt;10000,"High")</f>
        <v>Low</v>
      </c>
      <c r="AL271" t="str" cm="1">
        <f t="array" ref="AL271">_xlfn.IFS(Table1[[#This Row],[Attrition]]="Yes","Resigned",Table1[[#This Row],[Attrition]]="No","Active")</f>
        <v>Active</v>
      </c>
      <c r="AM271" t="str" cm="1">
        <f t="array" ref="AM271">_xlfn.IFS(Table1[[#This Row],[YearsAtCompany]]&lt;=1,"0-1 Year",Table1[[#This Row],[YearsAtCompany]]&lt;=2,"1-2 Years",Table1[[#This Row],[YearsAtCompany]]&lt;=3,"2-3 Years",Table1[[#This Row],[YearsAtCompany]]&lt;=4,"3-4 Years",Table1[[#This Row],[YearsAtCompany]]&lt;=5,"4-5 Years",Table1[[#This Row],[YearsAtCompany]]&gt;5,"&gt;5 Years")</f>
        <v>&gt;5 Years</v>
      </c>
    </row>
    <row r="272" spans="1:39" hidden="1" x14ac:dyDescent="0.45">
      <c r="A272">
        <v>55</v>
      </c>
      <c r="B272" t="s">
        <v>43</v>
      </c>
      <c r="C272" t="s">
        <v>64</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_xlfn.IFS(Table1[[#This Row],[Age]]&lt;30,"Young",Table1[[#This Row],[Age]]&lt;=40,"Adult",Table1[[#This Row],[Age]]&gt;40,"Senior")</f>
        <v>Senior</v>
      </c>
      <c r="AK272" t="str" cm="1">
        <f t="array" ref="AK272">_xlfn.IFS(Table1[[#This Row],[MonthlyIncome]]&lt;5000,"Low",Table1[[#This Row],[MonthlyIncome]]&lt;10000,"Medium",Table1[[#This Row],[MonthlyIncome]]&gt;10000,"High")</f>
        <v>High</v>
      </c>
      <c r="AL272" t="str" cm="1">
        <f t="array" ref="AL272">_xlfn.IFS(Table1[[#This Row],[Attrition]]="Yes","Resigned",Table1[[#This Row],[Attrition]]="No","Active")</f>
        <v>Active</v>
      </c>
      <c r="AM272" t="str" cm="1">
        <f t="array" ref="AM272">_xlfn.IFS(Table1[[#This Row],[YearsAtCompany]]&lt;=1,"0-1 Year",Table1[[#This Row],[YearsAtCompany]]&lt;=2,"1-2 Years",Table1[[#This Row],[YearsAtCompany]]&lt;=3,"2-3 Years",Table1[[#This Row],[YearsAtCompany]]&lt;=4,"3-4 Years",Table1[[#This Row],[YearsAtCompany]]&lt;=5,"4-5 Years",Table1[[#This Row],[YearsAtCompany]]&gt;5,"&gt;5 Years")</f>
        <v>&gt;5 Years</v>
      </c>
    </row>
    <row r="273" spans="1:39" hidden="1" x14ac:dyDescent="0.45">
      <c r="A273">
        <v>47</v>
      </c>
      <c r="B273" t="s">
        <v>35</v>
      </c>
      <c r="C273" t="s">
        <v>62</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_xlfn.IFS(Table1[[#This Row],[Age]]&lt;30,"Young",Table1[[#This Row],[Age]]&lt;=40,"Adult",Table1[[#This Row],[Age]]&gt;40,"Senior")</f>
        <v>Senior</v>
      </c>
      <c r="AK273" t="str" cm="1">
        <f t="array" ref="AK273">_xlfn.IFS(Table1[[#This Row],[MonthlyIncome]]&lt;5000,"Low",Table1[[#This Row],[MonthlyIncome]]&lt;10000,"Medium",Table1[[#This Row],[MonthlyIncome]]&gt;10000,"High")</f>
        <v>High</v>
      </c>
      <c r="AL273" t="str" cm="1">
        <f t="array" ref="AL273">_xlfn.IFS(Table1[[#This Row],[Attrition]]="Yes","Resigned",Table1[[#This Row],[Attrition]]="No","Active")</f>
        <v>Resigned</v>
      </c>
      <c r="AM273" t="str" cm="1">
        <f t="array" ref="AM273">_xlfn.IFS(Table1[[#This Row],[YearsAtCompany]]&lt;=1,"0-1 Year",Table1[[#This Row],[YearsAtCompany]]&lt;=2,"1-2 Years",Table1[[#This Row],[YearsAtCompany]]&lt;=3,"2-3 Years",Table1[[#This Row],[YearsAtCompany]]&lt;=4,"3-4 Years",Table1[[#This Row],[YearsAtCompany]]&lt;=5,"4-5 Years",Table1[[#This Row],[YearsAtCompany]]&gt;5,"&gt;5 Years")</f>
        <v>&gt;5 Years</v>
      </c>
    </row>
    <row r="274" spans="1:39" hidden="1" x14ac:dyDescent="0.45">
      <c r="A274">
        <v>28</v>
      </c>
      <c r="B274" t="s">
        <v>43</v>
      </c>
      <c r="C274" t="s">
        <v>64</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_xlfn.IFS(Table1[[#This Row],[Age]]&lt;30,"Young",Table1[[#This Row],[Age]]&lt;=40,"Adult",Table1[[#This Row],[Age]]&gt;40,"Senior")</f>
        <v>Young</v>
      </c>
      <c r="AK274" t="str" cm="1">
        <f t="array" ref="AK274">_xlfn.IFS(Table1[[#This Row],[MonthlyIncome]]&lt;5000,"Low",Table1[[#This Row],[MonthlyIncome]]&lt;10000,"Medium",Table1[[#This Row],[MonthlyIncome]]&gt;10000,"High")</f>
        <v>Low</v>
      </c>
      <c r="AL274" t="str" cm="1">
        <f t="array" ref="AL274">_xlfn.IFS(Table1[[#This Row],[Attrition]]="Yes","Resigned",Table1[[#This Row],[Attrition]]="No","Active")</f>
        <v>Active</v>
      </c>
      <c r="AM274" t="str" cm="1">
        <f t="array" ref="AM274">_xlfn.IFS(Table1[[#This Row],[YearsAtCompany]]&lt;=1,"0-1 Year",Table1[[#This Row],[YearsAtCompany]]&lt;=2,"1-2 Years",Table1[[#This Row],[YearsAtCompany]]&lt;=3,"2-3 Years",Table1[[#This Row],[YearsAtCompany]]&lt;=4,"3-4 Years",Table1[[#This Row],[YearsAtCompany]]&lt;=5,"4-5 Years",Table1[[#This Row],[YearsAtCompany]]&gt;5,"&gt;5 Years")</f>
        <v>4-5 Years</v>
      </c>
    </row>
    <row r="275" spans="1:39" x14ac:dyDescent="0.45">
      <c r="A275">
        <v>37</v>
      </c>
      <c r="B275" t="s">
        <v>43</v>
      </c>
      <c r="C275" t="s">
        <v>64</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_xlfn.IFS(Table1[[#This Row],[Age]]&lt;30,"Young",Table1[[#This Row],[Age]]&lt;=40,"Adult",Table1[[#This Row],[Age]]&gt;40,"Senior")</f>
        <v>Adult</v>
      </c>
      <c r="AK275" t="str" cm="1">
        <f t="array" ref="AK275">_xlfn.IFS(Table1[[#This Row],[MonthlyIncome]]&lt;5000,"Low",Table1[[#This Row],[MonthlyIncome]]&lt;10000,"Medium",Table1[[#This Row],[MonthlyIncome]]&gt;10000,"High")</f>
        <v>Medium</v>
      </c>
      <c r="AL275" t="str" cm="1">
        <f t="array" ref="AL275">_xlfn.IFS(Table1[[#This Row],[Attrition]]="Yes","Resigned",Table1[[#This Row],[Attrition]]="No","Active")</f>
        <v>Active</v>
      </c>
      <c r="AM275" t="str" cm="1">
        <f t="array" ref="AM275">_xlfn.IFS(Table1[[#This Row],[YearsAtCompany]]&lt;=1,"0-1 Year",Table1[[#This Row],[YearsAtCompany]]&lt;=2,"1-2 Years",Table1[[#This Row],[YearsAtCompany]]&lt;=3,"2-3 Years",Table1[[#This Row],[YearsAtCompany]]&lt;=4,"3-4 Years",Table1[[#This Row],[YearsAtCompany]]&lt;=5,"4-5 Years",Table1[[#This Row],[YearsAtCompany]]&gt;5,"&gt;5 Years")</f>
        <v>4-5 Years</v>
      </c>
    </row>
    <row r="276" spans="1:39" hidden="1" x14ac:dyDescent="0.45">
      <c r="A276">
        <v>21</v>
      </c>
      <c r="B276" t="s">
        <v>43</v>
      </c>
      <c r="C276" t="s">
        <v>64</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_xlfn.IFS(Table1[[#This Row],[Age]]&lt;30,"Young",Table1[[#This Row],[Age]]&lt;=40,"Adult",Table1[[#This Row],[Age]]&gt;40,"Senior")</f>
        <v>Young</v>
      </c>
      <c r="AK276" t="str" cm="1">
        <f t="array" ref="AK276">_xlfn.IFS(Table1[[#This Row],[MonthlyIncome]]&lt;5000,"Low",Table1[[#This Row],[MonthlyIncome]]&lt;10000,"Medium",Table1[[#This Row],[MonthlyIncome]]&gt;10000,"High")</f>
        <v>Low</v>
      </c>
      <c r="AL276" t="str" cm="1">
        <f t="array" ref="AL276">_xlfn.IFS(Table1[[#This Row],[Attrition]]="Yes","Resigned",Table1[[#This Row],[Attrition]]="No","Active")</f>
        <v>Active</v>
      </c>
      <c r="AM276" t="str" cm="1">
        <f t="array" ref="AM276">_xlfn.IFS(Table1[[#This Row],[YearsAtCompany]]&lt;=1,"0-1 Year",Table1[[#This Row],[YearsAtCompany]]&lt;=2,"1-2 Years",Table1[[#This Row],[YearsAtCompany]]&lt;=3,"2-3 Years",Table1[[#This Row],[YearsAtCompany]]&lt;=4,"3-4 Years",Table1[[#This Row],[YearsAtCompany]]&lt;=5,"4-5 Years",Table1[[#This Row],[YearsAtCompany]]&gt;5,"&gt;5 Years")</f>
        <v>2-3 Years</v>
      </c>
    </row>
    <row r="277" spans="1:39" hidden="1" x14ac:dyDescent="0.45">
      <c r="A277">
        <v>37</v>
      </c>
      <c r="B277" t="s">
        <v>43</v>
      </c>
      <c r="C277" t="s">
        <v>62</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_xlfn.IFS(Table1[[#This Row],[Age]]&lt;30,"Young",Table1[[#This Row],[Age]]&lt;=40,"Adult",Table1[[#This Row],[Age]]&gt;40,"Senior")</f>
        <v>Adult</v>
      </c>
      <c r="AK277" t="str" cm="1">
        <f t="array" ref="AK277">_xlfn.IFS(Table1[[#This Row],[MonthlyIncome]]&lt;5000,"Low",Table1[[#This Row],[MonthlyIncome]]&lt;10000,"Medium",Table1[[#This Row],[MonthlyIncome]]&gt;10000,"High")</f>
        <v>High</v>
      </c>
      <c r="AL277" t="str" cm="1">
        <f t="array" ref="AL277">_xlfn.IFS(Table1[[#This Row],[Attrition]]="Yes","Resigned",Table1[[#This Row],[Attrition]]="No","Active")</f>
        <v>Active</v>
      </c>
      <c r="AM277" t="str" cm="1">
        <f t="array" ref="AM277">_xlfn.IFS(Table1[[#This Row],[YearsAtCompany]]&lt;=1,"0-1 Year",Table1[[#This Row],[YearsAtCompany]]&lt;=2,"1-2 Years",Table1[[#This Row],[YearsAtCompany]]&lt;=3,"2-3 Years",Table1[[#This Row],[YearsAtCompany]]&lt;=4,"3-4 Years",Table1[[#This Row],[YearsAtCompany]]&lt;=5,"4-5 Years",Table1[[#This Row],[YearsAtCompany]]&gt;5,"&gt;5 Years")</f>
        <v>4-5 Years</v>
      </c>
    </row>
    <row r="278" spans="1:39" hidden="1" x14ac:dyDescent="0.45">
      <c r="A278">
        <v>35</v>
      </c>
      <c r="B278" t="s">
        <v>43</v>
      </c>
      <c r="C278" t="s">
        <v>64</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_xlfn.IFS(Table1[[#This Row],[Age]]&lt;30,"Young",Table1[[#This Row],[Age]]&lt;=40,"Adult",Table1[[#This Row],[Age]]&gt;40,"Senior")</f>
        <v>Adult</v>
      </c>
      <c r="AK278" t="str" cm="1">
        <f t="array" ref="AK278">_xlfn.IFS(Table1[[#This Row],[MonthlyIncome]]&lt;5000,"Low",Table1[[#This Row],[MonthlyIncome]]&lt;10000,"Medium",Table1[[#This Row],[MonthlyIncome]]&gt;10000,"High")</f>
        <v>High</v>
      </c>
      <c r="AL278" t="str" cm="1">
        <f t="array" ref="AL278">_xlfn.IFS(Table1[[#This Row],[Attrition]]="Yes","Resigned",Table1[[#This Row],[Attrition]]="No","Active")</f>
        <v>Active</v>
      </c>
      <c r="AM278" t="str" cm="1">
        <f t="array" ref="AM278">_xlfn.IFS(Table1[[#This Row],[YearsAtCompany]]&lt;=1,"0-1 Year",Table1[[#This Row],[YearsAtCompany]]&lt;=2,"1-2 Years",Table1[[#This Row],[YearsAtCompany]]&lt;=3,"2-3 Years",Table1[[#This Row],[YearsAtCompany]]&lt;=4,"3-4 Years",Table1[[#This Row],[YearsAtCompany]]&lt;=5,"4-5 Years",Table1[[#This Row],[YearsAtCompany]]&gt;5,"&gt;5 Years")</f>
        <v>&gt;5 Years</v>
      </c>
    </row>
    <row r="279" spans="1:39" x14ac:dyDescent="0.45">
      <c r="A279">
        <v>38</v>
      </c>
      <c r="B279" t="s">
        <v>43</v>
      </c>
      <c r="C279" t="s">
        <v>64</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_xlfn.IFS(Table1[[#This Row],[Age]]&lt;30,"Young",Table1[[#This Row],[Age]]&lt;=40,"Adult",Table1[[#This Row],[Age]]&gt;40,"Senior")</f>
        <v>Adult</v>
      </c>
      <c r="AK279" t="str" cm="1">
        <f t="array" ref="AK279">_xlfn.IFS(Table1[[#This Row],[MonthlyIncome]]&lt;5000,"Low",Table1[[#This Row],[MonthlyIncome]]&lt;10000,"Medium",Table1[[#This Row],[MonthlyIncome]]&gt;10000,"High")</f>
        <v>Medium</v>
      </c>
      <c r="AL279" t="str" cm="1">
        <f t="array" ref="AL279">_xlfn.IFS(Table1[[#This Row],[Attrition]]="Yes","Resigned",Table1[[#This Row],[Attrition]]="No","Active")</f>
        <v>Active</v>
      </c>
      <c r="AM279" t="str" cm="1">
        <f t="array" ref="AM279">_xlfn.IFS(Table1[[#This Row],[YearsAtCompany]]&lt;=1,"0-1 Year",Table1[[#This Row],[YearsAtCompany]]&lt;=2,"1-2 Years",Table1[[#This Row],[YearsAtCompany]]&lt;=3,"2-3 Years",Table1[[#This Row],[YearsAtCompany]]&lt;=4,"3-4 Years",Table1[[#This Row],[YearsAtCompany]]&lt;=5,"4-5 Years",Table1[[#This Row],[YearsAtCompany]]&gt;5,"&gt;5 Years")</f>
        <v>&gt;5 Years</v>
      </c>
    </row>
    <row r="280" spans="1:39" hidden="1" x14ac:dyDescent="0.45">
      <c r="A280">
        <v>26</v>
      </c>
      <c r="B280" t="s">
        <v>43</v>
      </c>
      <c r="C280" t="s">
        <v>63</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_xlfn.IFS(Table1[[#This Row],[Age]]&lt;30,"Young",Table1[[#This Row],[Age]]&lt;=40,"Adult",Table1[[#This Row],[Age]]&gt;40,"Senior")</f>
        <v>Young</v>
      </c>
      <c r="AK280" t="str" cm="1">
        <f t="array" ref="AK280">_xlfn.IFS(Table1[[#This Row],[MonthlyIncome]]&lt;5000,"Low",Table1[[#This Row],[MonthlyIncome]]&lt;10000,"Medium",Table1[[#This Row],[MonthlyIncome]]&gt;10000,"High")</f>
        <v>Medium</v>
      </c>
      <c r="AL280" t="str" cm="1">
        <f t="array" ref="AL280">_xlfn.IFS(Table1[[#This Row],[Attrition]]="Yes","Resigned",Table1[[#This Row],[Attrition]]="No","Active")</f>
        <v>Active</v>
      </c>
      <c r="AM280" t="str" cm="1">
        <f t="array" ref="AM280">_xlfn.IFS(Table1[[#This Row],[YearsAtCompany]]&lt;=1,"0-1 Year",Table1[[#This Row],[YearsAtCompany]]&lt;=2,"1-2 Years",Table1[[#This Row],[YearsAtCompany]]&lt;=3,"2-3 Years",Table1[[#This Row],[YearsAtCompany]]&lt;=4,"3-4 Years",Table1[[#This Row],[YearsAtCompany]]&lt;=5,"4-5 Years",Table1[[#This Row],[YearsAtCompany]]&gt;5,"&gt;5 Years")</f>
        <v>&gt;5 Years</v>
      </c>
    </row>
    <row r="281" spans="1:39" hidden="1" x14ac:dyDescent="0.45">
      <c r="A281">
        <v>50</v>
      </c>
      <c r="B281" t="s">
        <v>43</v>
      </c>
      <c r="C281" t="s">
        <v>64</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_xlfn.IFS(Table1[[#This Row],[Age]]&lt;30,"Young",Table1[[#This Row],[Age]]&lt;=40,"Adult",Table1[[#This Row],[Age]]&gt;40,"Senior")</f>
        <v>Senior</v>
      </c>
      <c r="AK281" t="str" cm="1">
        <f t="array" ref="AK281">_xlfn.IFS(Table1[[#This Row],[MonthlyIncome]]&lt;5000,"Low",Table1[[#This Row],[MonthlyIncome]]&lt;10000,"Medium",Table1[[#This Row],[MonthlyIncome]]&gt;10000,"High")</f>
        <v>High</v>
      </c>
      <c r="AL281" t="str" cm="1">
        <f t="array" ref="AL281">_xlfn.IFS(Table1[[#This Row],[Attrition]]="Yes","Resigned",Table1[[#This Row],[Attrition]]="No","Active")</f>
        <v>Active</v>
      </c>
      <c r="AM281" t="str" cm="1">
        <f t="array" ref="AM281">_xlfn.IFS(Table1[[#This Row],[YearsAtCompany]]&lt;=1,"0-1 Year",Table1[[#This Row],[YearsAtCompany]]&lt;=2,"1-2 Years",Table1[[#This Row],[YearsAtCompany]]&lt;=3,"2-3 Years",Table1[[#This Row],[YearsAtCompany]]&lt;=4,"3-4 Years",Table1[[#This Row],[YearsAtCompany]]&lt;=5,"4-5 Years",Table1[[#This Row],[YearsAtCompany]]&gt;5,"&gt;5 Years")</f>
        <v>&gt;5 Years</v>
      </c>
    </row>
    <row r="282" spans="1:39" hidden="1" x14ac:dyDescent="0.45">
      <c r="A282">
        <v>53</v>
      </c>
      <c r="B282" t="s">
        <v>43</v>
      </c>
      <c r="C282" t="s">
        <v>64</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_xlfn.IFS(Table1[[#This Row],[Age]]&lt;30,"Young",Table1[[#This Row],[Age]]&lt;=40,"Adult",Table1[[#This Row],[Age]]&gt;40,"Senior")</f>
        <v>Senior</v>
      </c>
      <c r="AK282" t="str" cm="1">
        <f t="array" ref="AK282">_xlfn.IFS(Table1[[#This Row],[MonthlyIncome]]&lt;5000,"Low",Table1[[#This Row],[MonthlyIncome]]&lt;10000,"Medium",Table1[[#This Row],[MonthlyIncome]]&gt;10000,"High")</f>
        <v>High</v>
      </c>
      <c r="AL282" t="str" cm="1">
        <f t="array" ref="AL282">_xlfn.IFS(Table1[[#This Row],[Attrition]]="Yes","Resigned",Table1[[#This Row],[Attrition]]="No","Active")</f>
        <v>Active</v>
      </c>
      <c r="AM282" t="str" cm="1">
        <f t="array" ref="AM282">_xlfn.IFS(Table1[[#This Row],[YearsAtCompany]]&lt;=1,"0-1 Year",Table1[[#This Row],[YearsAtCompany]]&lt;=2,"1-2 Years",Table1[[#This Row],[YearsAtCompany]]&lt;=3,"2-3 Years",Table1[[#This Row],[YearsAtCompany]]&lt;=4,"3-4 Years",Table1[[#This Row],[YearsAtCompany]]&lt;=5,"4-5 Years",Table1[[#This Row],[YearsAtCompany]]&gt;5,"&gt;5 Years")</f>
        <v>4-5 Years</v>
      </c>
    </row>
    <row r="283" spans="1:39" x14ac:dyDescent="0.45">
      <c r="A283">
        <v>42</v>
      </c>
      <c r="B283" t="s">
        <v>43</v>
      </c>
      <c r="C283" t="s">
        <v>64</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_xlfn.IFS(Table1[[#This Row],[Age]]&lt;30,"Young",Table1[[#This Row],[Age]]&lt;=40,"Adult",Table1[[#This Row],[Age]]&gt;40,"Senior")</f>
        <v>Senior</v>
      </c>
      <c r="AK283" t="str" cm="1">
        <f t="array" ref="AK283">_xlfn.IFS(Table1[[#This Row],[MonthlyIncome]]&lt;5000,"Low",Table1[[#This Row],[MonthlyIncome]]&lt;10000,"Medium",Table1[[#This Row],[MonthlyIncome]]&gt;10000,"High")</f>
        <v>Low</v>
      </c>
      <c r="AL283" t="str" cm="1">
        <f t="array" ref="AL283">_xlfn.IFS(Table1[[#This Row],[Attrition]]="Yes","Resigned",Table1[[#This Row],[Attrition]]="No","Active")</f>
        <v>Active</v>
      </c>
      <c r="AM283" t="str" cm="1">
        <f t="array" ref="AM283">_xlfn.IFS(Table1[[#This Row],[YearsAtCompany]]&lt;=1,"0-1 Year",Table1[[#This Row],[YearsAtCompany]]&lt;=2,"1-2 Years",Table1[[#This Row],[YearsAtCompany]]&lt;=3,"2-3 Years",Table1[[#This Row],[YearsAtCompany]]&lt;=4,"3-4 Years",Table1[[#This Row],[YearsAtCompany]]&lt;=5,"4-5 Years",Table1[[#This Row],[YearsAtCompany]]&gt;5,"&gt;5 Years")</f>
        <v>&gt;5 Years</v>
      </c>
    </row>
    <row r="284" spans="1:39" x14ac:dyDescent="0.45">
      <c r="A284">
        <v>29</v>
      </c>
      <c r="B284" t="s">
        <v>43</v>
      </c>
      <c r="C284" t="s">
        <v>63</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_xlfn.IFS(Table1[[#This Row],[Age]]&lt;30,"Young",Table1[[#This Row],[Age]]&lt;=40,"Adult",Table1[[#This Row],[Age]]&gt;40,"Senior")</f>
        <v>Young</v>
      </c>
      <c r="AK284" t="str" cm="1">
        <f t="array" ref="AK284">_xlfn.IFS(Table1[[#This Row],[MonthlyIncome]]&lt;5000,"Low",Table1[[#This Row],[MonthlyIncome]]&lt;10000,"Medium",Table1[[#This Row],[MonthlyIncome]]&gt;10000,"High")</f>
        <v>Low</v>
      </c>
      <c r="AL284" t="str" cm="1">
        <f t="array" ref="AL284">_xlfn.IFS(Table1[[#This Row],[Attrition]]="Yes","Resigned",Table1[[#This Row],[Attrition]]="No","Active")</f>
        <v>Active</v>
      </c>
      <c r="AM284" t="str" cm="1">
        <f t="array" ref="AM284">_xlfn.IFS(Table1[[#This Row],[YearsAtCompany]]&lt;=1,"0-1 Year",Table1[[#This Row],[YearsAtCompany]]&lt;=2,"1-2 Years",Table1[[#This Row],[YearsAtCompany]]&lt;=3,"2-3 Years",Table1[[#This Row],[YearsAtCompany]]&lt;=4,"3-4 Years",Table1[[#This Row],[YearsAtCompany]]&lt;=5,"4-5 Years",Table1[[#This Row],[YearsAtCompany]]&gt;5,"&gt;5 Years")</f>
        <v>&gt;5 Years</v>
      </c>
    </row>
    <row r="285" spans="1:39" hidden="1" x14ac:dyDescent="0.45">
      <c r="A285">
        <v>55</v>
      </c>
      <c r="B285" t="s">
        <v>43</v>
      </c>
      <c r="C285" t="s">
        <v>64</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_xlfn.IFS(Table1[[#This Row],[Age]]&lt;30,"Young",Table1[[#This Row],[Age]]&lt;=40,"Adult",Table1[[#This Row],[Age]]&gt;40,"Senior")</f>
        <v>Senior</v>
      </c>
      <c r="AK285" t="str" cm="1">
        <f t="array" ref="AK285">_xlfn.IFS(Table1[[#This Row],[MonthlyIncome]]&lt;5000,"Low",Table1[[#This Row],[MonthlyIncome]]&lt;10000,"Medium",Table1[[#This Row],[MonthlyIncome]]&gt;10000,"High")</f>
        <v>Medium</v>
      </c>
      <c r="AL285" t="str" cm="1">
        <f t="array" ref="AL285">_xlfn.IFS(Table1[[#This Row],[Attrition]]="Yes","Resigned",Table1[[#This Row],[Attrition]]="No","Active")</f>
        <v>Active</v>
      </c>
      <c r="AM285" t="str" cm="1">
        <f t="array" ref="AM285">_xlfn.IFS(Table1[[#This Row],[YearsAtCompany]]&lt;=1,"0-1 Year",Table1[[#This Row],[YearsAtCompany]]&lt;=2,"1-2 Years",Table1[[#This Row],[YearsAtCompany]]&lt;=3,"2-3 Years",Table1[[#This Row],[YearsAtCompany]]&lt;=4,"3-4 Years",Table1[[#This Row],[YearsAtCompany]]&lt;=5,"4-5 Years",Table1[[#This Row],[YearsAtCompany]]&gt;5,"&gt;5 Years")</f>
        <v>&gt;5 Years</v>
      </c>
    </row>
    <row r="286" spans="1:39" hidden="1" x14ac:dyDescent="0.45">
      <c r="A286">
        <v>26</v>
      </c>
      <c r="B286" t="s">
        <v>43</v>
      </c>
      <c r="C286" t="s">
        <v>63</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_xlfn.IFS(Table1[[#This Row],[Age]]&lt;30,"Young",Table1[[#This Row],[Age]]&lt;=40,"Adult",Table1[[#This Row],[Age]]&gt;40,"Senior")</f>
        <v>Young</v>
      </c>
      <c r="AK286" t="str" cm="1">
        <f t="array" ref="AK286">_xlfn.IFS(Table1[[#This Row],[MonthlyIncome]]&lt;5000,"Low",Table1[[#This Row],[MonthlyIncome]]&lt;10000,"Medium",Table1[[#This Row],[MonthlyIncome]]&gt;10000,"High")</f>
        <v>Low</v>
      </c>
      <c r="AL286" t="str" cm="1">
        <f t="array" ref="AL286">_xlfn.IFS(Table1[[#This Row],[Attrition]]="Yes","Resigned",Table1[[#This Row],[Attrition]]="No","Active")</f>
        <v>Active</v>
      </c>
      <c r="AM286" t="str" cm="1">
        <f t="array" ref="AM286">_xlfn.IFS(Table1[[#This Row],[YearsAtCompany]]&lt;=1,"0-1 Year",Table1[[#This Row],[YearsAtCompany]]&lt;=2,"1-2 Years",Table1[[#This Row],[YearsAtCompany]]&lt;=3,"2-3 Years",Table1[[#This Row],[YearsAtCompany]]&lt;=4,"3-4 Years",Table1[[#This Row],[YearsAtCompany]]&lt;=5,"4-5 Years",Table1[[#This Row],[YearsAtCompany]]&gt;5,"&gt;5 Years")</f>
        <v>4-5 Years</v>
      </c>
    </row>
    <row r="287" spans="1:39" hidden="1" x14ac:dyDescent="0.45">
      <c r="A287">
        <v>37</v>
      </c>
      <c r="B287" t="s">
        <v>43</v>
      </c>
      <c r="C287" t="s">
        <v>64</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_xlfn.IFS(Table1[[#This Row],[Age]]&lt;30,"Young",Table1[[#This Row],[Age]]&lt;=40,"Adult",Table1[[#This Row],[Age]]&gt;40,"Senior")</f>
        <v>Adult</v>
      </c>
      <c r="AK287" t="str" cm="1">
        <f t="array" ref="AK287">_xlfn.IFS(Table1[[#This Row],[MonthlyIncome]]&lt;5000,"Low",Table1[[#This Row],[MonthlyIncome]]&lt;10000,"Medium",Table1[[#This Row],[MonthlyIncome]]&gt;10000,"High")</f>
        <v>Low</v>
      </c>
      <c r="AL287" t="str" cm="1">
        <f t="array" ref="AL287">_xlfn.IFS(Table1[[#This Row],[Attrition]]="Yes","Resigned",Table1[[#This Row],[Attrition]]="No","Active")</f>
        <v>Active</v>
      </c>
      <c r="AM287" t="str" cm="1">
        <f t="array" ref="AM287">_xlfn.IFS(Table1[[#This Row],[YearsAtCompany]]&lt;=1,"0-1 Year",Table1[[#This Row],[YearsAtCompany]]&lt;=2,"1-2 Years",Table1[[#This Row],[YearsAtCompany]]&lt;=3,"2-3 Years",Table1[[#This Row],[YearsAtCompany]]&lt;=4,"3-4 Years",Table1[[#This Row],[YearsAtCompany]]&lt;=5,"4-5 Years",Table1[[#This Row],[YearsAtCompany]]&gt;5,"&gt;5 Years")</f>
        <v>&gt;5 Years</v>
      </c>
    </row>
    <row r="288" spans="1:39" hidden="1" x14ac:dyDescent="0.45">
      <c r="A288">
        <v>44</v>
      </c>
      <c r="B288" t="s">
        <v>35</v>
      </c>
      <c r="C288" t="s">
        <v>63</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_xlfn.IFS(Table1[[#This Row],[Age]]&lt;30,"Young",Table1[[#This Row],[Age]]&lt;=40,"Adult",Table1[[#This Row],[Age]]&gt;40,"Senior")</f>
        <v>Senior</v>
      </c>
      <c r="AK288" t="str" cm="1">
        <f t="array" ref="AK288">_xlfn.IFS(Table1[[#This Row],[MonthlyIncome]]&lt;5000,"Low",Table1[[#This Row],[MonthlyIncome]]&lt;10000,"Medium",Table1[[#This Row],[MonthlyIncome]]&gt;10000,"High")</f>
        <v>Low</v>
      </c>
      <c r="AL288" t="str" cm="1">
        <f t="array" ref="AL288">_xlfn.IFS(Table1[[#This Row],[Attrition]]="Yes","Resigned",Table1[[#This Row],[Attrition]]="No","Active")</f>
        <v>Resigned</v>
      </c>
      <c r="AM288" t="str" cm="1">
        <f t="array" ref="AM288">_xlfn.IFS(Table1[[#This Row],[YearsAtCompany]]&lt;=1,"0-1 Year",Table1[[#This Row],[YearsAtCompany]]&lt;=2,"1-2 Years",Table1[[#This Row],[YearsAtCompany]]&lt;=3,"2-3 Years",Table1[[#This Row],[YearsAtCompany]]&lt;=4,"3-4 Years",Table1[[#This Row],[YearsAtCompany]]&lt;=5,"4-5 Years",Table1[[#This Row],[YearsAtCompany]]&gt;5,"&gt;5 Years")</f>
        <v>0-1 Year</v>
      </c>
    </row>
    <row r="289" spans="1:39" hidden="1" x14ac:dyDescent="0.45">
      <c r="A289">
        <v>38</v>
      </c>
      <c r="B289" t="s">
        <v>43</v>
      </c>
      <c r="C289" t="s">
        <v>64</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_xlfn.IFS(Table1[[#This Row],[Age]]&lt;30,"Young",Table1[[#This Row],[Age]]&lt;=40,"Adult",Table1[[#This Row],[Age]]&gt;40,"Senior")</f>
        <v>Adult</v>
      </c>
      <c r="AK289" t="str" cm="1">
        <f t="array" ref="AK289">_xlfn.IFS(Table1[[#This Row],[MonthlyIncome]]&lt;5000,"Low",Table1[[#This Row],[MonthlyIncome]]&lt;10000,"Medium",Table1[[#This Row],[MonthlyIncome]]&gt;10000,"High")</f>
        <v>Medium</v>
      </c>
      <c r="AL289" t="str" cm="1">
        <f t="array" ref="AL289">_xlfn.IFS(Table1[[#This Row],[Attrition]]="Yes","Resigned",Table1[[#This Row],[Attrition]]="No","Active")</f>
        <v>Active</v>
      </c>
      <c r="AM289" t="str" cm="1">
        <f t="array" ref="AM289">_xlfn.IFS(Table1[[#This Row],[YearsAtCompany]]&lt;=1,"0-1 Year",Table1[[#This Row],[YearsAtCompany]]&lt;=2,"1-2 Years",Table1[[#This Row],[YearsAtCompany]]&lt;=3,"2-3 Years",Table1[[#This Row],[YearsAtCompany]]&lt;=4,"3-4 Years",Table1[[#This Row],[YearsAtCompany]]&lt;=5,"4-5 Years",Table1[[#This Row],[YearsAtCompany]]&gt;5,"&gt;5 Years")</f>
        <v>1-2 Years</v>
      </c>
    </row>
    <row r="290" spans="1:39" hidden="1" x14ac:dyDescent="0.45">
      <c r="A290">
        <v>26</v>
      </c>
      <c r="B290" t="s">
        <v>35</v>
      </c>
      <c r="C290" t="s">
        <v>64</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_xlfn.IFS(Table1[[#This Row],[Age]]&lt;30,"Young",Table1[[#This Row],[Age]]&lt;=40,"Adult",Table1[[#This Row],[Age]]&gt;40,"Senior")</f>
        <v>Young</v>
      </c>
      <c r="AK290" t="str" cm="1">
        <f t="array" ref="AK290">_xlfn.IFS(Table1[[#This Row],[MonthlyIncome]]&lt;5000,"Low",Table1[[#This Row],[MonthlyIncome]]&lt;10000,"Medium",Table1[[#This Row],[MonthlyIncome]]&gt;10000,"High")</f>
        <v>Low</v>
      </c>
      <c r="AL290" t="str" cm="1">
        <f t="array" ref="AL290">_xlfn.IFS(Table1[[#This Row],[Attrition]]="Yes","Resigned",Table1[[#This Row],[Attrition]]="No","Active")</f>
        <v>Resigned</v>
      </c>
      <c r="AM290" t="str" cm="1">
        <f t="array" ref="AM290">_xlfn.IFS(Table1[[#This Row],[YearsAtCompany]]&lt;=1,"0-1 Year",Table1[[#This Row],[YearsAtCompany]]&lt;=2,"1-2 Years",Table1[[#This Row],[YearsAtCompany]]&lt;=3,"2-3 Years",Table1[[#This Row],[YearsAtCompany]]&lt;=4,"3-4 Years",Table1[[#This Row],[YearsAtCompany]]&lt;=5,"4-5 Years",Table1[[#This Row],[YearsAtCompany]]&gt;5,"&gt;5 Years")</f>
        <v>2-3 Years</v>
      </c>
    </row>
    <row r="291" spans="1:39" hidden="1" x14ac:dyDescent="0.45">
      <c r="A291">
        <v>28</v>
      </c>
      <c r="B291" t="s">
        <v>43</v>
      </c>
      <c r="C291" t="s">
        <v>64</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_xlfn.IFS(Table1[[#This Row],[Age]]&lt;30,"Young",Table1[[#This Row],[Age]]&lt;=40,"Adult",Table1[[#This Row],[Age]]&gt;40,"Senior")</f>
        <v>Young</v>
      </c>
      <c r="AK291" t="str" cm="1">
        <f t="array" ref="AK291">_xlfn.IFS(Table1[[#This Row],[MonthlyIncome]]&lt;5000,"Low",Table1[[#This Row],[MonthlyIncome]]&lt;10000,"Medium",Table1[[#This Row],[MonthlyIncome]]&gt;10000,"High")</f>
        <v>Low</v>
      </c>
      <c r="AL291" t="str" cm="1">
        <f t="array" ref="AL291">_xlfn.IFS(Table1[[#This Row],[Attrition]]="Yes","Resigned",Table1[[#This Row],[Attrition]]="No","Active")</f>
        <v>Active</v>
      </c>
      <c r="AM291" t="str" cm="1">
        <f t="array" ref="AM291">_xlfn.IFS(Table1[[#This Row],[YearsAtCompany]]&lt;=1,"0-1 Year",Table1[[#This Row],[YearsAtCompany]]&lt;=2,"1-2 Years",Table1[[#This Row],[YearsAtCompany]]&lt;=3,"2-3 Years",Table1[[#This Row],[YearsAtCompany]]&lt;=4,"3-4 Years",Table1[[#This Row],[YearsAtCompany]]&lt;=5,"4-5 Years",Table1[[#This Row],[YearsAtCompany]]&gt;5,"&gt;5 Years")</f>
        <v>4-5 Years</v>
      </c>
    </row>
    <row r="292" spans="1:39" hidden="1" x14ac:dyDescent="0.45">
      <c r="A292">
        <v>49</v>
      </c>
      <c r="B292" t="s">
        <v>43</v>
      </c>
      <c r="C292" t="s">
        <v>63</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_xlfn.IFS(Table1[[#This Row],[Age]]&lt;30,"Young",Table1[[#This Row],[Age]]&lt;=40,"Adult",Table1[[#This Row],[Age]]&gt;40,"Senior")</f>
        <v>Senior</v>
      </c>
      <c r="AK292" t="str" cm="1">
        <f t="array" ref="AK292">_xlfn.IFS(Table1[[#This Row],[MonthlyIncome]]&lt;5000,"Low",Table1[[#This Row],[MonthlyIncome]]&lt;10000,"Medium",Table1[[#This Row],[MonthlyIncome]]&gt;10000,"High")</f>
        <v>High</v>
      </c>
      <c r="AL292" t="str" cm="1">
        <f t="array" ref="AL292">_xlfn.IFS(Table1[[#This Row],[Attrition]]="Yes","Resigned",Table1[[#This Row],[Attrition]]="No","Active")</f>
        <v>Active</v>
      </c>
      <c r="AM292" t="str" cm="1">
        <f t="array" ref="AM292">_xlfn.IFS(Table1[[#This Row],[YearsAtCompany]]&lt;=1,"0-1 Year",Table1[[#This Row],[YearsAtCompany]]&lt;=2,"1-2 Years",Table1[[#This Row],[YearsAtCompany]]&lt;=3,"2-3 Years",Table1[[#This Row],[YearsAtCompany]]&lt;=4,"3-4 Years",Table1[[#This Row],[YearsAtCompany]]&lt;=5,"4-5 Years",Table1[[#This Row],[YearsAtCompany]]&gt;5,"&gt;5 Years")</f>
        <v>2-3 Years</v>
      </c>
    </row>
    <row r="293" spans="1:39" hidden="1" x14ac:dyDescent="0.45">
      <c r="A293">
        <v>36</v>
      </c>
      <c r="B293" t="s">
        <v>43</v>
      </c>
      <c r="C293" t="s">
        <v>64</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_xlfn.IFS(Table1[[#This Row],[Age]]&lt;30,"Young",Table1[[#This Row],[Age]]&lt;=40,"Adult",Table1[[#This Row],[Age]]&gt;40,"Senior")</f>
        <v>Adult</v>
      </c>
      <c r="AK293" t="str" cm="1">
        <f t="array" ref="AK293">_xlfn.IFS(Table1[[#This Row],[MonthlyIncome]]&lt;5000,"Low",Table1[[#This Row],[MonthlyIncome]]&lt;10000,"Medium",Table1[[#This Row],[MonthlyIncome]]&gt;10000,"High")</f>
        <v>Low</v>
      </c>
      <c r="AL293" t="str" cm="1">
        <f t="array" ref="AL293">_xlfn.IFS(Table1[[#This Row],[Attrition]]="Yes","Resigned",Table1[[#This Row],[Attrition]]="No","Active")</f>
        <v>Active</v>
      </c>
      <c r="AM293" t="str" cm="1">
        <f t="array" ref="AM293">_xlfn.IFS(Table1[[#This Row],[YearsAtCompany]]&lt;=1,"0-1 Year",Table1[[#This Row],[YearsAtCompany]]&lt;=2,"1-2 Years",Table1[[#This Row],[YearsAtCompany]]&lt;=3,"2-3 Years",Table1[[#This Row],[YearsAtCompany]]&lt;=4,"3-4 Years",Table1[[#This Row],[YearsAtCompany]]&lt;=5,"4-5 Years",Table1[[#This Row],[YearsAtCompany]]&gt;5,"&gt;5 Years")</f>
        <v>&gt;5 Years</v>
      </c>
    </row>
    <row r="294" spans="1:39" x14ac:dyDescent="0.45">
      <c r="A294">
        <v>31</v>
      </c>
      <c r="B294" t="s">
        <v>43</v>
      </c>
      <c r="C294" t="s">
        <v>63</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_xlfn.IFS(Table1[[#This Row],[Age]]&lt;30,"Young",Table1[[#This Row],[Age]]&lt;=40,"Adult",Table1[[#This Row],[Age]]&gt;40,"Senior")</f>
        <v>Adult</v>
      </c>
      <c r="AK294" t="str" cm="1">
        <f t="array" ref="AK294">_xlfn.IFS(Table1[[#This Row],[MonthlyIncome]]&lt;5000,"Low",Table1[[#This Row],[MonthlyIncome]]&lt;10000,"Medium",Table1[[#This Row],[MonthlyIncome]]&gt;10000,"High")</f>
        <v>Low</v>
      </c>
      <c r="AL294" t="str" cm="1">
        <f t="array" ref="AL294">_xlfn.IFS(Table1[[#This Row],[Attrition]]="Yes","Resigned",Table1[[#This Row],[Attrition]]="No","Active")</f>
        <v>Active</v>
      </c>
      <c r="AM294" t="str" cm="1">
        <f t="array" ref="AM294">_xlfn.IFS(Table1[[#This Row],[YearsAtCompany]]&lt;=1,"0-1 Year",Table1[[#This Row],[YearsAtCompany]]&lt;=2,"1-2 Years",Table1[[#This Row],[YearsAtCompany]]&lt;=3,"2-3 Years",Table1[[#This Row],[YearsAtCompany]]&lt;=4,"3-4 Years",Table1[[#This Row],[YearsAtCompany]]&lt;=5,"4-5 Years",Table1[[#This Row],[YearsAtCompany]]&gt;5,"&gt;5 Years")</f>
        <v>1-2 Years</v>
      </c>
    </row>
    <row r="295" spans="1:39" x14ac:dyDescent="0.45">
      <c r="A295">
        <v>26</v>
      </c>
      <c r="B295" t="s">
        <v>35</v>
      </c>
      <c r="C295" t="s">
        <v>64</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_xlfn.IFS(Table1[[#This Row],[Age]]&lt;30,"Young",Table1[[#This Row],[Age]]&lt;=40,"Adult",Table1[[#This Row],[Age]]&gt;40,"Senior")</f>
        <v>Young</v>
      </c>
      <c r="AK295" t="str" cm="1">
        <f t="array" ref="AK295">_xlfn.IFS(Table1[[#This Row],[MonthlyIncome]]&lt;5000,"Low",Table1[[#This Row],[MonthlyIncome]]&lt;10000,"Medium",Table1[[#This Row],[MonthlyIncome]]&gt;10000,"High")</f>
        <v>Medium</v>
      </c>
      <c r="AL295" t="str" cm="1">
        <f t="array" ref="AL295">_xlfn.IFS(Table1[[#This Row],[Attrition]]="Yes","Resigned",Table1[[#This Row],[Attrition]]="No","Active")</f>
        <v>Resigned</v>
      </c>
      <c r="AM295" t="str" cm="1">
        <f t="array" ref="AM295">_xlfn.IFS(Table1[[#This Row],[YearsAtCompany]]&lt;=1,"0-1 Year",Table1[[#This Row],[YearsAtCompany]]&lt;=2,"1-2 Years",Table1[[#This Row],[YearsAtCompany]]&lt;=3,"2-3 Years",Table1[[#This Row],[YearsAtCompany]]&lt;=4,"3-4 Years",Table1[[#This Row],[YearsAtCompany]]&lt;=5,"4-5 Years",Table1[[#This Row],[YearsAtCompany]]&gt;5,"&gt;5 Years")</f>
        <v>&gt;5 Years</v>
      </c>
    </row>
    <row r="296" spans="1:39" hidden="1" x14ac:dyDescent="0.45">
      <c r="A296">
        <v>37</v>
      </c>
      <c r="B296" t="s">
        <v>43</v>
      </c>
      <c r="C296" t="s">
        <v>63</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_xlfn.IFS(Table1[[#This Row],[Age]]&lt;30,"Young",Table1[[#This Row],[Age]]&lt;=40,"Adult",Table1[[#This Row],[Age]]&gt;40,"Senior")</f>
        <v>Adult</v>
      </c>
      <c r="AK296" t="str" cm="1">
        <f t="array" ref="AK296">_xlfn.IFS(Table1[[#This Row],[MonthlyIncome]]&lt;5000,"Low",Table1[[#This Row],[MonthlyIncome]]&lt;10000,"Medium",Table1[[#This Row],[MonthlyIncome]]&gt;10000,"High")</f>
        <v>Low</v>
      </c>
      <c r="AL296" t="str" cm="1">
        <f t="array" ref="AL296">_xlfn.IFS(Table1[[#This Row],[Attrition]]="Yes","Resigned",Table1[[#This Row],[Attrition]]="No","Active")</f>
        <v>Active</v>
      </c>
      <c r="AM296" t="str" cm="1">
        <f t="array" ref="AM296">_xlfn.IFS(Table1[[#This Row],[YearsAtCompany]]&lt;=1,"0-1 Year",Table1[[#This Row],[YearsAtCompany]]&lt;=2,"1-2 Years",Table1[[#This Row],[YearsAtCompany]]&lt;=3,"2-3 Years",Table1[[#This Row],[YearsAtCompany]]&lt;=4,"3-4 Years",Table1[[#This Row],[YearsAtCompany]]&lt;=5,"4-5 Years",Table1[[#This Row],[YearsAtCompany]]&gt;5,"&gt;5 Years")</f>
        <v>3-4 Years</v>
      </c>
    </row>
    <row r="297" spans="1:39" x14ac:dyDescent="0.45">
      <c r="A297">
        <v>42</v>
      </c>
      <c r="B297" t="s">
        <v>43</v>
      </c>
      <c r="C297" t="s">
        <v>63</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_xlfn.IFS(Table1[[#This Row],[Age]]&lt;30,"Young",Table1[[#This Row],[Age]]&lt;=40,"Adult",Table1[[#This Row],[Age]]&gt;40,"Senior")</f>
        <v>Senior</v>
      </c>
      <c r="AK297" t="str" cm="1">
        <f t="array" ref="AK297">_xlfn.IFS(Table1[[#This Row],[MonthlyIncome]]&lt;5000,"Low",Table1[[#This Row],[MonthlyIncome]]&lt;10000,"Medium",Table1[[#This Row],[MonthlyIncome]]&gt;10000,"High")</f>
        <v>High</v>
      </c>
      <c r="AL297" t="str" cm="1">
        <f t="array" ref="AL297">_xlfn.IFS(Table1[[#This Row],[Attrition]]="Yes","Resigned",Table1[[#This Row],[Attrition]]="No","Active")</f>
        <v>Active</v>
      </c>
      <c r="AM297" t="str" cm="1">
        <f t="array" ref="AM297">_xlfn.IFS(Table1[[#This Row],[YearsAtCompany]]&lt;=1,"0-1 Year",Table1[[#This Row],[YearsAtCompany]]&lt;=2,"1-2 Years",Table1[[#This Row],[YearsAtCompany]]&lt;=3,"2-3 Years",Table1[[#This Row],[YearsAtCompany]]&lt;=4,"3-4 Years",Table1[[#This Row],[YearsAtCompany]]&lt;=5,"4-5 Years",Table1[[#This Row],[YearsAtCompany]]&gt;5,"&gt;5 Years")</f>
        <v>&gt;5 Years</v>
      </c>
    </row>
    <row r="298" spans="1:39" hidden="1" x14ac:dyDescent="0.45">
      <c r="A298">
        <v>18</v>
      </c>
      <c r="B298" t="s">
        <v>35</v>
      </c>
      <c r="C298" t="s">
        <v>64</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_xlfn.IFS(Table1[[#This Row],[Age]]&lt;30,"Young",Table1[[#This Row],[Age]]&lt;=40,"Adult",Table1[[#This Row],[Age]]&gt;40,"Senior")</f>
        <v>Young</v>
      </c>
      <c r="AK298" t="str" cm="1">
        <f t="array" ref="AK298">_xlfn.IFS(Table1[[#This Row],[MonthlyIncome]]&lt;5000,"Low",Table1[[#This Row],[MonthlyIncome]]&lt;10000,"Medium",Table1[[#This Row],[MonthlyIncome]]&gt;10000,"High")</f>
        <v>Low</v>
      </c>
      <c r="AL298" t="str" cm="1">
        <f t="array" ref="AL298">_xlfn.IFS(Table1[[#This Row],[Attrition]]="Yes","Resigned",Table1[[#This Row],[Attrition]]="No","Active")</f>
        <v>Resigned</v>
      </c>
      <c r="AM298" t="str" cm="1">
        <f t="array" ref="AM298">_xlfn.IFS(Table1[[#This Row],[YearsAtCompany]]&lt;=1,"0-1 Year",Table1[[#This Row],[YearsAtCompany]]&lt;=2,"1-2 Years",Table1[[#This Row],[YearsAtCompany]]&lt;=3,"2-3 Years",Table1[[#This Row],[YearsAtCompany]]&lt;=4,"3-4 Years",Table1[[#This Row],[YearsAtCompany]]&lt;=5,"4-5 Years",Table1[[#This Row],[YearsAtCompany]]&gt;5,"&gt;5 Years")</f>
        <v>0-1 Year</v>
      </c>
    </row>
    <row r="299" spans="1:39" x14ac:dyDescent="0.45">
      <c r="A299">
        <v>35</v>
      </c>
      <c r="B299" t="s">
        <v>43</v>
      </c>
      <c r="C299" t="s">
        <v>64</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_xlfn.IFS(Table1[[#This Row],[Age]]&lt;30,"Young",Table1[[#This Row],[Age]]&lt;=40,"Adult",Table1[[#This Row],[Age]]&gt;40,"Senior")</f>
        <v>Adult</v>
      </c>
      <c r="AK299" t="str" cm="1">
        <f t="array" ref="AK299">_xlfn.IFS(Table1[[#This Row],[MonthlyIncome]]&lt;5000,"Low",Table1[[#This Row],[MonthlyIncome]]&lt;10000,"Medium",Table1[[#This Row],[MonthlyIncome]]&gt;10000,"High")</f>
        <v>Medium</v>
      </c>
      <c r="AL299" t="str" cm="1">
        <f t="array" ref="AL299">_xlfn.IFS(Table1[[#This Row],[Attrition]]="Yes","Resigned",Table1[[#This Row],[Attrition]]="No","Active")</f>
        <v>Active</v>
      </c>
      <c r="AM299" t="str" cm="1">
        <f t="array" ref="AM299">_xlfn.IFS(Table1[[#This Row],[YearsAtCompany]]&lt;=1,"0-1 Year",Table1[[#This Row],[YearsAtCompany]]&lt;=2,"1-2 Years",Table1[[#This Row],[YearsAtCompany]]&lt;=3,"2-3 Years",Table1[[#This Row],[YearsAtCompany]]&lt;=4,"3-4 Years",Table1[[#This Row],[YearsAtCompany]]&lt;=5,"4-5 Years",Table1[[#This Row],[YearsAtCompany]]&gt;5,"&gt;5 Years")</f>
        <v>&gt;5 Years</v>
      </c>
    </row>
    <row r="300" spans="1:39" hidden="1" x14ac:dyDescent="0.45">
      <c r="A300">
        <v>36</v>
      </c>
      <c r="B300" t="s">
        <v>43</v>
      </c>
      <c r="C300" t="s">
        <v>63</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_xlfn.IFS(Table1[[#This Row],[Age]]&lt;30,"Young",Table1[[#This Row],[Age]]&lt;=40,"Adult",Table1[[#This Row],[Age]]&gt;40,"Senior")</f>
        <v>Adult</v>
      </c>
      <c r="AK300" t="str" cm="1">
        <f t="array" ref="AK300">_xlfn.IFS(Table1[[#This Row],[MonthlyIncome]]&lt;5000,"Low",Table1[[#This Row],[MonthlyIncome]]&lt;10000,"Medium",Table1[[#This Row],[MonthlyIncome]]&gt;10000,"High")</f>
        <v>Low</v>
      </c>
      <c r="AL300" t="str" cm="1">
        <f t="array" ref="AL300">_xlfn.IFS(Table1[[#This Row],[Attrition]]="Yes","Resigned",Table1[[#This Row],[Attrition]]="No","Active")</f>
        <v>Active</v>
      </c>
      <c r="AM300" t="str" cm="1">
        <f t="array" ref="AM300">_xlfn.IFS(Table1[[#This Row],[YearsAtCompany]]&lt;=1,"0-1 Year",Table1[[#This Row],[YearsAtCompany]]&lt;=2,"1-2 Years",Table1[[#This Row],[YearsAtCompany]]&lt;=3,"2-3 Years",Table1[[#This Row],[YearsAtCompany]]&lt;=4,"3-4 Years",Table1[[#This Row],[YearsAtCompany]]&lt;=5,"4-5 Years",Table1[[#This Row],[YearsAtCompany]]&gt;5,"&gt;5 Years")</f>
        <v>0-1 Year</v>
      </c>
    </row>
    <row r="301" spans="1:39" hidden="1" x14ac:dyDescent="0.45">
      <c r="A301">
        <v>51</v>
      </c>
      <c r="B301" t="s">
        <v>43</v>
      </c>
      <c r="C301" t="s">
        <v>64</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_xlfn.IFS(Table1[[#This Row],[Age]]&lt;30,"Young",Table1[[#This Row],[Age]]&lt;=40,"Adult",Table1[[#This Row],[Age]]&gt;40,"Senior")</f>
        <v>Senior</v>
      </c>
      <c r="AK301" t="str" cm="1">
        <f t="array" ref="AK301">_xlfn.IFS(Table1[[#This Row],[MonthlyIncome]]&lt;5000,"Low",Table1[[#This Row],[MonthlyIncome]]&lt;10000,"Medium",Table1[[#This Row],[MonthlyIncome]]&gt;10000,"High")</f>
        <v>Medium</v>
      </c>
      <c r="AL301" t="str" cm="1">
        <f t="array" ref="AL301">_xlfn.IFS(Table1[[#This Row],[Attrition]]="Yes","Resigned",Table1[[#This Row],[Attrition]]="No","Active")</f>
        <v>Active</v>
      </c>
      <c r="AM301" t="str" cm="1">
        <f t="array" ref="AM301">_xlfn.IFS(Table1[[#This Row],[YearsAtCompany]]&lt;=1,"0-1 Year",Table1[[#This Row],[YearsAtCompany]]&lt;=2,"1-2 Years",Table1[[#This Row],[YearsAtCompany]]&lt;=3,"2-3 Years",Table1[[#This Row],[YearsAtCompany]]&lt;=4,"3-4 Years",Table1[[#This Row],[YearsAtCompany]]&lt;=5,"4-5 Years",Table1[[#This Row],[YearsAtCompany]]&gt;5,"&gt;5 Years")</f>
        <v>3-4 Years</v>
      </c>
    </row>
    <row r="302" spans="1:39" x14ac:dyDescent="0.45">
      <c r="A302">
        <v>41</v>
      </c>
      <c r="B302" t="s">
        <v>43</v>
      </c>
      <c r="C302" t="s">
        <v>64</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_xlfn.IFS(Table1[[#This Row],[Age]]&lt;30,"Young",Table1[[#This Row],[Age]]&lt;=40,"Adult",Table1[[#This Row],[Age]]&gt;40,"Senior")</f>
        <v>Senior</v>
      </c>
      <c r="AK302" t="str" cm="1">
        <f t="array" ref="AK302">_xlfn.IFS(Table1[[#This Row],[MonthlyIncome]]&lt;5000,"Low",Table1[[#This Row],[MonthlyIncome]]&lt;10000,"Medium",Table1[[#This Row],[MonthlyIncome]]&gt;10000,"High")</f>
        <v>High</v>
      </c>
      <c r="AL302" t="str" cm="1">
        <f t="array" ref="AL302">_xlfn.IFS(Table1[[#This Row],[Attrition]]="Yes","Resigned",Table1[[#This Row],[Attrition]]="No","Active")</f>
        <v>Active</v>
      </c>
      <c r="AM302" t="str" cm="1">
        <f t="array" ref="AM302">_xlfn.IFS(Table1[[#This Row],[YearsAtCompany]]&lt;=1,"0-1 Year",Table1[[#This Row],[YearsAtCompany]]&lt;=2,"1-2 Years",Table1[[#This Row],[YearsAtCompany]]&lt;=3,"2-3 Years",Table1[[#This Row],[YearsAtCompany]]&lt;=4,"3-4 Years",Table1[[#This Row],[YearsAtCompany]]&lt;=5,"4-5 Years",Table1[[#This Row],[YearsAtCompany]]&gt;5,"&gt;5 Years")</f>
        <v>&gt;5 Years</v>
      </c>
    </row>
    <row r="303" spans="1:39" x14ac:dyDescent="0.45">
      <c r="A303">
        <v>18</v>
      </c>
      <c r="B303" t="s">
        <v>43</v>
      </c>
      <c r="C303" t="s">
        <v>64</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_xlfn.IFS(Table1[[#This Row],[Age]]&lt;30,"Young",Table1[[#This Row],[Age]]&lt;=40,"Adult",Table1[[#This Row],[Age]]&gt;40,"Senior")</f>
        <v>Young</v>
      </c>
      <c r="AK303" t="str" cm="1">
        <f t="array" ref="AK303">_xlfn.IFS(Table1[[#This Row],[MonthlyIncome]]&lt;5000,"Low",Table1[[#This Row],[MonthlyIncome]]&lt;10000,"Medium",Table1[[#This Row],[MonthlyIncome]]&gt;10000,"High")</f>
        <v>Low</v>
      </c>
      <c r="AL303" t="str" cm="1">
        <f t="array" ref="AL303">_xlfn.IFS(Table1[[#This Row],[Attrition]]="Yes","Resigned",Table1[[#This Row],[Attrition]]="No","Active")</f>
        <v>Active</v>
      </c>
      <c r="AM303" t="str" cm="1">
        <f t="array" ref="AM303">_xlfn.IFS(Table1[[#This Row],[YearsAtCompany]]&lt;=1,"0-1 Year",Table1[[#This Row],[YearsAtCompany]]&lt;=2,"1-2 Years",Table1[[#This Row],[YearsAtCompany]]&lt;=3,"2-3 Years",Table1[[#This Row],[YearsAtCompany]]&lt;=4,"3-4 Years",Table1[[#This Row],[YearsAtCompany]]&lt;=5,"4-5 Years",Table1[[#This Row],[YearsAtCompany]]&gt;5,"&gt;5 Years")</f>
        <v>0-1 Year</v>
      </c>
    </row>
    <row r="304" spans="1:39" hidden="1" x14ac:dyDescent="0.45">
      <c r="A304">
        <v>28</v>
      </c>
      <c r="B304" t="s">
        <v>43</v>
      </c>
      <c r="C304" t="s">
        <v>64</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_xlfn.IFS(Table1[[#This Row],[Age]]&lt;30,"Young",Table1[[#This Row],[Age]]&lt;=40,"Adult",Table1[[#This Row],[Age]]&gt;40,"Senior")</f>
        <v>Young</v>
      </c>
      <c r="AK304" t="str" cm="1">
        <f t="array" ref="AK304">_xlfn.IFS(Table1[[#This Row],[MonthlyIncome]]&lt;5000,"Low",Table1[[#This Row],[MonthlyIncome]]&lt;10000,"Medium",Table1[[#This Row],[MonthlyIncome]]&gt;10000,"High")</f>
        <v>Medium</v>
      </c>
      <c r="AL304" t="str" cm="1">
        <f t="array" ref="AL304">_xlfn.IFS(Table1[[#This Row],[Attrition]]="Yes","Resigned",Table1[[#This Row],[Attrition]]="No","Active")</f>
        <v>Active</v>
      </c>
      <c r="AM304" t="str" cm="1">
        <f t="array" ref="AM304">_xlfn.IFS(Table1[[#This Row],[YearsAtCompany]]&lt;=1,"0-1 Year",Table1[[#This Row],[YearsAtCompany]]&lt;=2,"1-2 Years",Table1[[#This Row],[YearsAtCompany]]&lt;=3,"2-3 Years",Table1[[#This Row],[YearsAtCompany]]&lt;=4,"3-4 Years",Table1[[#This Row],[YearsAtCompany]]&lt;=5,"4-5 Years",Table1[[#This Row],[YearsAtCompany]]&gt;5,"&gt;5 Years")</f>
        <v>&gt;5 Years</v>
      </c>
    </row>
    <row r="305" spans="1:39" x14ac:dyDescent="0.45">
      <c r="A305">
        <v>31</v>
      </c>
      <c r="B305" t="s">
        <v>43</v>
      </c>
      <c r="C305" t="s">
        <v>64</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_xlfn.IFS(Table1[[#This Row],[Age]]&lt;30,"Young",Table1[[#This Row],[Age]]&lt;=40,"Adult",Table1[[#This Row],[Age]]&gt;40,"Senior")</f>
        <v>Adult</v>
      </c>
      <c r="AK305" t="str" cm="1">
        <f t="array" ref="AK305">_xlfn.IFS(Table1[[#This Row],[MonthlyIncome]]&lt;5000,"Low",Table1[[#This Row],[MonthlyIncome]]&lt;10000,"Medium",Table1[[#This Row],[MonthlyIncome]]&gt;10000,"High")</f>
        <v>Medium</v>
      </c>
      <c r="AL305" t="str" cm="1">
        <f t="array" ref="AL305">_xlfn.IFS(Table1[[#This Row],[Attrition]]="Yes","Resigned",Table1[[#This Row],[Attrition]]="No","Active")</f>
        <v>Active</v>
      </c>
      <c r="AM305" t="str" cm="1">
        <f t="array" ref="AM305">_xlfn.IFS(Table1[[#This Row],[YearsAtCompany]]&lt;=1,"0-1 Year",Table1[[#This Row],[YearsAtCompany]]&lt;=2,"1-2 Years",Table1[[#This Row],[YearsAtCompany]]&lt;=3,"2-3 Years",Table1[[#This Row],[YearsAtCompany]]&lt;=4,"3-4 Years",Table1[[#This Row],[YearsAtCompany]]&lt;=5,"4-5 Years",Table1[[#This Row],[YearsAtCompany]]&gt;5,"&gt;5 Years")</f>
        <v>&gt;5 Years</v>
      </c>
    </row>
    <row r="306" spans="1:39" hidden="1" x14ac:dyDescent="0.45">
      <c r="A306">
        <v>39</v>
      </c>
      <c r="B306" t="s">
        <v>43</v>
      </c>
      <c r="C306" t="s">
        <v>64</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_xlfn.IFS(Table1[[#This Row],[Age]]&lt;30,"Young",Table1[[#This Row],[Age]]&lt;=40,"Adult",Table1[[#This Row],[Age]]&gt;40,"Senior")</f>
        <v>Adult</v>
      </c>
      <c r="AK306" t="str" cm="1">
        <f t="array" ref="AK306">_xlfn.IFS(Table1[[#This Row],[MonthlyIncome]]&lt;5000,"Low",Table1[[#This Row],[MonthlyIncome]]&lt;10000,"Medium",Table1[[#This Row],[MonthlyIncome]]&gt;10000,"High")</f>
        <v>Medium</v>
      </c>
      <c r="AL306" t="str" cm="1">
        <f t="array" ref="AL306">_xlfn.IFS(Table1[[#This Row],[Attrition]]="Yes","Resigned",Table1[[#This Row],[Attrition]]="No","Active")</f>
        <v>Active</v>
      </c>
      <c r="AM306" t="str" cm="1">
        <f t="array" ref="AM306">_xlfn.IFS(Table1[[#This Row],[YearsAtCompany]]&lt;=1,"0-1 Year",Table1[[#This Row],[YearsAtCompany]]&lt;=2,"1-2 Years",Table1[[#This Row],[YearsAtCompany]]&lt;=3,"2-3 Years",Table1[[#This Row],[YearsAtCompany]]&lt;=4,"3-4 Years",Table1[[#This Row],[YearsAtCompany]]&lt;=5,"4-5 Years",Table1[[#This Row],[YearsAtCompany]]&gt;5,"&gt;5 Years")</f>
        <v>&gt;5 Years</v>
      </c>
    </row>
    <row r="307" spans="1:39" hidden="1" x14ac:dyDescent="0.45">
      <c r="A307">
        <v>36</v>
      </c>
      <c r="B307" t="s">
        <v>43</v>
      </c>
      <c r="C307" t="s">
        <v>62</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_xlfn.IFS(Table1[[#This Row],[Age]]&lt;30,"Young",Table1[[#This Row],[Age]]&lt;=40,"Adult",Table1[[#This Row],[Age]]&gt;40,"Senior")</f>
        <v>Adult</v>
      </c>
      <c r="AK307" t="str" cm="1">
        <f t="array" ref="AK307">_xlfn.IFS(Table1[[#This Row],[MonthlyIncome]]&lt;5000,"Low",Table1[[#This Row],[MonthlyIncome]]&lt;10000,"Medium",Table1[[#This Row],[MonthlyIncome]]&gt;10000,"High")</f>
        <v>Medium</v>
      </c>
      <c r="AL307" t="str" cm="1">
        <f t="array" ref="AL307">_xlfn.IFS(Table1[[#This Row],[Attrition]]="Yes","Resigned",Table1[[#This Row],[Attrition]]="No","Active")</f>
        <v>Active</v>
      </c>
      <c r="AM307" t="str" cm="1">
        <f t="array" ref="AM307">_xlfn.IFS(Table1[[#This Row],[YearsAtCompany]]&lt;=1,"0-1 Year",Table1[[#This Row],[YearsAtCompany]]&lt;=2,"1-2 Years",Table1[[#This Row],[YearsAtCompany]]&lt;=3,"2-3 Years",Table1[[#This Row],[YearsAtCompany]]&lt;=4,"3-4 Years",Table1[[#This Row],[YearsAtCompany]]&lt;=5,"4-5 Years",Table1[[#This Row],[YearsAtCompany]]&gt;5,"&gt;5 Years")</f>
        <v>&gt;5 Years</v>
      </c>
    </row>
    <row r="308" spans="1:39" x14ac:dyDescent="0.45">
      <c r="A308">
        <v>32</v>
      </c>
      <c r="B308" t="s">
        <v>43</v>
      </c>
      <c r="C308" t="s">
        <v>64</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_xlfn.IFS(Table1[[#This Row],[Age]]&lt;30,"Young",Table1[[#This Row],[Age]]&lt;=40,"Adult",Table1[[#This Row],[Age]]&gt;40,"Senior")</f>
        <v>Adult</v>
      </c>
      <c r="AK308" t="str" cm="1">
        <f t="array" ref="AK308">_xlfn.IFS(Table1[[#This Row],[MonthlyIncome]]&lt;5000,"Low",Table1[[#This Row],[MonthlyIncome]]&lt;10000,"Medium",Table1[[#This Row],[MonthlyIncome]]&gt;10000,"High")</f>
        <v>Medium</v>
      </c>
      <c r="AL308" t="str" cm="1">
        <f t="array" ref="AL308">_xlfn.IFS(Table1[[#This Row],[Attrition]]="Yes","Resigned",Table1[[#This Row],[Attrition]]="No","Active")</f>
        <v>Active</v>
      </c>
      <c r="AM308" t="str" cm="1">
        <f t="array" ref="AM308">_xlfn.IFS(Table1[[#This Row],[YearsAtCompany]]&lt;=1,"0-1 Year",Table1[[#This Row],[YearsAtCompany]]&lt;=2,"1-2 Years",Table1[[#This Row],[YearsAtCompany]]&lt;=3,"2-3 Years",Table1[[#This Row],[YearsAtCompany]]&lt;=4,"3-4 Years",Table1[[#This Row],[YearsAtCompany]]&lt;=5,"4-5 Years",Table1[[#This Row],[YearsAtCompany]]&gt;5,"&gt;5 Years")</f>
        <v>&gt;5 Years</v>
      </c>
    </row>
    <row r="309" spans="1:39" hidden="1" x14ac:dyDescent="0.45">
      <c r="A309">
        <v>38</v>
      </c>
      <c r="B309" t="s">
        <v>43</v>
      </c>
      <c r="C309" t="s">
        <v>64</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_xlfn.IFS(Table1[[#This Row],[Age]]&lt;30,"Young",Table1[[#This Row],[Age]]&lt;=40,"Adult",Table1[[#This Row],[Age]]&gt;40,"Senior")</f>
        <v>Adult</v>
      </c>
      <c r="AK309" t="str" cm="1">
        <f t="array" ref="AK309">_xlfn.IFS(Table1[[#This Row],[MonthlyIncome]]&lt;5000,"Low",Table1[[#This Row],[MonthlyIncome]]&lt;10000,"Medium",Table1[[#This Row],[MonthlyIncome]]&gt;10000,"High")</f>
        <v>High</v>
      </c>
      <c r="AL309" t="str" cm="1">
        <f t="array" ref="AL309">_xlfn.IFS(Table1[[#This Row],[Attrition]]="Yes","Resigned",Table1[[#This Row],[Attrition]]="No","Active")</f>
        <v>Active</v>
      </c>
      <c r="AM309" t="str" cm="1">
        <f t="array" ref="AM309">_xlfn.IFS(Table1[[#This Row],[YearsAtCompany]]&lt;=1,"0-1 Year",Table1[[#This Row],[YearsAtCompany]]&lt;=2,"1-2 Years",Table1[[#This Row],[YearsAtCompany]]&lt;=3,"2-3 Years",Table1[[#This Row],[YearsAtCompany]]&lt;=4,"3-4 Years",Table1[[#This Row],[YearsAtCompany]]&lt;=5,"4-5 Years",Table1[[#This Row],[YearsAtCompany]]&gt;5,"&gt;5 Years")</f>
        <v>&gt;5 Years</v>
      </c>
    </row>
    <row r="310" spans="1:39" hidden="1" x14ac:dyDescent="0.45">
      <c r="A310">
        <v>58</v>
      </c>
      <c r="B310" t="s">
        <v>43</v>
      </c>
      <c r="C310" t="s">
        <v>62</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_xlfn.IFS(Table1[[#This Row],[Age]]&lt;30,"Young",Table1[[#This Row],[Age]]&lt;=40,"Adult",Table1[[#This Row],[Age]]&gt;40,"Senior")</f>
        <v>Senior</v>
      </c>
      <c r="AK310" t="str" cm="1">
        <f t="array" ref="AK310">_xlfn.IFS(Table1[[#This Row],[MonthlyIncome]]&lt;5000,"Low",Table1[[#This Row],[MonthlyIncome]]&lt;10000,"Medium",Table1[[#This Row],[MonthlyIncome]]&gt;10000,"High")</f>
        <v>Medium</v>
      </c>
      <c r="AL310" t="str" cm="1">
        <f t="array" ref="AL310">_xlfn.IFS(Table1[[#This Row],[Attrition]]="Yes","Resigned",Table1[[#This Row],[Attrition]]="No","Active")</f>
        <v>Active</v>
      </c>
      <c r="AM310" t="str" cm="1">
        <f t="array" ref="AM310">_xlfn.IFS(Table1[[#This Row],[YearsAtCompany]]&lt;=1,"0-1 Year",Table1[[#This Row],[YearsAtCompany]]&lt;=2,"1-2 Years",Table1[[#This Row],[YearsAtCompany]]&lt;=3,"2-3 Years",Table1[[#This Row],[YearsAtCompany]]&lt;=4,"3-4 Years",Table1[[#This Row],[YearsAtCompany]]&lt;=5,"4-5 Years",Table1[[#This Row],[YearsAtCompany]]&gt;5,"&gt;5 Years")</f>
        <v>4-5 Years</v>
      </c>
    </row>
    <row r="311" spans="1:39" hidden="1" x14ac:dyDescent="0.45">
      <c r="A311">
        <v>31</v>
      </c>
      <c r="B311" t="s">
        <v>43</v>
      </c>
      <c r="C311" t="s">
        <v>64</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_xlfn.IFS(Table1[[#This Row],[Age]]&lt;30,"Young",Table1[[#This Row],[Age]]&lt;=40,"Adult",Table1[[#This Row],[Age]]&gt;40,"Senior")</f>
        <v>Adult</v>
      </c>
      <c r="AK311" t="str" cm="1">
        <f t="array" ref="AK311">_xlfn.IFS(Table1[[#This Row],[MonthlyIncome]]&lt;5000,"Low",Table1[[#This Row],[MonthlyIncome]]&lt;10000,"Medium",Table1[[#This Row],[MonthlyIncome]]&gt;10000,"High")</f>
        <v>Low</v>
      </c>
      <c r="AL311" t="str" cm="1">
        <f t="array" ref="AL311">_xlfn.IFS(Table1[[#This Row],[Attrition]]="Yes","Resigned",Table1[[#This Row],[Attrition]]="No","Active")</f>
        <v>Active</v>
      </c>
      <c r="AM311" t="str" cm="1">
        <f t="array" ref="AM311">_xlfn.IFS(Table1[[#This Row],[YearsAtCompany]]&lt;=1,"0-1 Year",Table1[[#This Row],[YearsAtCompany]]&lt;=2,"1-2 Years",Table1[[#This Row],[YearsAtCompany]]&lt;=3,"2-3 Years",Table1[[#This Row],[YearsAtCompany]]&lt;=4,"3-4 Years",Table1[[#This Row],[YearsAtCompany]]&lt;=5,"4-5 Years",Table1[[#This Row],[YearsAtCompany]]&gt;5,"&gt;5 Years")</f>
        <v>4-5 Years</v>
      </c>
    </row>
    <row r="312" spans="1:39" hidden="1" x14ac:dyDescent="0.45">
      <c r="A312">
        <v>31</v>
      </c>
      <c r="B312" t="s">
        <v>43</v>
      </c>
      <c r="C312" t="s">
        <v>64</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_xlfn.IFS(Table1[[#This Row],[Age]]&lt;30,"Young",Table1[[#This Row],[Age]]&lt;=40,"Adult",Table1[[#This Row],[Age]]&gt;40,"Senior")</f>
        <v>Adult</v>
      </c>
      <c r="AK312" t="str" cm="1">
        <f t="array" ref="AK312">_xlfn.IFS(Table1[[#This Row],[MonthlyIncome]]&lt;5000,"Low",Table1[[#This Row],[MonthlyIncome]]&lt;10000,"Medium",Table1[[#This Row],[MonthlyIncome]]&gt;10000,"High")</f>
        <v>Medium</v>
      </c>
      <c r="AL312" t="str" cm="1">
        <f t="array" ref="AL312">_xlfn.IFS(Table1[[#This Row],[Attrition]]="Yes","Resigned",Table1[[#This Row],[Attrition]]="No","Active")</f>
        <v>Active</v>
      </c>
      <c r="AM312" t="str" cm="1">
        <f t="array" ref="AM312">_xlfn.IFS(Table1[[#This Row],[YearsAtCompany]]&lt;=1,"0-1 Year",Table1[[#This Row],[YearsAtCompany]]&lt;=2,"1-2 Years",Table1[[#This Row],[YearsAtCompany]]&lt;=3,"2-3 Years",Table1[[#This Row],[YearsAtCompany]]&lt;=4,"3-4 Years",Table1[[#This Row],[YearsAtCompany]]&lt;=5,"4-5 Years",Table1[[#This Row],[YearsAtCompany]]&gt;5,"&gt;5 Years")</f>
        <v>1-2 Years</v>
      </c>
    </row>
    <row r="313" spans="1:39" hidden="1" x14ac:dyDescent="0.45">
      <c r="A313">
        <v>45</v>
      </c>
      <c r="B313" t="s">
        <v>43</v>
      </c>
      <c r="C313" t="s">
        <v>63</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_xlfn.IFS(Table1[[#This Row],[Age]]&lt;30,"Young",Table1[[#This Row],[Age]]&lt;=40,"Adult",Table1[[#This Row],[Age]]&gt;40,"Senior")</f>
        <v>Senior</v>
      </c>
      <c r="AK313" t="str" cm="1">
        <f t="array" ref="AK313">_xlfn.IFS(Table1[[#This Row],[MonthlyIncome]]&lt;5000,"Low",Table1[[#This Row],[MonthlyIncome]]&lt;10000,"Medium",Table1[[#This Row],[MonthlyIncome]]&gt;10000,"High")</f>
        <v>Medium</v>
      </c>
      <c r="AL313" t="str" cm="1">
        <f t="array" ref="AL313">_xlfn.IFS(Table1[[#This Row],[Attrition]]="Yes","Resigned",Table1[[#This Row],[Attrition]]="No","Active")</f>
        <v>Active</v>
      </c>
      <c r="AM313" t="str" cm="1">
        <f t="array" ref="AM313">_xlfn.IFS(Table1[[#This Row],[YearsAtCompany]]&lt;=1,"0-1 Year",Table1[[#This Row],[YearsAtCompany]]&lt;=2,"1-2 Years",Table1[[#This Row],[YearsAtCompany]]&lt;=3,"2-3 Years",Table1[[#This Row],[YearsAtCompany]]&lt;=4,"3-4 Years",Table1[[#This Row],[YearsAtCompany]]&lt;=5,"4-5 Years",Table1[[#This Row],[YearsAtCompany]]&gt;5,"&gt;5 Years")</f>
        <v>&gt;5 Years</v>
      </c>
    </row>
    <row r="314" spans="1:39" hidden="1" x14ac:dyDescent="0.45">
      <c r="A314">
        <v>31</v>
      </c>
      <c r="B314" t="s">
        <v>43</v>
      </c>
      <c r="C314" t="s">
        <v>64</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_xlfn.IFS(Table1[[#This Row],[Age]]&lt;30,"Young",Table1[[#This Row],[Age]]&lt;=40,"Adult",Table1[[#This Row],[Age]]&gt;40,"Senior")</f>
        <v>Adult</v>
      </c>
      <c r="AK314" t="str" cm="1">
        <f t="array" ref="AK314">_xlfn.IFS(Table1[[#This Row],[MonthlyIncome]]&lt;5000,"Low",Table1[[#This Row],[MonthlyIncome]]&lt;10000,"Medium",Table1[[#This Row],[MonthlyIncome]]&gt;10000,"High")</f>
        <v>Low</v>
      </c>
      <c r="AL314" t="str" cm="1">
        <f t="array" ref="AL314">_xlfn.IFS(Table1[[#This Row],[Attrition]]="Yes","Resigned",Table1[[#This Row],[Attrition]]="No","Active")</f>
        <v>Active</v>
      </c>
      <c r="AM314" t="str" cm="1">
        <f t="array" ref="AM314">_xlfn.IFS(Table1[[#This Row],[YearsAtCompany]]&lt;=1,"0-1 Year",Table1[[#This Row],[YearsAtCompany]]&lt;=2,"1-2 Years",Table1[[#This Row],[YearsAtCompany]]&lt;=3,"2-3 Years",Table1[[#This Row],[YearsAtCompany]]&lt;=4,"3-4 Years",Table1[[#This Row],[YearsAtCompany]]&lt;=5,"4-5 Years",Table1[[#This Row],[YearsAtCompany]]&gt;5,"&gt;5 Years")</f>
        <v>1-2 Years</v>
      </c>
    </row>
    <row r="315" spans="1:39" hidden="1" x14ac:dyDescent="0.45">
      <c r="A315">
        <v>33</v>
      </c>
      <c r="B315" t="s">
        <v>43</v>
      </c>
      <c r="C315" t="s">
        <v>63</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_xlfn.IFS(Table1[[#This Row],[Age]]&lt;30,"Young",Table1[[#This Row],[Age]]&lt;=40,"Adult",Table1[[#This Row],[Age]]&gt;40,"Senior")</f>
        <v>Adult</v>
      </c>
      <c r="AK315" t="str" cm="1">
        <f t="array" ref="AK315">_xlfn.IFS(Table1[[#This Row],[MonthlyIncome]]&lt;5000,"Low",Table1[[#This Row],[MonthlyIncome]]&lt;10000,"Medium",Table1[[#This Row],[MonthlyIncome]]&gt;10000,"High")</f>
        <v>High</v>
      </c>
      <c r="AL315" t="str" cm="1">
        <f t="array" ref="AL315">_xlfn.IFS(Table1[[#This Row],[Attrition]]="Yes","Resigned",Table1[[#This Row],[Attrition]]="No","Active")</f>
        <v>Active</v>
      </c>
      <c r="AM315" t="str" cm="1">
        <f t="array" ref="AM315">_xlfn.IFS(Table1[[#This Row],[YearsAtCompany]]&lt;=1,"0-1 Year",Table1[[#This Row],[YearsAtCompany]]&lt;=2,"1-2 Years",Table1[[#This Row],[YearsAtCompany]]&lt;=3,"2-3 Years",Table1[[#This Row],[YearsAtCompany]]&lt;=4,"3-4 Years",Table1[[#This Row],[YearsAtCompany]]&lt;=5,"4-5 Years",Table1[[#This Row],[YearsAtCompany]]&gt;5,"&gt;5 Years")</f>
        <v>&gt;5 Years</v>
      </c>
    </row>
    <row r="316" spans="1:39" hidden="1" x14ac:dyDescent="0.45">
      <c r="A316">
        <v>39</v>
      </c>
      <c r="B316" t="s">
        <v>43</v>
      </c>
      <c r="C316" t="s">
        <v>64</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_xlfn.IFS(Table1[[#This Row],[Age]]&lt;30,"Young",Table1[[#This Row],[Age]]&lt;=40,"Adult",Table1[[#This Row],[Age]]&gt;40,"Senior")</f>
        <v>Adult</v>
      </c>
      <c r="AK316" t="str" cm="1">
        <f t="array" ref="AK316">_xlfn.IFS(Table1[[#This Row],[MonthlyIncome]]&lt;5000,"Low",Table1[[#This Row],[MonthlyIncome]]&lt;10000,"Medium",Table1[[#This Row],[MonthlyIncome]]&gt;10000,"High")</f>
        <v>High</v>
      </c>
      <c r="AL316" t="str" cm="1">
        <f t="array" ref="AL316">_xlfn.IFS(Table1[[#This Row],[Attrition]]="Yes","Resigned",Table1[[#This Row],[Attrition]]="No","Active")</f>
        <v>Active</v>
      </c>
      <c r="AM316" t="str" cm="1">
        <f t="array" ref="AM316">_xlfn.IFS(Table1[[#This Row],[YearsAtCompany]]&lt;=1,"0-1 Year",Table1[[#This Row],[YearsAtCompany]]&lt;=2,"1-2 Years",Table1[[#This Row],[YearsAtCompany]]&lt;=3,"2-3 Years",Table1[[#This Row],[YearsAtCompany]]&lt;=4,"3-4 Years",Table1[[#This Row],[YearsAtCompany]]&lt;=5,"4-5 Years",Table1[[#This Row],[YearsAtCompany]]&gt;5,"&gt;5 Years")</f>
        <v>&gt;5 Years</v>
      </c>
    </row>
    <row r="317" spans="1:39" hidden="1" x14ac:dyDescent="0.45">
      <c r="A317">
        <v>43</v>
      </c>
      <c r="B317" t="s">
        <v>43</v>
      </c>
      <c r="C317" t="s">
        <v>63</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_xlfn.IFS(Table1[[#This Row],[Age]]&lt;30,"Young",Table1[[#This Row],[Age]]&lt;=40,"Adult",Table1[[#This Row],[Age]]&gt;40,"Senior")</f>
        <v>Senior</v>
      </c>
      <c r="AK317" t="str" cm="1">
        <f t="array" ref="AK317">_xlfn.IFS(Table1[[#This Row],[MonthlyIncome]]&lt;5000,"Low",Table1[[#This Row],[MonthlyIncome]]&lt;10000,"Medium",Table1[[#This Row],[MonthlyIncome]]&gt;10000,"High")</f>
        <v>Low</v>
      </c>
      <c r="AL317" t="str" cm="1">
        <f t="array" ref="AL317">_xlfn.IFS(Table1[[#This Row],[Attrition]]="Yes","Resigned",Table1[[#This Row],[Attrition]]="No","Active")</f>
        <v>Active</v>
      </c>
      <c r="AM317" t="str" cm="1">
        <f t="array" ref="AM317">_xlfn.IFS(Table1[[#This Row],[YearsAtCompany]]&lt;=1,"0-1 Year",Table1[[#This Row],[YearsAtCompany]]&lt;=2,"1-2 Years",Table1[[#This Row],[YearsAtCompany]]&lt;=3,"2-3 Years",Table1[[#This Row],[YearsAtCompany]]&lt;=4,"3-4 Years",Table1[[#This Row],[YearsAtCompany]]&lt;=5,"4-5 Years",Table1[[#This Row],[YearsAtCompany]]&gt;5,"&gt;5 Years")</f>
        <v>&gt;5 Years</v>
      </c>
    </row>
    <row r="318" spans="1:39" hidden="1" x14ac:dyDescent="0.45">
      <c r="A318">
        <v>49</v>
      </c>
      <c r="B318" t="s">
        <v>43</v>
      </c>
      <c r="C318" t="s">
        <v>64</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_xlfn.IFS(Table1[[#This Row],[Age]]&lt;30,"Young",Table1[[#This Row],[Age]]&lt;=40,"Adult",Table1[[#This Row],[Age]]&gt;40,"Senior")</f>
        <v>Senior</v>
      </c>
      <c r="AK318" t="str" cm="1">
        <f t="array" ref="AK318">_xlfn.IFS(Table1[[#This Row],[MonthlyIncome]]&lt;5000,"Low",Table1[[#This Row],[MonthlyIncome]]&lt;10000,"Medium",Table1[[#This Row],[MonthlyIncome]]&gt;10000,"High")</f>
        <v>High</v>
      </c>
      <c r="AL318" t="str" cm="1">
        <f t="array" ref="AL318">_xlfn.IFS(Table1[[#This Row],[Attrition]]="Yes","Resigned",Table1[[#This Row],[Attrition]]="No","Active")</f>
        <v>Active</v>
      </c>
      <c r="AM318" t="str" cm="1">
        <f t="array" ref="AM318">_xlfn.IFS(Table1[[#This Row],[YearsAtCompany]]&lt;=1,"0-1 Year",Table1[[#This Row],[YearsAtCompany]]&lt;=2,"1-2 Years",Table1[[#This Row],[YearsAtCompany]]&lt;=3,"2-3 Years",Table1[[#This Row],[YearsAtCompany]]&lt;=4,"3-4 Years",Table1[[#This Row],[YearsAtCompany]]&lt;=5,"4-5 Years",Table1[[#This Row],[YearsAtCompany]]&gt;5,"&gt;5 Years")</f>
        <v>&gt;5 Years</v>
      </c>
    </row>
    <row r="319" spans="1:39" hidden="1" x14ac:dyDescent="0.45">
      <c r="A319">
        <v>52</v>
      </c>
      <c r="B319" t="s">
        <v>35</v>
      </c>
      <c r="C319" t="s">
        <v>64</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_xlfn.IFS(Table1[[#This Row],[Age]]&lt;30,"Young",Table1[[#This Row],[Age]]&lt;=40,"Adult",Table1[[#This Row],[Age]]&gt;40,"Senior")</f>
        <v>Senior</v>
      </c>
      <c r="AK319" t="str" cm="1">
        <f t="array" ref="AK319">_xlfn.IFS(Table1[[#This Row],[MonthlyIncome]]&lt;5000,"Low",Table1[[#This Row],[MonthlyIncome]]&lt;10000,"Medium",Table1[[#This Row],[MonthlyIncome]]&gt;10000,"High")</f>
        <v>Low</v>
      </c>
      <c r="AL319" t="str" cm="1">
        <f t="array" ref="AL319">_xlfn.IFS(Table1[[#This Row],[Attrition]]="Yes","Resigned",Table1[[#This Row],[Attrition]]="No","Active")</f>
        <v>Resigned</v>
      </c>
      <c r="AM319" t="str" cm="1">
        <f t="array" ref="AM319">_xlfn.IFS(Table1[[#This Row],[YearsAtCompany]]&lt;=1,"0-1 Year",Table1[[#This Row],[YearsAtCompany]]&lt;=2,"1-2 Years",Table1[[#This Row],[YearsAtCompany]]&lt;=3,"2-3 Years",Table1[[#This Row],[YearsAtCompany]]&lt;=4,"3-4 Years",Table1[[#This Row],[YearsAtCompany]]&lt;=5,"4-5 Years",Table1[[#This Row],[YearsAtCompany]]&gt;5,"&gt;5 Years")</f>
        <v>&gt;5 Years</v>
      </c>
    </row>
    <row r="320" spans="1:39" hidden="1" x14ac:dyDescent="0.45">
      <c r="A320">
        <v>27</v>
      </c>
      <c r="B320" t="s">
        <v>43</v>
      </c>
      <c r="C320" t="s">
        <v>64</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_xlfn.IFS(Table1[[#This Row],[Age]]&lt;30,"Young",Table1[[#This Row],[Age]]&lt;=40,"Adult",Table1[[#This Row],[Age]]&gt;40,"Senior")</f>
        <v>Young</v>
      </c>
      <c r="AK320" t="str" cm="1">
        <f t="array" ref="AK320">_xlfn.IFS(Table1[[#This Row],[MonthlyIncome]]&lt;5000,"Low",Table1[[#This Row],[MonthlyIncome]]&lt;10000,"Medium",Table1[[#This Row],[MonthlyIncome]]&gt;10000,"High")</f>
        <v>Low</v>
      </c>
      <c r="AL320" t="str" cm="1">
        <f t="array" ref="AL320">_xlfn.IFS(Table1[[#This Row],[Attrition]]="Yes","Resigned",Table1[[#This Row],[Attrition]]="No","Active")</f>
        <v>Active</v>
      </c>
      <c r="AM320" t="str" cm="1">
        <f t="array" ref="AM320">_xlfn.IFS(Table1[[#This Row],[YearsAtCompany]]&lt;=1,"0-1 Year",Table1[[#This Row],[YearsAtCompany]]&lt;=2,"1-2 Years",Table1[[#This Row],[YearsAtCompany]]&lt;=3,"2-3 Years",Table1[[#This Row],[YearsAtCompany]]&lt;=4,"3-4 Years",Table1[[#This Row],[YearsAtCompany]]&lt;=5,"4-5 Years",Table1[[#This Row],[YearsAtCompany]]&gt;5,"&gt;5 Years")</f>
        <v>3-4 Years</v>
      </c>
    </row>
    <row r="321" spans="1:39" x14ac:dyDescent="0.45">
      <c r="A321">
        <v>32</v>
      </c>
      <c r="B321" t="s">
        <v>43</v>
      </c>
      <c r="C321" t="s">
        <v>64</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_xlfn.IFS(Table1[[#This Row],[Age]]&lt;30,"Young",Table1[[#This Row],[Age]]&lt;=40,"Adult",Table1[[#This Row],[Age]]&gt;40,"Senior")</f>
        <v>Adult</v>
      </c>
      <c r="AK321" t="str" cm="1">
        <f t="array" ref="AK321">_xlfn.IFS(Table1[[#This Row],[MonthlyIncome]]&lt;5000,"Low",Table1[[#This Row],[MonthlyIncome]]&lt;10000,"Medium",Table1[[#This Row],[MonthlyIncome]]&gt;10000,"High")</f>
        <v>Medium</v>
      </c>
      <c r="AL321" t="str" cm="1">
        <f t="array" ref="AL321">_xlfn.IFS(Table1[[#This Row],[Attrition]]="Yes","Resigned",Table1[[#This Row],[Attrition]]="No","Active")</f>
        <v>Active</v>
      </c>
      <c r="AM321" t="str" cm="1">
        <f t="array" ref="AM321">_xlfn.IFS(Table1[[#This Row],[YearsAtCompany]]&lt;=1,"0-1 Year",Table1[[#This Row],[YearsAtCompany]]&lt;=2,"1-2 Years",Table1[[#This Row],[YearsAtCompany]]&lt;=3,"2-3 Years",Table1[[#This Row],[YearsAtCompany]]&lt;=4,"3-4 Years",Table1[[#This Row],[YearsAtCompany]]&lt;=5,"4-5 Years",Table1[[#This Row],[YearsAtCompany]]&gt;5,"&gt;5 Years")</f>
        <v>&gt;5 Years</v>
      </c>
    </row>
    <row r="322" spans="1:39" x14ac:dyDescent="0.45">
      <c r="A322">
        <v>27</v>
      </c>
      <c r="B322" t="s">
        <v>43</v>
      </c>
      <c r="C322" t="s">
        <v>64</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_xlfn.IFS(Table1[[#This Row],[Age]]&lt;30,"Young",Table1[[#This Row],[Age]]&lt;=40,"Adult",Table1[[#This Row],[Age]]&gt;40,"Senior")</f>
        <v>Young</v>
      </c>
      <c r="AK322" t="str" cm="1">
        <f t="array" ref="AK322">_xlfn.IFS(Table1[[#This Row],[MonthlyIncome]]&lt;5000,"Low",Table1[[#This Row],[MonthlyIncome]]&lt;10000,"Medium",Table1[[#This Row],[MonthlyIncome]]&gt;10000,"High")</f>
        <v>Low</v>
      </c>
      <c r="AL322" t="str" cm="1">
        <f t="array" ref="AL322">_xlfn.IFS(Table1[[#This Row],[Attrition]]="Yes","Resigned",Table1[[#This Row],[Attrition]]="No","Active")</f>
        <v>Active</v>
      </c>
      <c r="AM322" t="str" cm="1">
        <f t="array" ref="AM322">_xlfn.IFS(Table1[[#This Row],[YearsAtCompany]]&lt;=1,"0-1 Year",Table1[[#This Row],[YearsAtCompany]]&lt;=2,"1-2 Years",Table1[[#This Row],[YearsAtCompany]]&lt;=3,"2-3 Years",Table1[[#This Row],[YearsAtCompany]]&lt;=4,"3-4 Years",Table1[[#This Row],[YearsAtCompany]]&lt;=5,"4-5 Years",Table1[[#This Row],[YearsAtCompany]]&gt;5,"&gt;5 Years")</f>
        <v>4-5 Years</v>
      </c>
    </row>
    <row r="323" spans="1:39" x14ac:dyDescent="0.45">
      <c r="A323">
        <v>31</v>
      </c>
      <c r="B323" t="s">
        <v>43</v>
      </c>
      <c r="C323" t="s">
        <v>64</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_xlfn.IFS(Table1[[#This Row],[Age]]&lt;30,"Young",Table1[[#This Row],[Age]]&lt;=40,"Adult",Table1[[#This Row],[Age]]&gt;40,"Senior")</f>
        <v>Adult</v>
      </c>
      <c r="AK323" t="str" cm="1">
        <f t="array" ref="AK323">_xlfn.IFS(Table1[[#This Row],[MonthlyIncome]]&lt;5000,"Low",Table1[[#This Row],[MonthlyIncome]]&lt;10000,"Medium",Table1[[#This Row],[MonthlyIncome]]&gt;10000,"High")</f>
        <v>Medium</v>
      </c>
      <c r="AL323" t="str" cm="1">
        <f t="array" ref="AL323">_xlfn.IFS(Table1[[#This Row],[Attrition]]="Yes","Resigned",Table1[[#This Row],[Attrition]]="No","Active")</f>
        <v>Active</v>
      </c>
      <c r="AM323" t="str" cm="1">
        <f t="array" ref="AM323">_xlfn.IFS(Table1[[#This Row],[YearsAtCompany]]&lt;=1,"0-1 Year",Table1[[#This Row],[YearsAtCompany]]&lt;=2,"1-2 Years",Table1[[#This Row],[YearsAtCompany]]&lt;=3,"2-3 Years",Table1[[#This Row],[YearsAtCompany]]&lt;=4,"3-4 Years",Table1[[#This Row],[YearsAtCompany]]&lt;=5,"4-5 Years",Table1[[#This Row],[YearsAtCompany]]&gt;5,"&gt;5 Years")</f>
        <v>&gt;5 Years</v>
      </c>
    </row>
    <row r="324" spans="1:39" hidden="1" x14ac:dyDescent="0.45">
      <c r="A324">
        <v>32</v>
      </c>
      <c r="B324" t="s">
        <v>43</v>
      </c>
      <c r="C324" t="s">
        <v>64</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_xlfn.IFS(Table1[[#This Row],[Age]]&lt;30,"Young",Table1[[#This Row],[Age]]&lt;=40,"Adult",Table1[[#This Row],[Age]]&gt;40,"Senior")</f>
        <v>Adult</v>
      </c>
      <c r="AK324" t="str" cm="1">
        <f t="array" ref="AK324">_xlfn.IFS(Table1[[#This Row],[MonthlyIncome]]&lt;5000,"Low",Table1[[#This Row],[MonthlyIncome]]&lt;10000,"Medium",Table1[[#This Row],[MonthlyIncome]]&gt;10000,"High")</f>
        <v>Medium</v>
      </c>
      <c r="AL324" t="str" cm="1">
        <f t="array" ref="AL324">_xlfn.IFS(Table1[[#This Row],[Attrition]]="Yes","Resigned",Table1[[#This Row],[Attrition]]="No","Active")</f>
        <v>Active</v>
      </c>
      <c r="AM324" t="str" cm="1">
        <f t="array" ref="AM324">_xlfn.IFS(Table1[[#This Row],[YearsAtCompany]]&lt;=1,"0-1 Year",Table1[[#This Row],[YearsAtCompany]]&lt;=2,"1-2 Years",Table1[[#This Row],[YearsAtCompany]]&lt;=3,"2-3 Years",Table1[[#This Row],[YearsAtCompany]]&lt;=4,"3-4 Years",Table1[[#This Row],[YearsAtCompany]]&lt;=5,"4-5 Years",Table1[[#This Row],[YearsAtCompany]]&gt;5,"&gt;5 Years")</f>
        <v>&gt;5 Years</v>
      </c>
    </row>
    <row r="325" spans="1:39" hidden="1" x14ac:dyDescent="0.45">
      <c r="A325">
        <v>28</v>
      </c>
      <c r="B325" t="s">
        <v>35</v>
      </c>
      <c r="C325" t="s">
        <v>64</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_xlfn.IFS(Table1[[#This Row],[Age]]&lt;30,"Young",Table1[[#This Row],[Age]]&lt;=40,"Adult",Table1[[#This Row],[Age]]&gt;40,"Senior")</f>
        <v>Young</v>
      </c>
      <c r="AK325" t="str" cm="1">
        <f t="array" ref="AK325">_xlfn.IFS(Table1[[#This Row],[MonthlyIncome]]&lt;5000,"Low",Table1[[#This Row],[MonthlyIncome]]&lt;10000,"Medium",Table1[[#This Row],[MonthlyIncome]]&gt;10000,"High")</f>
        <v>Low</v>
      </c>
      <c r="AL325" t="str" cm="1">
        <f t="array" ref="AL325">_xlfn.IFS(Table1[[#This Row],[Attrition]]="Yes","Resigned",Table1[[#This Row],[Attrition]]="No","Active")</f>
        <v>Resigned</v>
      </c>
      <c r="AM325" t="str" cm="1">
        <f t="array" ref="AM325">_xlfn.IFS(Table1[[#This Row],[YearsAtCompany]]&lt;=1,"0-1 Year",Table1[[#This Row],[YearsAtCompany]]&lt;=2,"1-2 Years",Table1[[#This Row],[YearsAtCompany]]&lt;=3,"2-3 Years",Table1[[#This Row],[YearsAtCompany]]&lt;=4,"3-4 Years",Table1[[#This Row],[YearsAtCompany]]&lt;=5,"4-5 Years",Table1[[#This Row],[YearsAtCompany]]&gt;5,"&gt;5 Years")</f>
        <v>2-3 Years</v>
      </c>
    </row>
    <row r="326" spans="1:39" hidden="1" x14ac:dyDescent="0.45">
      <c r="A326">
        <v>30</v>
      </c>
      <c r="B326" t="s">
        <v>43</v>
      </c>
      <c r="C326" t="s">
        <v>64</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_xlfn.IFS(Table1[[#This Row],[Age]]&lt;30,"Young",Table1[[#This Row],[Age]]&lt;=40,"Adult",Table1[[#This Row],[Age]]&gt;40,"Senior")</f>
        <v>Adult</v>
      </c>
      <c r="AK326" t="str" cm="1">
        <f t="array" ref="AK326">_xlfn.IFS(Table1[[#This Row],[MonthlyIncome]]&lt;5000,"Low",Table1[[#This Row],[MonthlyIncome]]&lt;10000,"Medium",Table1[[#This Row],[MonthlyIncome]]&gt;10000,"High")</f>
        <v>Medium</v>
      </c>
      <c r="AL326" t="str" cm="1">
        <f t="array" ref="AL326">_xlfn.IFS(Table1[[#This Row],[Attrition]]="Yes","Resigned",Table1[[#This Row],[Attrition]]="No","Active")</f>
        <v>Active</v>
      </c>
      <c r="AM326" t="str" cm="1">
        <f t="array" ref="AM326">_xlfn.IFS(Table1[[#This Row],[YearsAtCompany]]&lt;=1,"0-1 Year",Table1[[#This Row],[YearsAtCompany]]&lt;=2,"1-2 Years",Table1[[#This Row],[YearsAtCompany]]&lt;=3,"2-3 Years",Table1[[#This Row],[YearsAtCompany]]&lt;=4,"3-4 Years",Table1[[#This Row],[YearsAtCompany]]&lt;=5,"4-5 Years",Table1[[#This Row],[YearsAtCompany]]&gt;5,"&gt;5 Years")</f>
        <v>&gt;5 Years</v>
      </c>
    </row>
    <row r="327" spans="1:39" hidden="1" x14ac:dyDescent="0.45">
      <c r="A327">
        <v>31</v>
      </c>
      <c r="B327" t="s">
        <v>43</v>
      </c>
      <c r="C327" t="s">
        <v>63</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_xlfn.IFS(Table1[[#This Row],[Age]]&lt;30,"Young",Table1[[#This Row],[Age]]&lt;=40,"Adult",Table1[[#This Row],[Age]]&gt;40,"Senior")</f>
        <v>Adult</v>
      </c>
      <c r="AK327" t="str" cm="1">
        <f t="array" ref="AK327">_xlfn.IFS(Table1[[#This Row],[MonthlyIncome]]&lt;5000,"Low",Table1[[#This Row],[MonthlyIncome]]&lt;10000,"Medium",Table1[[#This Row],[MonthlyIncome]]&gt;10000,"High")</f>
        <v>Medium</v>
      </c>
      <c r="AL327" t="str" cm="1">
        <f t="array" ref="AL327">_xlfn.IFS(Table1[[#This Row],[Attrition]]="Yes","Resigned",Table1[[#This Row],[Attrition]]="No","Active")</f>
        <v>Active</v>
      </c>
      <c r="AM327" t="str" cm="1">
        <f t="array" ref="AM327">_xlfn.IFS(Table1[[#This Row],[YearsAtCompany]]&lt;=1,"0-1 Year",Table1[[#This Row],[YearsAtCompany]]&lt;=2,"1-2 Years",Table1[[#This Row],[YearsAtCompany]]&lt;=3,"2-3 Years",Table1[[#This Row],[YearsAtCompany]]&lt;=4,"3-4 Years",Table1[[#This Row],[YearsAtCompany]]&lt;=5,"4-5 Years",Table1[[#This Row],[YearsAtCompany]]&gt;5,"&gt;5 Years")</f>
        <v>&gt;5 Years</v>
      </c>
    </row>
    <row r="328" spans="1:39" hidden="1" x14ac:dyDescent="0.45">
      <c r="A328">
        <v>39</v>
      </c>
      <c r="B328" t="s">
        <v>43</v>
      </c>
      <c r="C328" t="s">
        <v>63</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_xlfn.IFS(Table1[[#This Row],[Age]]&lt;30,"Young",Table1[[#This Row],[Age]]&lt;=40,"Adult",Table1[[#This Row],[Age]]&gt;40,"Senior")</f>
        <v>Adult</v>
      </c>
      <c r="AK328" t="str" cm="1">
        <f t="array" ref="AK328">_xlfn.IFS(Table1[[#This Row],[MonthlyIncome]]&lt;5000,"Low",Table1[[#This Row],[MonthlyIncome]]&lt;10000,"Medium",Table1[[#This Row],[MonthlyIncome]]&gt;10000,"High")</f>
        <v>High</v>
      </c>
      <c r="AL328" t="str" cm="1">
        <f t="array" ref="AL328">_xlfn.IFS(Table1[[#This Row],[Attrition]]="Yes","Resigned",Table1[[#This Row],[Attrition]]="No","Active")</f>
        <v>Active</v>
      </c>
      <c r="AM328" t="str" cm="1">
        <f t="array" ref="AM328">_xlfn.IFS(Table1[[#This Row],[YearsAtCompany]]&lt;=1,"0-1 Year",Table1[[#This Row],[YearsAtCompany]]&lt;=2,"1-2 Years",Table1[[#This Row],[YearsAtCompany]]&lt;=3,"2-3 Years",Table1[[#This Row],[YearsAtCompany]]&lt;=4,"3-4 Years",Table1[[#This Row],[YearsAtCompany]]&lt;=5,"4-5 Years",Table1[[#This Row],[YearsAtCompany]]&gt;5,"&gt;5 Years")</f>
        <v>&gt;5 Years</v>
      </c>
    </row>
    <row r="329" spans="1:39" x14ac:dyDescent="0.45">
      <c r="A329">
        <v>39</v>
      </c>
      <c r="B329" t="s">
        <v>35</v>
      </c>
      <c r="C329" t="s">
        <v>64</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_xlfn.IFS(Table1[[#This Row],[Age]]&lt;30,"Young",Table1[[#This Row],[Age]]&lt;=40,"Adult",Table1[[#This Row],[Age]]&gt;40,"Senior")</f>
        <v>Adult</v>
      </c>
      <c r="AK329" t="str" cm="1">
        <f t="array" ref="AK329">_xlfn.IFS(Table1[[#This Row],[MonthlyIncome]]&lt;5000,"Low",Table1[[#This Row],[MonthlyIncome]]&lt;10000,"Medium",Table1[[#This Row],[MonthlyIncome]]&gt;10000,"High")</f>
        <v>Medium</v>
      </c>
      <c r="AL329" t="str" cm="1">
        <f t="array" ref="AL329">_xlfn.IFS(Table1[[#This Row],[Attrition]]="Yes","Resigned",Table1[[#This Row],[Attrition]]="No","Active")</f>
        <v>Resigned</v>
      </c>
      <c r="AM329" t="str" cm="1">
        <f t="array" ref="AM329">_xlfn.IFS(Table1[[#This Row],[YearsAtCompany]]&lt;=1,"0-1 Year",Table1[[#This Row],[YearsAtCompany]]&lt;=2,"1-2 Years",Table1[[#This Row],[YearsAtCompany]]&lt;=3,"2-3 Years",Table1[[#This Row],[YearsAtCompany]]&lt;=4,"3-4 Years",Table1[[#This Row],[YearsAtCompany]]&lt;=5,"4-5 Years",Table1[[#This Row],[YearsAtCompany]]&gt;5,"&gt;5 Years")</f>
        <v>0-1 Year</v>
      </c>
    </row>
    <row r="330" spans="1:39" x14ac:dyDescent="0.45">
      <c r="A330">
        <v>33</v>
      </c>
      <c r="B330" t="s">
        <v>43</v>
      </c>
      <c r="C330" t="s">
        <v>63</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_xlfn.IFS(Table1[[#This Row],[Age]]&lt;30,"Young",Table1[[#This Row],[Age]]&lt;=40,"Adult",Table1[[#This Row],[Age]]&gt;40,"Senior")</f>
        <v>Adult</v>
      </c>
      <c r="AK330" t="str" cm="1">
        <f t="array" ref="AK330">_xlfn.IFS(Table1[[#This Row],[MonthlyIncome]]&lt;5000,"Low",Table1[[#This Row],[MonthlyIncome]]&lt;10000,"Medium",Table1[[#This Row],[MonthlyIncome]]&gt;10000,"High")</f>
        <v>Low</v>
      </c>
      <c r="AL330" t="str" cm="1">
        <f t="array" ref="AL330">_xlfn.IFS(Table1[[#This Row],[Attrition]]="Yes","Resigned",Table1[[#This Row],[Attrition]]="No","Active")</f>
        <v>Active</v>
      </c>
      <c r="AM330" t="str" cm="1">
        <f t="array" ref="AM330">_xlfn.IFS(Table1[[#This Row],[YearsAtCompany]]&lt;=1,"0-1 Year",Table1[[#This Row],[YearsAtCompany]]&lt;=2,"1-2 Years",Table1[[#This Row],[YearsAtCompany]]&lt;=3,"2-3 Years",Table1[[#This Row],[YearsAtCompany]]&lt;=4,"3-4 Years",Table1[[#This Row],[YearsAtCompany]]&lt;=5,"4-5 Years",Table1[[#This Row],[YearsAtCompany]]&gt;5,"&gt;5 Years")</f>
        <v>&gt;5 Years</v>
      </c>
    </row>
    <row r="331" spans="1:39" hidden="1" x14ac:dyDescent="0.45">
      <c r="A331">
        <v>47</v>
      </c>
      <c r="B331" t="s">
        <v>43</v>
      </c>
      <c r="C331" t="s">
        <v>64</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_xlfn.IFS(Table1[[#This Row],[Age]]&lt;30,"Young",Table1[[#This Row],[Age]]&lt;=40,"Adult",Table1[[#This Row],[Age]]&gt;40,"Senior")</f>
        <v>Senior</v>
      </c>
      <c r="AK331" t="str" cm="1">
        <f t="array" ref="AK331">_xlfn.IFS(Table1[[#This Row],[MonthlyIncome]]&lt;5000,"Low",Table1[[#This Row],[MonthlyIncome]]&lt;10000,"Medium",Table1[[#This Row],[MonthlyIncome]]&gt;10000,"High")</f>
        <v>High</v>
      </c>
      <c r="AL331" t="str" cm="1">
        <f t="array" ref="AL331">_xlfn.IFS(Table1[[#This Row],[Attrition]]="Yes","Resigned",Table1[[#This Row],[Attrition]]="No","Active")</f>
        <v>Active</v>
      </c>
      <c r="AM331" t="str" cm="1">
        <f t="array" ref="AM331">_xlfn.IFS(Table1[[#This Row],[YearsAtCompany]]&lt;=1,"0-1 Year",Table1[[#This Row],[YearsAtCompany]]&lt;=2,"1-2 Years",Table1[[#This Row],[YearsAtCompany]]&lt;=3,"2-3 Years",Table1[[#This Row],[YearsAtCompany]]&lt;=4,"3-4 Years",Table1[[#This Row],[YearsAtCompany]]&lt;=5,"4-5 Years",Table1[[#This Row],[YearsAtCompany]]&gt;5,"&gt;5 Years")</f>
        <v>2-3 Years</v>
      </c>
    </row>
    <row r="332" spans="1:39" hidden="1" x14ac:dyDescent="0.45">
      <c r="A332">
        <v>43</v>
      </c>
      <c r="B332" t="s">
        <v>43</v>
      </c>
      <c r="C332" t="s">
        <v>63</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_xlfn.IFS(Table1[[#This Row],[Age]]&lt;30,"Young",Table1[[#This Row],[Age]]&lt;=40,"Adult",Table1[[#This Row],[Age]]&gt;40,"Senior")</f>
        <v>Senior</v>
      </c>
      <c r="AK332" t="str" cm="1">
        <f t="array" ref="AK332">_xlfn.IFS(Table1[[#This Row],[MonthlyIncome]]&lt;5000,"Low",Table1[[#This Row],[MonthlyIncome]]&lt;10000,"Medium",Table1[[#This Row],[MonthlyIncome]]&gt;10000,"High")</f>
        <v>Medium</v>
      </c>
      <c r="AL332" t="str" cm="1">
        <f t="array" ref="AL332">_xlfn.IFS(Table1[[#This Row],[Attrition]]="Yes","Resigned",Table1[[#This Row],[Attrition]]="No","Active")</f>
        <v>Active</v>
      </c>
      <c r="AM332" t="str" cm="1">
        <f t="array" ref="AM332">_xlfn.IFS(Table1[[#This Row],[YearsAtCompany]]&lt;=1,"0-1 Year",Table1[[#This Row],[YearsAtCompany]]&lt;=2,"1-2 Years",Table1[[#This Row],[YearsAtCompany]]&lt;=3,"2-3 Years",Table1[[#This Row],[YearsAtCompany]]&lt;=4,"3-4 Years",Table1[[#This Row],[YearsAtCompany]]&lt;=5,"4-5 Years",Table1[[#This Row],[YearsAtCompany]]&gt;5,"&gt;5 Years")</f>
        <v>&gt;5 Years</v>
      </c>
    </row>
    <row r="333" spans="1:39" x14ac:dyDescent="0.45">
      <c r="A333">
        <v>27</v>
      </c>
      <c r="B333" t="s">
        <v>43</v>
      </c>
      <c r="C333" t="s">
        <v>62</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_xlfn.IFS(Table1[[#This Row],[Age]]&lt;30,"Young",Table1[[#This Row],[Age]]&lt;=40,"Adult",Table1[[#This Row],[Age]]&gt;40,"Senior")</f>
        <v>Young</v>
      </c>
      <c r="AK333" t="str" cm="1">
        <f t="array" ref="AK333">_xlfn.IFS(Table1[[#This Row],[MonthlyIncome]]&lt;5000,"Low",Table1[[#This Row],[MonthlyIncome]]&lt;10000,"Medium",Table1[[#This Row],[MonthlyIncome]]&gt;10000,"High")</f>
        <v>Medium</v>
      </c>
      <c r="AL333" t="str" cm="1">
        <f t="array" ref="AL333">_xlfn.IFS(Table1[[#This Row],[Attrition]]="Yes","Resigned",Table1[[#This Row],[Attrition]]="No","Active")</f>
        <v>Active</v>
      </c>
      <c r="AM333" t="str" cm="1">
        <f t="array" ref="AM333">_xlfn.IFS(Table1[[#This Row],[YearsAtCompany]]&lt;=1,"0-1 Year",Table1[[#This Row],[YearsAtCompany]]&lt;=2,"1-2 Years",Table1[[#This Row],[YearsAtCompany]]&lt;=3,"2-3 Years",Table1[[#This Row],[YearsAtCompany]]&lt;=4,"3-4 Years",Table1[[#This Row],[YearsAtCompany]]&lt;=5,"4-5 Years",Table1[[#This Row],[YearsAtCompany]]&gt;5,"&gt;5 Years")</f>
        <v>4-5 Years</v>
      </c>
    </row>
    <row r="334" spans="1:39" hidden="1" x14ac:dyDescent="0.45">
      <c r="A334">
        <v>54</v>
      </c>
      <c r="B334" t="s">
        <v>43</v>
      </c>
      <c r="C334" t="s">
        <v>63</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_xlfn.IFS(Table1[[#This Row],[Age]]&lt;30,"Young",Table1[[#This Row],[Age]]&lt;=40,"Adult",Table1[[#This Row],[Age]]&gt;40,"Senior")</f>
        <v>Senior</v>
      </c>
      <c r="AK334" t="str" cm="1">
        <f t="array" ref="AK334">_xlfn.IFS(Table1[[#This Row],[MonthlyIncome]]&lt;5000,"Low",Table1[[#This Row],[MonthlyIncome]]&lt;10000,"Medium",Table1[[#This Row],[MonthlyIncome]]&gt;10000,"High")</f>
        <v>Low</v>
      </c>
      <c r="AL334" t="str" cm="1">
        <f t="array" ref="AL334">_xlfn.IFS(Table1[[#This Row],[Attrition]]="Yes","Resigned",Table1[[#This Row],[Attrition]]="No","Active")</f>
        <v>Active</v>
      </c>
      <c r="AM334" t="str" cm="1">
        <f t="array" ref="AM334">_xlfn.IFS(Table1[[#This Row],[YearsAtCompany]]&lt;=1,"0-1 Year",Table1[[#This Row],[YearsAtCompany]]&lt;=2,"1-2 Years",Table1[[#This Row],[YearsAtCompany]]&lt;=3,"2-3 Years",Table1[[#This Row],[YearsAtCompany]]&lt;=4,"3-4 Years",Table1[[#This Row],[YearsAtCompany]]&lt;=5,"4-5 Years",Table1[[#This Row],[YearsAtCompany]]&gt;5,"&gt;5 Years")</f>
        <v>3-4 Years</v>
      </c>
    </row>
    <row r="335" spans="1:39" hidden="1" x14ac:dyDescent="0.45">
      <c r="A335">
        <v>43</v>
      </c>
      <c r="B335" t="s">
        <v>43</v>
      </c>
      <c r="C335" t="s">
        <v>64</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_xlfn.IFS(Table1[[#This Row],[Age]]&lt;30,"Young",Table1[[#This Row],[Age]]&lt;=40,"Adult",Table1[[#This Row],[Age]]&gt;40,"Senior")</f>
        <v>Senior</v>
      </c>
      <c r="AK335" t="str" cm="1">
        <f t="array" ref="AK335">_xlfn.IFS(Table1[[#This Row],[MonthlyIncome]]&lt;5000,"Low",Table1[[#This Row],[MonthlyIncome]]&lt;10000,"Medium",Table1[[#This Row],[MonthlyIncome]]&gt;10000,"High")</f>
        <v>Medium</v>
      </c>
      <c r="AL335" t="str" cm="1">
        <f t="array" ref="AL335">_xlfn.IFS(Table1[[#This Row],[Attrition]]="Yes","Resigned",Table1[[#This Row],[Attrition]]="No","Active")</f>
        <v>Active</v>
      </c>
      <c r="AM335" t="str" cm="1">
        <f t="array" ref="AM335">_xlfn.IFS(Table1[[#This Row],[YearsAtCompany]]&lt;=1,"0-1 Year",Table1[[#This Row],[YearsAtCompany]]&lt;=2,"1-2 Years",Table1[[#This Row],[YearsAtCompany]]&lt;=3,"2-3 Years",Table1[[#This Row],[YearsAtCompany]]&lt;=4,"3-4 Years",Table1[[#This Row],[YearsAtCompany]]&lt;=5,"4-5 Years",Table1[[#This Row],[YearsAtCompany]]&gt;5,"&gt;5 Years")</f>
        <v>0-1 Year</v>
      </c>
    </row>
    <row r="336" spans="1:39" hidden="1" x14ac:dyDescent="0.45">
      <c r="A336">
        <v>45</v>
      </c>
      <c r="B336" t="s">
        <v>43</v>
      </c>
      <c r="C336" t="s">
        <v>64</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_xlfn.IFS(Table1[[#This Row],[Age]]&lt;30,"Young",Table1[[#This Row],[Age]]&lt;=40,"Adult",Table1[[#This Row],[Age]]&gt;40,"Senior")</f>
        <v>Senior</v>
      </c>
      <c r="AK336" t="str" cm="1">
        <f t="array" ref="AK336">_xlfn.IFS(Table1[[#This Row],[MonthlyIncome]]&lt;5000,"Low",Table1[[#This Row],[MonthlyIncome]]&lt;10000,"Medium",Table1[[#This Row],[MonthlyIncome]]&gt;10000,"High")</f>
        <v>Low</v>
      </c>
      <c r="AL336" t="str" cm="1">
        <f t="array" ref="AL336">_xlfn.IFS(Table1[[#This Row],[Attrition]]="Yes","Resigned",Table1[[#This Row],[Attrition]]="No","Active")</f>
        <v>Active</v>
      </c>
      <c r="AM336" t="str" cm="1">
        <f t="array" ref="AM336">_xlfn.IFS(Table1[[#This Row],[YearsAtCompany]]&lt;=1,"0-1 Year",Table1[[#This Row],[YearsAtCompany]]&lt;=2,"1-2 Years",Table1[[#This Row],[YearsAtCompany]]&lt;=3,"2-3 Years",Table1[[#This Row],[YearsAtCompany]]&lt;=4,"3-4 Years",Table1[[#This Row],[YearsAtCompany]]&lt;=5,"4-5 Years",Table1[[#This Row],[YearsAtCompany]]&gt;5,"&gt;5 Years")</f>
        <v>&gt;5 Years</v>
      </c>
    </row>
    <row r="337" spans="1:39" x14ac:dyDescent="0.45">
      <c r="A337">
        <v>40</v>
      </c>
      <c r="B337" t="s">
        <v>43</v>
      </c>
      <c r="C337" t="s">
        <v>64</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_xlfn.IFS(Table1[[#This Row],[Age]]&lt;30,"Young",Table1[[#This Row],[Age]]&lt;=40,"Adult",Table1[[#This Row],[Age]]&gt;40,"Senior")</f>
        <v>Adult</v>
      </c>
      <c r="AK337" t="str" cm="1">
        <f t="array" ref="AK337">_xlfn.IFS(Table1[[#This Row],[MonthlyIncome]]&lt;5000,"Low",Table1[[#This Row],[MonthlyIncome]]&lt;10000,"Medium",Table1[[#This Row],[MonthlyIncome]]&gt;10000,"High")</f>
        <v>Medium</v>
      </c>
      <c r="AL337" t="str" cm="1">
        <f t="array" ref="AL337">_xlfn.IFS(Table1[[#This Row],[Attrition]]="Yes","Resigned",Table1[[#This Row],[Attrition]]="No","Active")</f>
        <v>Active</v>
      </c>
      <c r="AM337" t="str" cm="1">
        <f t="array" ref="AM337">_xlfn.IFS(Table1[[#This Row],[YearsAtCompany]]&lt;=1,"0-1 Year",Table1[[#This Row],[YearsAtCompany]]&lt;=2,"1-2 Years",Table1[[#This Row],[YearsAtCompany]]&lt;=3,"2-3 Years",Table1[[#This Row],[YearsAtCompany]]&lt;=4,"3-4 Years",Table1[[#This Row],[YearsAtCompany]]&lt;=5,"4-5 Years",Table1[[#This Row],[YearsAtCompany]]&gt;5,"&gt;5 Years")</f>
        <v>3-4 Years</v>
      </c>
    </row>
    <row r="338" spans="1:39" hidden="1" x14ac:dyDescent="0.45">
      <c r="A338">
        <v>29</v>
      </c>
      <c r="B338" t="s">
        <v>35</v>
      </c>
      <c r="C338" t="s">
        <v>64</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_xlfn.IFS(Table1[[#This Row],[Age]]&lt;30,"Young",Table1[[#This Row],[Age]]&lt;=40,"Adult",Table1[[#This Row],[Age]]&gt;40,"Senior")</f>
        <v>Young</v>
      </c>
      <c r="AK338" t="str" cm="1">
        <f t="array" ref="AK338">_xlfn.IFS(Table1[[#This Row],[MonthlyIncome]]&lt;5000,"Low",Table1[[#This Row],[MonthlyIncome]]&lt;10000,"Medium",Table1[[#This Row],[MonthlyIncome]]&gt;10000,"High")</f>
        <v>Low</v>
      </c>
      <c r="AL338" t="str" cm="1">
        <f t="array" ref="AL338">_xlfn.IFS(Table1[[#This Row],[Attrition]]="Yes","Resigned",Table1[[#This Row],[Attrition]]="No","Active")</f>
        <v>Resigned</v>
      </c>
      <c r="AM338" t="str" cm="1">
        <f t="array" ref="AM338">_xlfn.IFS(Table1[[#This Row],[YearsAtCompany]]&lt;=1,"0-1 Year",Table1[[#This Row],[YearsAtCompany]]&lt;=2,"1-2 Years",Table1[[#This Row],[YearsAtCompany]]&lt;=3,"2-3 Years",Table1[[#This Row],[YearsAtCompany]]&lt;=4,"3-4 Years",Table1[[#This Row],[YearsAtCompany]]&lt;=5,"4-5 Years",Table1[[#This Row],[YearsAtCompany]]&gt;5,"&gt;5 Years")</f>
        <v>&gt;5 Years</v>
      </c>
    </row>
    <row r="339" spans="1:39" hidden="1" x14ac:dyDescent="0.45">
      <c r="A339">
        <v>29</v>
      </c>
      <c r="B339" t="s">
        <v>43</v>
      </c>
      <c r="C339" t="s">
        <v>64</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_xlfn.IFS(Table1[[#This Row],[Age]]&lt;30,"Young",Table1[[#This Row],[Age]]&lt;=40,"Adult",Table1[[#This Row],[Age]]&gt;40,"Senior")</f>
        <v>Young</v>
      </c>
      <c r="AK339" t="str" cm="1">
        <f t="array" ref="AK339">_xlfn.IFS(Table1[[#This Row],[MonthlyIncome]]&lt;5000,"Low",Table1[[#This Row],[MonthlyIncome]]&lt;10000,"Medium",Table1[[#This Row],[MonthlyIncome]]&gt;10000,"High")</f>
        <v>Low</v>
      </c>
      <c r="AL339" t="str" cm="1">
        <f t="array" ref="AL339">_xlfn.IFS(Table1[[#This Row],[Attrition]]="Yes","Resigned",Table1[[#This Row],[Attrition]]="No","Active")</f>
        <v>Active</v>
      </c>
      <c r="AM339" t="str" cm="1">
        <f t="array" ref="AM339">_xlfn.IFS(Table1[[#This Row],[YearsAtCompany]]&lt;=1,"0-1 Year",Table1[[#This Row],[YearsAtCompany]]&lt;=2,"1-2 Years",Table1[[#This Row],[YearsAtCompany]]&lt;=3,"2-3 Years",Table1[[#This Row],[YearsAtCompany]]&lt;=4,"3-4 Years",Table1[[#This Row],[YearsAtCompany]]&lt;=5,"4-5 Years",Table1[[#This Row],[YearsAtCompany]]&gt;5,"&gt;5 Years")</f>
        <v>2-3 Years</v>
      </c>
    </row>
    <row r="340" spans="1:39" x14ac:dyDescent="0.45">
      <c r="A340">
        <v>30</v>
      </c>
      <c r="B340" t="s">
        <v>43</v>
      </c>
      <c r="C340" t="s">
        <v>64</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_xlfn.IFS(Table1[[#This Row],[Age]]&lt;30,"Young",Table1[[#This Row],[Age]]&lt;=40,"Adult",Table1[[#This Row],[Age]]&gt;40,"Senior")</f>
        <v>Adult</v>
      </c>
      <c r="AK340" t="str" cm="1">
        <f t="array" ref="AK340">_xlfn.IFS(Table1[[#This Row],[MonthlyIncome]]&lt;5000,"Low",Table1[[#This Row],[MonthlyIncome]]&lt;10000,"Medium",Table1[[#This Row],[MonthlyIncome]]&gt;10000,"High")</f>
        <v>Medium</v>
      </c>
      <c r="AL340" t="str" cm="1">
        <f t="array" ref="AL340">_xlfn.IFS(Table1[[#This Row],[Attrition]]="Yes","Resigned",Table1[[#This Row],[Attrition]]="No","Active")</f>
        <v>Active</v>
      </c>
      <c r="AM340" t="str" cm="1">
        <f t="array" ref="AM340">_xlfn.IFS(Table1[[#This Row],[YearsAtCompany]]&lt;=1,"0-1 Year",Table1[[#This Row],[YearsAtCompany]]&lt;=2,"1-2 Years",Table1[[#This Row],[YearsAtCompany]]&lt;=3,"2-3 Years",Table1[[#This Row],[YearsAtCompany]]&lt;=4,"3-4 Years",Table1[[#This Row],[YearsAtCompany]]&lt;=5,"4-5 Years",Table1[[#This Row],[YearsAtCompany]]&gt;5,"&gt;5 Years")</f>
        <v>&gt;5 Years</v>
      </c>
    </row>
    <row r="341" spans="1:39" x14ac:dyDescent="0.45">
      <c r="A341">
        <v>27</v>
      </c>
      <c r="B341" t="s">
        <v>43</v>
      </c>
      <c r="C341" t="s">
        <v>64</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_xlfn.IFS(Table1[[#This Row],[Age]]&lt;30,"Young",Table1[[#This Row],[Age]]&lt;=40,"Adult",Table1[[#This Row],[Age]]&gt;40,"Senior")</f>
        <v>Young</v>
      </c>
      <c r="AK341" t="str" cm="1">
        <f t="array" ref="AK341">_xlfn.IFS(Table1[[#This Row],[MonthlyIncome]]&lt;5000,"Low",Table1[[#This Row],[MonthlyIncome]]&lt;10000,"Medium",Table1[[#This Row],[MonthlyIncome]]&gt;10000,"High")</f>
        <v>Medium</v>
      </c>
      <c r="AL341" t="str" cm="1">
        <f t="array" ref="AL341">_xlfn.IFS(Table1[[#This Row],[Attrition]]="Yes","Resigned",Table1[[#This Row],[Attrition]]="No","Active")</f>
        <v>Active</v>
      </c>
      <c r="AM341" t="str" cm="1">
        <f t="array" ref="AM341">_xlfn.IFS(Table1[[#This Row],[YearsAtCompany]]&lt;=1,"0-1 Year",Table1[[#This Row],[YearsAtCompany]]&lt;=2,"1-2 Years",Table1[[#This Row],[YearsAtCompany]]&lt;=3,"2-3 Years",Table1[[#This Row],[YearsAtCompany]]&lt;=4,"3-4 Years",Table1[[#This Row],[YearsAtCompany]]&lt;=5,"4-5 Years",Table1[[#This Row],[YearsAtCompany]]&gt;5,"&gt;5 Years")</f>
        <v>&gt;5 Years</v>
      </c>
    </row>
    <row r="342" spans="1:39" hidden="1" x14ac:dyDescent="0.45">
      <c r="A342">
        <v>37</v>
      </c>
      <c r="B342" t="s">
        <v>43</v>
      </c>
      <c r="C342" t="s">
        <v>64</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_xlfn.IFS(Table1[[#This Row],[Age]]&lt;30,"Young",Table1[[#This Row],[Age]]&lt;=40,"Adult",Table1[[#This Row],[Age]]&gt;40,"Senior")</f>
        <v>Adult</v>
      </c>
      <c r="AK342" t="str" cm="1">
        <f t="array" ref="AK342">_xlfn.IFS(Table1[[#This Row],[MonthlyIncome]]&lt;5000,"Low",Table1[[#This Row],[MonthlyIncome]]&lt;10000,"Medium",Table1[[#This Row],[MonthlyIncome]]&gt;10000,"High")</f>
        <v>Medium</v>
      </c>
      <c r="AL342" t="str" cm="1">
        <f t="array" ref="AL342">_xlfn.IFS(Table1[[#This Row],[Attrition]]="Yes","Resigned",Table1[[#This Row],[Attrition]]="No","Active")</f>
        <v>Active</v>
      </c>
      <c r="AM342" t="str" cm="1">
        <f t="array" ref="AM342">_xlfn.IFS(Table1[[#This Row],[YearsAtCompany]]&lt;=1,"0-1 Year",Table1[[#This Row],[YearsAtCompany]]&lt;=2,"1-2 Years",Table1[[#This Row],[YearsAtCompany]]&lt;=3,"2-3 Years",Table1[[#This Row],[YearsAtCompany]]&lt;=4,"3-4 Years",Table1[[#This Row],[YearsAtCompany]]&lt;=5,"4-5 Years",Table1[[#This Row],[YearsAtCompany]]&gt;5,"&gt;5 Years")</f>
        <v>&gt;5 Years</v>
      </c>
    </row>
    <row r="343" spans="1:39" hidden="1" x14ac:dyDescent="0.45">
      <c r="A343">
        <v>38</v>
      </c>
      <c r="B343" t="s">
        <v>43</v>
      </c>
      <c r="C343" t="s">
        <v>64</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_xlfn.IFS(Table1[[#This Row],[Age]]&lt;30,"Young",Table1[[#This Row],[Age]]&lt;=40,"Adult",Table1[[#This Row],[Age]]&gt;40,"Senior")</f>
        <v>Adult</v>
      </c>
      <c r="AK343" t="str" cm="1">
        <f t="array" ref="AK343">_xlfn.IFS(Table1[[#This Row],[MonthlyIncome]]&lt;5000,"Low",Table1[[#This Row],[MonthlyIncome]]&lt;10000,"Medium",Table1[[#This Row],[MonthlyIncome]]&gt;10000,"High")</f>
        <v>High</v>
      </c>
      <c r="AL343" t="str" cm="1">
        <f t="array" ref="AL343">_xlfn.IFS(Table1[[#This Row],[Attrition]]="Yes","Resigned",Table1[[#This Row],[Attrition]]="No","Active")</f>
        <v>Active</v>
      </c>
      <c r="AM343" t="str" cm="1">
        <f t="array" ref="AM343">_xlfn.IFS(Table1[[#This Row],[YearsAtCompany]]&lt;=1,"0-1 Year",Table1[[#This Row],[YearsAtCompany]]&lt;=2,"1-2 Years",Table1[[#This Row],[YearsAtCompany]]&lt;=3,"2-3 Years",Table1[[#This Row],[YearsAtCompany]]&lt;=4,"3-4 Years",Table1[[#This Row],[YearsAtCompany]]&lt;=5,"4-5 Years",Table1[[#This Row],[YearsAtCompany]]&gt;5,"&gt;5 Years")</f>
        <v>&gt;5 Years</v>
      </c>
    </row>
    <row r="344" spans="1:39" hidden="1" x14ac:dyDescent="0.45">
      <c r="A344">
        <v>31</v>
      </c>
      <c r="B344" t="s">
        <v>43</v>
      </c>
      <c r="C344" t="s">
        <v>64</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_xlfn.IFS(Table1[[#This Row],[Age]]&lt;30,"Young",Table1[[#This Row],[Age]]&lt;=40,"Adult",Table1[[#This Row],[Age]]&gt;40,"Senior")</f>
        <v>Adult</v>
      </c>
      <c r="AK344" t="str" cm="1">
        <f t="array" ref="AK344">_xlfn.IFS(Table1[[#This Row],[MonthlyIncome]]&lt;5000,"Low",Table1[[#This Row],[MonthlyIncome]]&lt;10000,"Medium",Table1[[#This Row],[MonthlyIncome]]&gt;10000,"High")</f>
        <v>Medium</v>
      </c>
      <c r="AL344" t="str" cm="1">
        <f t="array" ref="AL344">_xlfn.IFS(Table1[[#This Row],[Attrition]]="Yes","Resigned",Table1[[#This Row],[Attrition]]="No","Active")</f>
        <v>Active</v>
      </c>
      <c r="AM344" t="str" cm="1">
        <f t="array" ref="AM344">_xlfn.IFS(Table1[[#This Row],[YearsAtCompany]]&lt;=1,"0-1 Year",Table1[[#This Row],[YearsAtCompany]]&lt;=2,"1-2 Years",Table1[[#This Row],[YearsAtCompany]]&lt;=3,"2-3 Years",Table1[[#This Row],[YearsAtCompany]]&lt;=4,"3-4 Years",Table1[[#This Row],[YearsAtCompany]]&lt;=5,"4-5 Years",Table1[[#This Row],[YearsAtCompany]]&gt;5,"&gt;5 Years")</f>
        <v>&gt;5 Years</v>
      </c>
    </row>
    <row r="345" spans="1:39" x14ac:dyDescent="0.45">
      <c r="A345">
        <v>29</v>
      </c>
      <c r="B345" t="s">
        <v>43</v>
      </c>
      <c r="C345" t="s">
        <v>64</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_xlfn.IFS(Table1[[#This Row],[Age]]&lt;30,"Young",Table1[[#This Row],[Age]]&lt;=40,"Adult",Table1[[#This Row],[Age]]&gt;40,"Senior")</f>
        <v>Young</v>
      </c>
      <c r="AK345" t="str" cm="1">
        <f t="array" ref="AK345">_xlfn.IFS(Table1[[#This Row],[MonthlyIncome]]&lt;5000,"Low",Table1[[#This Row],[MonthlyIncome]]&lt;10000,"Medium",Table1[[#This Row],[MonthlyIncome]]&gt;10000,"High")</f>
        <v>Medium</v>
      </c>
      <c r="AL345" t="str" cm="1">
        <f t="array" ref="AL345">_xlfn.IFS(Table1[[#This Row],[Attrition]]="Yes","Resigned",Table1[[#This Row],[Attrition]]="No","Active")</f>
        <v>Active</v>
      </c>
      <c r="AM345" t="str" cm="1">
        <f t="array" ref="AM345">_xlfn.IFS(Table1[[#This Row],[YearsAtCompany]]&lt;=1,"0-1 Year",Table1[[#This Row],[YearsAtCompany]]&lt;=2,"1-2 Years",Table1[[#This Row],[YearsAtCompany]]&lt;=3,"2-3 Years",Table1[[#This Row],[YearsAtCompany]]&lt;=4,"3-4 Years",Table1[[#This Row],[YearsAtCompany]]&lt;=5,"4-5 Years",Table1[[#This Row],[YearsAtCompany]]&gt;5,"&gt;5 Years")</f>
        <v>&gt;5 Years</v>
      </c>
    </row>
    <row r="346" spans="1:39" hidden="1" x14ac:dyDescent="0.45">
      <c r="A346">
        <v>35</v>
      </c>
      <c r="B346" t="s">
        <v>43</v>
      </c>
      <c r="C346" t="s">
        <v>64</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_xlfn.IFS(Table1[[#This Row],[Age]]&lt;30,"Young",Table1[[#This Row],[Age]]&lt;=40,"Adult",Table1[[#This Row],[Age]]&gt;40,"Senior")</f>
        <v>Adult</v>
      </c>
      <c r="AK346" t="str" cm="1">
        <f t="array" ref="AK346">_xlfn.IFS(Table1[[#This Row],[MonthlyIncome]]&lt;5000,"Low",Table1[[#This Row],[MonthlyIncome]]&lt;10000,"Medium",Table1[[#This Row],[MonthlyIncome]]&gt;10000,"High")</f>
        <v>Medium</v>
      </c>
      <c r="AL346" t="str" cm="1">
        <f t="array" ref="AL346">_xlfn.IFS(Table1[[#This Row],[Attrition]]="Yes","Resigned",Table1[[#This Row],[Attrition]]="No","Active")</f>
        <v>Active</v>
      </c>
      <c r="AM346" t="str" cm="1">
        <f t="array" ref="AM346">_xlfn.IFS(Table1[[#This Row],[YearsAtCompany]]&lt;=1,"0-1 Year",Table1[[#This Row],[YearsAtCompany]]&lt;=2,"1-2 Years",Table1[[#This Row],[YearsAtCompany]]&lt;=3,"2-3 Years",Table1[[#This Row],[YearsAtCompany]]&lt;=4,"3-4 Years",Table1[[#This Row],[YearsAtCompany]]&lt;=5,"4-5 Years",Table1[[#This Row],[YearsAtCompany]]&gt;5,"&gt;5 Years")</f>
        <v>&gt;5 Years</v>
      </c>
    </row>
    <row r="347" spans="1:39" hidden="1" x14ac:dyDescent="0.45">
      <c r="A347">
        <v>23</v>
      </c>
      <c r="B347" t="s">
        <v>43</v>
      </c>
      <c r="C347" t="s">
        <v>64</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_xlfn.IFS(Table1[[#This Row],[Age]]&lt;30,"Young",Table1[[#This Row],[Age]]&lt;=40,"Adult",Table1[[#This Row],[Age]]&gt;40,"Senior")</f>
        <v>Young</v>
      </c>
      <c r="AK347" t="str" cm="1">
        <f t="array" ref="AK347">_xlfn.IFS(Table1[[#This Row],[MonthlyIncome]]&lt;5000,"Low",Table1[[#This Row],[MonthlyIncome]]&lt;10000,"Medium",Table1[[#This Row],[MonthlyIncome]]&gt;10000,"High")</f>
        <v>Low</v>
      </c>
      <c r="AL347" t="str" cm="1">
        <f t="array" ref="AL347">_xlfn.IFS(Table1[[#This Row],[Attrition]]="Yes","Resigned",Table1[[#This Row],[Attrition]]="No","Active")</f>
        <v>Active</v>
      </c>
      <c r="AM347" t="str" cm="1">
        <f t="array" ref="AM347">_xlfn.IFS(Table1[[#This Row],[YearsAtCompany]]&lt;=1,"0-1 Year",Table1[[#This Row],[YearsAtCompany]]&lt;=2,"1-2 Years",Table1[[#This Row],[YearsAtCompany]]&lt;=3,"2-3 Years",Table1[[#This Row],[YearsAtCompany]]&lt;=4,"3-4 Years",Table1[[#This Row],[YearsAtCompany]]&lt;=5,"4-5 Years",Table1[[#This Row],[YearsAtCompany]]&gt;5,"&gt;5 Years")</f>
        <v>3-4 Years</v>
      </c>
    </row>
    <row r="348" spans="1:39" hidden="1" x14ac:dyDescent="0.45">
      <c r="A348">
        <v>41</v>
      </c>
      <c r="B348" t="s">
        <v>43</v>
      </c>
      <c r="C348" t="s">
        <v>64</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_xlfn.IFS(Table1[[#This Row],[Age]]&lt;30,"Young",Table1[[#This Row],[Age]]&lt;=40,"Adult",Table1[[#This Row],[Age]]&gt;40,"Senior")</f>
        <v>Senior</v>
      </c>
      <c r="AK348" t="str" cm="1">
        <f t="array" ref="AK348">_xlfn.IFS(Table1[[#This Row],[MonthlyIncome]]&lt;5000,"Low",Table1[[#This Row],[MonthlyIncome]]&lt;10000,"Medium",Table1[[#This Row],[MonthlyIncome]]&gt;10000,"High")</f>
        <v>Medium</v>
      </c>
      <c r="AL348" t="str" cm="1">
        <f t="array" ref="AL348">_xlfn.IFS(Table1[[#This Row],[Attrition]]="Yes","Resigned",Table1[[#This Row],[Attrition]]="No","Active")</f>
        <v>Active</v>
      </c>
      <c r="AM348" t="str" cm="1">
        <f t="array" ref="AM348">_xlfn.IFS(Table1[[#This Row],[YearsAtCompany]]&lt;=1,"0-1 Year",Table1[[#This Row],[YearsAtCompany]]&lt;=2,"1-2 Years",Table1[[#This Row],[YearsAtCompany]]&lt;=3,"2-3 Years",Table1[[#This Row],[YearsAtCompany]]&lt;=4,"3-4 Years",Table1[[#This Row],[YearsAtCompany]]&lt;=5,"4-5 Years",Table1[[#This Row],[YearsAtCompany]]&gt;5,"&gt;5 Years")</f>
        <v>4-5 Years</v>
      </c>
    </row>
    <row r="349" spans="1:39" x14ac:dyDescent="0.45">
      <c r="A349">
        <v>47</v>
      </c>
      <c r="B349" t="s">
        <v>43</v>
      </c>
      <c r="C349" t="s">
        <v>63</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_xlfn.IFS(Table1[[#This Row],[Age]]&lt;30,"Young",Table1[[#This Row],[Age]]&lt;=40,"Adult",Table1[[#This Row],[Age]]&gt;40,"Senior")</f>
        <v>Senior</v>
      </c>
      <c r="AK349" t="str" cm="1">
        <f t="array" ref="AK349">_xlfn.IFS(Table1[[#This Row],[MonthlyIncome]]&lt;5000,"Low",Table1[[#This Row],[MonthlyIncome]]&lt;10000,"Medium",Table1[[#This Row],[MonthlyIncome]]&gt;10000,"High")</f>
        <v>Low</v>
      </c>
      <c r="AL349" t="str" cm="1">
        <f t="array" ref="AL349">_xlfn.IFS(Table1[[#This Row],[Attrition]]="Yes","Resigned",Table1[[#This Row],[Attrition]]="No","Active")</f>
        <v>Active</v>
      </c>
      <c r="AM349" t="str" cm="1">
        <f t="array" ref="AM349">_xlfn.IFS(Table1[[#This Row],[YearsAtCompany]]&lt;=1,"0-1 Year",Table1[[#This Row],[YearsAtCompany]]&lt;=2,"1-2 Years",Table1[[#This Row],[YearsAtCompany]]&lt;=3,"2-3 Years",Table1[[#This Row],[YearsAtCompany]]&lt;=4,"3-4 Years",Table1[[#This Row],[YearsAtCompany]]&lt;=5,"4-5 Years",Table1[[#This Row],[YearsAtCompany]]&gt;5,"&gt;5 Years")</f>
        <v>0-1 Year</v>
      </c>
    </row>
    <row r="350" spans="1:39" hidden="1" x14ac:dyDescent="0.45">
      <c r="A350">
        <v>42</v>
      </c>
      <c r="B350" t="s">
        <v>43</v>
      </c>
      <c r="C350" t="s">
        <v>64</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_xlfn.IFS(Table1[[#This Row],[Age]]&lt;30,"Young",Table1[[#This Row],[Age]]&lt;=40,"Adult",Table1[[#This Row],[Age]]&gt;40,"Senior")</f>
        <v>Senior</v>
      </c>
      <c r="AK350" t="str" cm="1">
        <f t="array" ref="AK350">_xlfn.IFS(Table1[[#This Row],[MonthlyIncome]]&lt;5000,"Low",Table1[[#This Row],[MonthlyIncome]]&lt;10000,"Medium",Table1[[#This Row],[MonthlyIncome]]&gt;10000,"High")</f>
        <v>High</v>
      </c>
      <c r="AL350" t="str" cm="1">
        <f t="array" ref="AL350">_xlfn.IFS(Table1[[#This Row],[Attrition]]="Yes","Resigned",Table1[[#This Row],[Attrition]]="No","Active")</f>
        <v>Active</v>
      </c>
      <c r="AM350" t="str" cm="1">
        <f t="array" ref="AM350">_xlfn.IFS(Table1[[#This Row],[YearsAtCompany]]&lt;=1,"0-1 Year",Table1[[#This Row],[YearsAtCompany]]&lt;=2,"1-2 Years",Table1[[#This Row],[YearsAtCompany]]&lt;=3,"2-3 Years",Table1[[#This Row],[YearsAtCompany]]&lt;=4,"3-4 Years",Table1[[#This Row],[YearsAtCompany]]&lt;=5,"4-5 Years",Table1[[#This Row],[YearsAtCompany]]&gt;5,"&gt;5 Years")</f>
        <v>0-1 Year</v>
      </c>
    </row>
    <row r="351" spans="1:39" x14ac:dyDescent="0.45">
      <c r="A351">
        <v>29</v>
      </c>
      <c r="B351" t="s">
        <v>43</v>
      </c>
      <c r="C351" t="s">
        <v>62</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_xlfn.IFS(Table1[[#This Row],[Age]]&lt;30,"Young",Table1[[#This Row],[Age]]&lt;=40,"Adult",Table1[[#This Row],[Age]]&gt;40,"Senior")</f>
        <v>Young</v>
      </c>
      <c r="AK351" t="str" cm="1">
        <f t="array" ref="AK351">_xlfn.IFS(Table1[[#This Row],[MonthlyIncome]]&lt;5000,"Low",Table1[[#This Row],[MonthlyIncome]]&lt;10000,"Medium",Table1[[#This Row],[MonthlyIncome]]&gt;10000,"High")</f>
        <v>Low</v>
      </c>
      <c r="AL351" t="str" cm="1">
        <f t="array" ref="AL351">_xlfn.IFS(Table1[[#This Row],[Attrition]]="Yes","Resigned",Table1[[#This Row],[Attrition]]="No","Active")</f>
        <v>Active</v>
      </c>
      <c r="AM351" t="str" cm="1">
        <f t="array" ref="AM351">_xlfn.IFS(Table1[[#This Row],[YearsAtCompany]]&lt;=1,"0-1 Year",Table1[[#This Row],[YearsAtCompany]]&lt;=2,"1-2 Years",Table1[[#This Row],[YearsAtCompany]]&lt;=3,"2-3 Years",Table1[[#This Row],[YearsAtCompany]]&lt;=4,"3-4 Years",Table1[[#This Row],[YearsAtCompany]]&lt;=5,"4-5 Years",Table1[[#This Row],[YearsAtCompany]]&gt;5,"&gt;5 Years")</f>
        <v>3-4 Years</v>
      </c>
    </row>
    <row r="352" spans="1:39" hidden="1" x14ac:dyDescent="0.45">
      <c r="A352">
        <v>42</v>
      </c>
      <c r="B352" t="s">
        <v>43</v>
      </c>
      <c r="C352" t="s">
        <v>64</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_xlfn.IFS(Table1[[#This Row],[Age]]&lt;30,"Young",Table1[[#This Row],[Age]]&lt;=40,"Adult",Table1[[#This Row],[Age]]&gt;40,"Senior")</f>
        <v>Senior</v>
      </c>
      <c r="AK352" t="str" cm="1">
        <f t="array" ref="AK352">_xlfn.IFS(Table1[[#This Row],[MonthlyIncome]]&lt;5000,"Low",Table1[[#This Row],[MonthlyIncome]]&lt;10000,"Medium",Table1[[#This Row],[MonthlyIncome]]&gt;10000,"High")</f>
        <v>Low</v>
      </c>
      <c r="AL352" t="str" cm="1">
        <f t="array" ref="AL352">_xlfn.IFS(Table1[[#This Row],[Attrition]]="Yes","Resigned",Table1[[#This Row],[Attrition]]="No","Active")</f>
        <v>Active</v>
      </c>
      <c r="AM352" t="str" cm="1">
        <f t="array" ref="AM352">_xlfn.IFS(Table1[[#This Row],[YearsAtCompany]]&lt;=1,"0-1 Year",Table1[[#This Row],[YearsAtCompany]]&lt;=2,"1-2 Years",Table1[[#This Row],[YearsAtCompany]]&lt;=3,"2-3 Years",Table1[[#This Row],[YearsAtCompany]]&lt;=4,"3-4 Years",Table1[[#This Row],[YearsAtCompany]]&lt;=5,"4-5 Years",Table1[[#This Row],[YearsAtCompany]]&gt;5,"&gt;5 Years")</f>
        <v>2-3 Years</v>
      </c>
    </row>
    <row r="353" spans="1:39" hidden="1" x14ac:dyDescent="0.45">
      <c r="A353">
        <v>32</v>
      </c>
      <c r="B353" t="s">
        <v>43</v>
      </c>
      <c r="C353" t="s">
        <v>64</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_xlfn.IFS(Table1[[#This Row],[Age]]&lt;30,"Young",Table1[[#This Row],[Age]]&lt;=40,"Adult",Table1[[#This Row],[Age]]&gt;40,"Senior")</f>
        <v>Adult</v>
      </c>
      <c r="AK353" t="str" cm="1">
        <f t="array" ref="AK353">_xlfn.IFS(Table1[[#This Row],[MonthlyIncome]]&lt;5000,"Low",Table1[[#This Row],[MonthlyIncome]]&lt;10000,"Medium",Table1[[#This Row],[MonthlyIncome]]&gt;10000,"High")</f>
        <v>Low</v>
      </c>
      <c r="AL353" t="str" cm="1">
        <f t="array" ref="AL353">_xlfn.IFS(Table1[[#This Row],[Attrition]]="Yes","Resigned",Table1[[#This Row],[Attrition]]="No","Active")</f>
        <v>Active</v>
      </c>
      <c r="AM353" t="str" cm="1">
        <f t="array" ref="AM353">_xlfn.IFS(Table1[[#This Row],[YearsAtCompany]]&lt;=1,"0-1 Year",Table1[[#This Row],[YearsAtCompany]]&lt;=2,"1-2 Years",Table1[[#This Row],[YearsAtCompany]]&lt;=3,"2-3 Years",Table1[[#This Row],[YearsAtCompany]]&lt;=4,"3-4 Years",Table1[[#This Row],[YearsAtCompany]]&lt;=5,"4-5 Years",Table1[[#This Row],[YearsAtCompany]]&gt;5,"&gt;5 Years")</f>
        <v>&gt;5 Years</v>
      </c>
    </row>
    <row r="354" spans="1:39" x14ac:dyDescent="0.45">
      <c r="A354">
        <v>48</v>
      </c>
      <c r="B354" t="s">
        <v>43</v>
      </c>
      <c r="C354" t="s">
        <v>64</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_xlfn.IFS(Table1[[#This Row],[Age]]&lt;30,"Young",Table1[[#This Row],[Age]]&lt;=40,"Adult",Table1[[#This Row],[Age]]&gt;40,"Senior")</f>
        <v>Senior</v>
      </c>
      <c r="AK354" t="str" cm="1">
        <f t="array" ref="AK354">_xlfn.IFS(Table1[[#This Row],[MonthlyIncome]]&lt;5000,"Low",Table1[[#This Row],[MonthlyIncome]]&lt;10000,"Medium",Table1[[#This Row],[MonthlyIncome]]&gt;10000,"High")</f>
        <v>High</v>
      </c>
      <c r="AL354" t="str" cm="1">
        <f t="array" ref="AL354">_xlfn.IFS(Table1[[#This Row],[Attrition]]="Yes","Resigned",Table1[[#This Row],[Attrition]]="No","Active")</f>
        <v>Active</v>
      </c>
      <c r="AM354" t="str" cm="1">
        <f t="array" ref="AM354">_xlfn.IFS(Table1[[#This Row],[YearsAtCompany]]&lt;=1,"0-1 Year",Table1[[#This Row],[YearsAtCompany]]&lt;=2,"1-2 Years",Table1[[#This Row],[YearsAtCompany]]&lt;=3,"2-3 Years",Table1[[#This Row],[YearsAtCompany]]&lt;=4,"3-4 Years",Table1[[#This Row],[YearsAtCompany]]&lt;=5,"4-5 Years",Table1[[#This Row],[YearsAtCompany]]&gt;5,"&gt;5 Years")</f>
        <v>0-1 Year</v>
      </c>
    </row>
    <row r="355" spans="1:39" hidden="1" x14ac:dyDescent="0.45">
      <c r="A355">
        <v>37</v>
      </c>
      <c r="B355" t="s">
        <v>43</v>
      </c>
      <c r="C355" t="s">
        <v>64</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_xlfn.IFS(Table1[[#This Row],[Age]]&lt;30,"Young",Table1[[#This Row],[Age]]&lt;=40,"Adult",Table1[[#This Row],[Age]]&gt;40,"Senior")</f>
        <v>Adult</v>
      </c>
      <c r="AK355" t="str" cm="1">
        <f t="array" ref="AK355">_xlfn.IFS(Table1[[#This Row],[MonthlyIncome]]&lt;5000,"Low",Table1[[#This Row],[MonthlyIncome]]&lt;10000,"Medium",Table1[[#This Row],[MonthlyIncome]]&gt;10000,"High")</f>
        <v>Medium</v>
      </c>
      <c r="AL355" t="str" cm="1">
        <f t="array" ref="AL355">_xlfn.IFS(Table1[[#This Row],[Attrition]]="Yes","Resigned",Table1[[#This Row],[Attrition]]="No","Active")</f>
        <v>Active</v>
      </c>
      <c r="AM355" t="str" cm="1">
        <f t="array" ref="AM355">_xlfn.IFS(Table1[[#This Row],[YearsAtCompany]]&lt;=1,"0-1 Year",Table1[[#This Row],[YearsAtCompany]]&lt;=2,"1-2 Years",Table1[[#This Row],[YearsAtCompany]]&lt;=3,"2-3 Years",Table1[[#This Row],[YearsAtCompany]]&lt;=4,"3-4 Years",Table1[[#This Row],[YearsAtCompany]]&lt;=5,"4-5 Years",Table1[[#This Row],[YearsAtCompany]]&gt;5,"&gt;5 Years")</f>
        <v>&gt;5 Years</v>
      </c>
    </row>
    <row r="356" spans="1:39" x14ac:dyDescent="0.45">
      <c r="A356">
        <v>30</v>
      </c>
      <c r="B356" t="s">
        <v>43</v>
      </c>
      <c r="C356" t="s">
        <v>62</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_xlfn.IFS(Table1[[#This Row],[Age]]&lt;30,"Young",Table1[[#This Row],[Age]]&lt;=40,"Adult",Table1[[#This Row],[Age]]&gt;40,"Senior")</f>
        <v>Adult</v>
      </c>
      <c r="AK356" t="str" cm="1">
        <f t="array" ref="AK356">_xlfn.IFS(Table1[[#This Row],[MonthlyIncome]]&lt;5000,"Low",Table1[[#This Row],[MonthlyIncome]]&lt;10000,"Medium",Table1[[#This Row],[MonthlyIncome]]&gt;10000,"High")</f>
        <v>Low</v>
      </c>
      <c r="AL356" t="str" cm="1">
        <f t="array" ref="AL356">_xlfn.IFS(Table1[[#This Row],[Attrition]]="Yes","Resigned",Table1[[#This Row],[Attrition]]="No","Active")</f>
        <v>Active</v>
      </c>
      <c r="AM356" t="str" cm="1">
        <f t="array" ref="AM356">_xlfn.IFS(Table1[[#This Row],[YearsAtCompany]]&lt;=1,"0-1 Year",Table1[[#This Row],[YearsAtCompany]]&lt;=2,"1-2 Years",Table1[[#This Row],[YearsAtCompany]]&lt;=3,"2-3 Years",Table1[[#This Row],[YearsAtCompany]]&lt;=4,"3-4 Years",Table1[[#This Row],[YearsAtCompany]]&lt;=5,"4-5 Years",Table1[[#This Row],[YearsAtCompany]]&gt;5,"&gt;5 Years")</f>
        <v>1-2 Years</v>
      </c>
    </row>
    <row r="357" spans="1:39" x14ac:dyDescent="0.45">
      <c r="A357">
        <v>26</v>
      </c>
      <c r="B357" t="s">
        <v>43</v>
      </c>
      <c r="C357" t="s">
        <v>64</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_xlfn.IFS(Table1[[#This Row],[Age]]&lt;30,"Young",Table1[[#This Row],[Age]]&lt;=40,"Adult",Table1[[#This Row],[Age]]&gt;40,"Senior")</f>
        <v>Young</v>
      </c>
      <c r="AK357" t="str" cm="1">
        <f t="array" ref="AK357">_xlfn.IFS(Table1[[#This Row],[MonthlyIncome]]&lt;5000,"Low",Table1[[#This Row],[MonthlyIncome]]&lt;10000,"Medium",Table1[[#This Row],[MonthlyIncome]]&gt;10000,"High")</f>
        <v>Medium</v>
      </c>
      <c r="AL357" t="str" cm="1">
        <f t="array" ref="AL357">_xlfn.IFS(Table1[[#This Row],[Attrition]]="Yes","Resigned",Table1[[#This Row],[Attrition]]="No","Active")</f>
        <v>Active</v>
      </c>
      <c r="AM357" t="str" cm="1">
        <f t="array" ref="AM357">_xlfn.IFS(Table1[[#This Row],[YearsAtCompany]]&lt;=1,"0-1 Year",Table1[[#This Row],[YearsAtCompany]]&lt;=2,"1-2 Years",Table1[[#This Row],[YearsAtCompany]]&lt;=3,"2-3 Years",Table1[[#This Row],[YearsAtCompany]]&lt;=4,"3-4 Years",Table1[[#This Row],[YearsAtCompany]]&lt;=5,"4-5 Years",Table1[[#This Row],[YearsAtCompany]]&gt;5,"&gt;5 Years")</f>
        <v>&gt;5 Years</v>
      </c>
    </row>
    <row r="358" spans="1:39" hidden="1" x14ac:dyDescent="0.45">
      <c r="A358">
        <v>42</v>
      </c>
      <c r="B358" t="s">
        <v>43</v>
      </c>
      <c r="C358" t="s">
        <v>64</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_xlfn.IFS(Table1[[#This Row],[Age]]&lt;30,"Young",Table1[[#This Row],[Age]]&lt;=40,"Adult",Table1[[#This Row],[Age]]&gt;40,"Senior")</f>
        <v>Senior</v>
      </c>
      <c r="AK358" t="str" cm="1">
        <f t="array" ref="AK358">_xlfn.IFS(Table1[[#This Row],[MonthlyIncome]]&lt;5000,"Low",Table1[[#This Row],[MonthlyIncome]]&lt;10000,"Medium",Table1[[#This Row],[MonthlyIncome]]&gt;10000,"High")</f>
        <v>Medium</v>
      </c>
      <c r="AL358" t="str" cm="1">
        <f t="array" ref="AL358">_xlfn.IFS(Table1[[#This Row],[Attrition]]="Yes","Resigned",Table1[[#This Row],[Attrition]]="No","Active")</f>
        <v>Active</v>
      </c>
      <c r="AM358" t="str" cm="1">
        <f t="array" ref="AM358">_xlfn.IFS(Table1[[#This Row],[YearsAtCompany]]&lt;=1,"0-1 Year",Table1[[#This Row],[YearsAtCompany]]&lt;=2,"1-2 Years",Table1[[#This Row],[YearsAtCompany]]&lt;=3,"2-3 Years",Table1[[#This Row],[YearsAtCompany]]&lt;=4,"3-4 Years",Table1[[#This Row],[YearsAtCompany]]&lt;=5,"4-5 Years",Table1[[#This Row],[YearsAtCompany]]&gt;5,"&gt;5 Years")</f>
        <v>0-1 Year</v>
      </c>
    </row>
    <row r="359" spans="1:39" x14ac:dyDescent="0.45">
      <c r="A359">
        <v>21</v>
      </c>
      <c r="B359" t="s">
        <v>35</v>
      </c>
      <c r="C359" t="s">
        <v>63</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_xlfn.IFS(Table1[[#This Row],[Age]]&lt;30,"Young",Table1[[#This Row],[Age]]&lt;=40,"Adult",Table1[[#This Row],[Age]]&gt;40,"Senior")</f>
        <v>Young</v>
      </c>
      <c r="AK359" t="str" cm="1">
        <f t="array" ref="AK359">_xlfn.IFS(Table1[[#This Row],[MonthlyIncome]]&lt;5000,"Low",Table1[[#This Row],[MonthlyIncome]]&lt;10000,"Medium",Table1[[#This Row],[MonthlyIncome]]&gt;10000,"High")</f>
        <v>Low</v>
      </c>
      <c r="AL359" t="str" cm="1">
        <f t="array" ref="AL359">_xlfn.IFS(Table1[[#This Row],[Attrition]]="Yes","Resigned",Table1[[#This Row],[Attrition]]="No","Active")</f>
        <v>Resigned</v>
      </c>
      <c r="AM359" t="str" cm="1">
        <f t="array" ref="AM359">_xlfn.IFS(Table1[[#This Row],[YearsAtCompany]]&lt;=1,"0-1 Year",Table1[[#This Row],[YearsAtCompany]]&lt;=2,"1-2 Years",Table1[[#This Row],[YearsAtCompany]]&lt;=3,"2-3 Years",Table1[[#This Row],[YearsAtCompany]]&lt;=4,"3-4 Years",Table1[[#This Row],[YearsAtCompany]]&lt;=5,"4-5 Years",Table1[[#This Row],[YearsAtCompany]]&gt;5,"&gt;5 Years")</f>
        <v>2-3 Years</v>
      </c>
    </row>
    <row r="360" spans="1:39" x14ac:dyDescent="0.45">
      <c r="A360">
        <v>36</v>
      </c>
      <c r="B360" t="s">
        <v>43</v>
      </c>
      <c r="C360" t="s">
        <v>62</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_xlfn.IFS(Table1[[#This Row],[Age]]&lt;30,"Young",Table1[[#This Row],[Age]]&lt;=40,"Adult",Table1[[#This Row],[Age]]&gt;40,"Senior")</f>
        <v>Adult</v>
      </c>
      <c r="AK360" t="str" cm="1">
        <f t="array" ref="AK360">_xlfn.IFS(Table1[[#This Row],[MonthlyIncome]]&lt;5000,"Low",Table1[[#This Row],[MonthlyIncome]]&lt;10000,"Medium",Table1[[#This Row],[MonthlyIncome]]&gt;10000,"High")</f>
        <v>Medium</v>
      </c>
      <c r="AL360" t="str" cm="1">
        <f t="array" ref="AL360">_xlfn.IFS(Table1[[#This Row],[Attrition]]="Yes","Resigned",Table1[[#This Row],[Attrition]]="No","Active")</f>
        <v>Active</v>
      </c>
      <c r="AM360" t="str" cm="1">
        <f t="array" ref="AM360">_xlfn.IFS(Table1[[#This Row],[YearsAtCompany]]&lt;=1,"0-1 Year",Table1[[#This Row],[YearsAtCompany]]&lt;=2,"1-2 Years",Table1[[#This Row],[YearsAtCompany]]&lt;=3,"2-3 Years",Table1[[#This Row],[YearsAtCompany]]&lt;=4,"3-4 Years",Table1[[#This Row],[YearsAtCompany]]&lt;=5,"4-5 Years",Table1[[#This Row],[YearsAtCompany]]&gt;5,"&gt;5 Years")</f>
        <v>0-1 Year</v>
      </c>
    </row>
    <row r="361" spans="1:39" x14ac:dyDescent="0.45">
      <c r="A361">
        <v>36</v>
      </c>
      <c r="B361" t="s">
        <v>43</v>
      </c>
      <c r="C361" t="s">
        <v>63</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_xlfn.IFS(Table1[[#This Row],[Age]]&lt;30,"Young",Table1[[#This Row],[Age]]&lt;=40,"Adult",Table1[[#This Row],[Age]]&gt;40,"Senior")</f>
        <v>Adult</v>
      </c>
      <c r="AK361" t="str" cm="1">
        <f t="array" ref="AK361">_xlfn.IFS(Table1[[#This Row],[MonthlyIncome]]&lt;5000,"Low",Table1[[#This Row],[MonthlyIncome]]&lt;10000,"Medium",Table1[[#This Row],[MonthlyIncome]]&gt;10000,"High")</f>
        <v>Medium</v>
      </c>
      <c r="AL361" t="str" cm="1">
        <f t="array" ref="AL361">_xlfn.IFS(Table1[[#This Row],[Attrition]]="Yes","Resigned",Table1[[#This Row],[Attrition]]="No","Active")</f>
        <v>Active</v>
      </c>
      <c r="AM361" t="str" cm="1">
        <f t="array" ref="AM361">_xlfn.IFS(Table1[[#This Row],[YearsAtCompany]]&lt;=1,"0-1 Year",Table1[[#This Row],[YearsAtCompany]]&lt;=2,"1-2 Years",Table1[[#This Row],[YearsAtCompany]]&lt;=3,"2-3 Years",Table1[[#This Row],[YearsAtCompany]]&lt;=4,"3-4 Years",Table1[[#This Row],[YearsAtCompany]]&lt;=5,"4-5 Years",Table1[[#This Row],[YearsAtCompany]]&gt;5,"&gt;5 Years")</f>
        <v>&gt;5 Years</v>
      </c>
    </row>
    <row r="362" spans="1:39" hidden="1" x14ac:dyDescent="0.45">
      <c r="A362">
        <v>57</v>
      </c>
      <c r="B362" t="s">
        <v>43</v>
      </c>
      <c r="C362" t="s">
        <v>64</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_xlfn.IFS(Table1[[#This Row],[Age]]&lt;30,"Young",Table1[[#This Row],[Age]]&lt;=40,"Adult",Table1[[#This Row],[Age]]&gt;40,"Senior")</f>
        <v>Senior</v>
      </c>
      <c r="AK362" t="str" cm="1">
        <f t="array" ref="AK362">_xlfn.IFS(Table1[[#This Row],[MonthlyIncome]]&lt;5000,"Low",Table1[[#This Row],[MonthlyIncome]]&lt;10000,"Medium",Table1[[#This Row],[MonthlyIncome]]&gt;10000,"High")</f>
        <v>Medium</v>
      </c>
      <c r="AL362" t="str" cm="1">
        <f t="array" ref="AL362">_xlfn.IFS(Table1[[#This Row],[Attrition]]="Yes","Resigned",Table1[[#This Row],[Attrition]]="No","Active")</f>
        <v>Active</v>
      </c>
      <c r="AM362" t="str" cm="1">
        <f t="array" ref="AM362">_xlfn.IFS(Table1[[#This Row],[YearsAtCompany]]&lt;=1,"0-1 Year",Table1[[#This Row],[YearsAtCompany]]&lt;=2,"1-2 Years",Table1[[#This Row],[YearsAtCompany]]&lt;=3,"2-3 Years",Table1[[#This Row],[YearsAtCompany]]&lt;=4,"3-4 Years",Table1[[#This Row],[YearsAtCompany]]&lt;=5,"4-5 Years",Table1[[#This Row],[YearsAtCompany]]&gt;5,"&gt;5 Years")</f>
        <v>2-3 Years</v>
      </c>
    </row>
    <row r="363" spans="1:39" hidden="1" x14ac:dyDescent="0.45">
      <c r="A363">
        <v>40</v>
      </c>
      <c r="B363" t="s">
        <v>43</v>
      </c>
      <c r="C363" t="s">
        <v>64</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_xlfn.IFS(Table1[[#This Row],[Age]]&lt;30,"Young",Table1[[#This Row],[Age]]&lt;=40,"Adult",Table1[[#This Row],[Age]]&gt;40,"Senior")</f>
        <v>Adult</v>
      </c>
      <c r="AK363" t="str" cm="1">
        <f t="array" ref="AK363">_xlfn.IFS(Table1[[#This Row],[MonthlyIncome]]&lt;5000,"Low",Table1[[#This Row],[MonthlyIncome]]&lt;10000,"Medium",Table1[[#This Row],[MonthlyIncome]]&gt;10000,"High")</f>
        <v>Low</v>
      </c>
      <c r="AL363" t="str" cm="1">
        <f t="array" ref="AL363">_xlfn.IFS(Table1[[#This Row],[Attrition]]="Yes","Resigned",Table1[[#This Row],[Attrition]]="No","Active")</f>
        <v>Active</v>
      </c>
      <c r="AM363" t="str" cm="1">
        <f t="array" ref="AM363">_xlfn.IFS(Table1[[#This Row],[YearsAtCompany]]&lt;=1,"0-1 Year",Table1[[#This Row],[YearsAtCompany]]&lt;=2,"1-2 Years",Table1[[#This Row],[YearsAtCompany]]&lt;=3,"2-3 Years",Table1[[#This Row],[YearsAtCompany]]&lt;=4,"3-4 Years",Table1[[#This Row],[YearsAtCompany]]&lt;=5,"4-5 Years",Table1[[#This Row],[YearsAtCompany]]&gt;5,"&gt;5 Years")</f>
        <v>&gt;5 Years</v>
      </c>
    </row>
    <row r="364" spans="1:39" x14ac:dyDescent="0.45">
      <c r="A364">
        <v>21</v>
      </c>
      <c r="B364" t="s">
        <v>43</v>
      </c>
      <c r="C364" t="s">
        <v>62</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_xlfn.IFS(Table1[[#This Row],[Age]]&lt;30,"Young",Table1[[#This Row],[Age]]&lt;=40,"Adult",Table1[[#This Row],[Age]]&gt;40,"Senior")</f>
        <v>Young</v>
      </c>
      <c r="AK364" t="str" cm="1">
        <f t="array" ref="AK364">_xlfn.IFS(Table1[[#This Row],[MonthlyIncome]]&lt;5000,"Low",Table1[[#This Row],[MonthlyIncome]]&lt;10000,"Medium",Table1[[#This Row],[MonthlyIncome]]&gt;10000,"High")</f>
        <v>Low</v>
      </c>
      <c r="AL364" t="str" cm="1">
        <f t="array" ref="AL364">_xlfn.IFS(Table1[[#This Row],[Attrition]]="Yes","Resigned",Table1[[#This Row],[Attrition]]="No","Active")</f>
        <v>Active</v>
      </c>
      <c r="AM364" t="str" cm="1">
        <f t="array" ref="AM364">_xlfn.IFS(Table1[[#This Row],[YearsAtCompany]]&lt;=1,"0-1 Year",Table1[[#This Row],[YearsAtCompany]]&lt;=2,"1-2 Years",Table1[[#This Row],[YearsAtCompany]]&lt;=3,"2-3 Years",Table1[[#This Row],[YearsAtCompany]]&lt;=4,"3-4 Years",Table1[[#This Row],[YearsAtCompany]]&lt;=5,"4-5 Years",Table1[[#This Row],[YearsAtCompany]]&gt;5,"&gt;5 Years")</f>
        <v>2-3 Years</v>
      </c>
    </row>
    <row r="365" spans="1:39" x14ac:dyDescent="0.45">
      <c r="A365">
        <v>33</v>
      </c>
      <c r="B365" t="s">
        <v>35</v>
      </c>
      <c r="C365" t="s">
        <v>64</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_xlfn.IFS(Table1[[#This Row],[Age]]&lt;30,"Young",Table1[[#This Row],[Age]]&lt;=40,"Adult",Table1[[#This Row],[Age]]&gt;40,"Senior")</f>
        <v>Adult</v>
      </c>
      <c r="AK365" t="str" cm="1">
        <f t="array" ref="AK365">_xlfn.IFS(Table1[[#This Row],[MonthlyIncome]]&lt;5000,"Low",Table1[[#This Row],[MonthlyIncome]]&lt;10000,"Medium",Table1[[#This Row],[MonthlyIncome]]&gt;10000,"High")</f>
        <v>Low</v>
      </c>
      <c r="AL365" t="str" cm="1">
        <f t="array" ref="AL365">_xlfn.IFS(Table1[[#This Row],[Attrition]]="Yes","Resigned",Table1[[#This Row],[Attrition]]="No","Active")</f>
        <v>Resigned</v>
      </c>
      <c r="AM365" t="str" cm="1">
        <f t="array" ref="AM365">_xlfn.IFS(Table1[[#This Row],[YearsAtCompany]]&lt;=1,"0-1 Year",Table1[[#This Row],[YearsAtCompany]]&lt;=2,"1-2 Years",Table1[[#This Row],[YearsAtCompany]]&lt;=3,"2-3 Years",Table1[[#This Row],[YearsAtCompany]]&lt;=4,"3-4 Years",Table1[[#This Row],[YearsAtCompany]]&lt;=5,"4-5 Years",Table1[[#This Row],[YearsAtCompany]]&gt;5,"&gt;5 Years")</f>
        <v>0-1 Year</v>
      </c>
    </row>
    <row r="366" spans="1:39" hidden="1" x14ac:dyDescent="0.45">
      <c r="A366">
        <v>37</v>
      </c>
      <c r="B366" t="s">
        <v>43</v>
      </c>
      <c r="C366" t="s">
        <v>64</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_xlfn.IFS(Table1[[#This Row],[Age]]&lt;30,"Young",Table1[[#This Row],[Age]]&lt;=40,"Adult",Table1[[#This Row],[Age]]&gt;40,"Senior")</f>
        <v>Adult</v>
      </c>
      <c r="AK366" t="str" cm="1">
        <f t="array" ref="AK366">_xlfn.IFS(Table1[[#This Row],[MonthlyIncome]]&lt;5000,"Low",Table1[[#This Row],[MonthlyIncome]]&lt;10000,"Medium",Table1[[#This Row],[MonthlyIncome]]&gt;10000,"High")</f>
        <v>Low</v>
      </c>
      <c r="AL366" t="str" cm="1">
        <f t="array" ref="AL366">_xlfn.IFS(Table1[[#This Row],[Attrition]]="Yes","Resigned",Table1[[#This Row],[Attrition]]="No","Active")</f>
        <v>Active</v>
      </c>
      <c r="AM366" t="str" cm="1">
        <f t="array" ref="AM366">_xlfn.IFS(Table1[[#This Row],[YearsAtCompany]]&lt;=1,"0-1 Year",Table1[[#This Row],[YearsAtCompany]]&lt;=2,"1-2 Years",Table1[[#This Row],[YearsAtCompany]]&lt;=3,"2-3 Years",Table1[[#This Row],[YearsAtCompany]]&lt;=4,"3-4 Years",Table1[[#This Row],[YearsAtCompany]]&lt;=5,"4-5 Years",Table1[[#This Row],[YearsAtCompany]]&gt;5,"&gt;5 Years")</f>
        <v>4-5 Years</v>
      </c>
    </row>
    <row r="367" spans="1:39" hidden="1" x14ac:dyDescent="0.45">
      <c r="A367">
        <v>46</v>
      </c>
      <c r="B367" t="s">
        <v>43</v>
      </c>
      <c r="C367" t="s">
        <v>62</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_xlfn.IFS(Table1[[#This Row],[Age]]&lt;30,"Young",Table1[[#This Row],[Age]]&lt;=40,"Adult",Table1[[#This Row],[Age]]&gt;40,"Senior")</f>
        <v>Senior</v>
      </c>
      <c r="AK367" t="str" cm="1">
        <f t="array" ref="AK367">_xlfn.IFS(Table1[[#This Row],[MonthlyIncome]]&lt;5000,"Low",Table1[[#This Row],[MonthlyIncome]]&lt;10000,"Medium",Table1[[#This Row],[MonthlyIncome]]&gt;10000,"High")</f>
        <v>Medium</v>
      </c>
      <c r="AL367" t="str" cm="1">
        <f t="array" ref="AL367">_xlfn.IFS(Table1[[#This Row],[Attrition]]="Yes","Resigned",Table1[[#This Row],[Attrition]]="No","Active")</f>
        <v>Active</v>
      </c>
      <c r="AM367" t="str" cm="1">
        <f t="array" ref="AM367">_xlfn.IFS(Table1[[#This Row],[YearsAtCompany]]&lt;=1,"0-1 Year",Table1[[#This Row],[YearsAtCompany]]&lt;=2,"1-2 Years",Table1[[#This Row],[YearsAtCompany]]&lt;=3,"2-3 Years",Table1[[#This Row],[YearsAtCompany]]&lt;=4,"3-4 Years",Table1[[#This Row],[YearsAtCompany]]&lt;=5,"4-5 Years",Table1[[#This Row],[YearsAtCompany]]&gt;5,"&gt;5 Years")</f>
        <v>0-1 Year</v>
      </c>
    </row>
    <row r="368" spans="1:39" x14ac:dyDescent="0.45">
      <c r="A368">
        <v>41</v>
      </c>
      <c r="B368" t="s">
        <v>35</v>
      </c>
      <c r="C368" t="s">
        <v>63</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_xlfn.IFS(Table1[[#This Row],[Age]]&lt;30,"Young",Table1[[#This Row],[Age]]&lt;=40,"Adult",Table1[[#This Row],[Age]]&gt;40,"Senior")</f>
        <v>Senior</v>
      </c>
      <c r="AK368" t="str" cm="1">
        <f t="array" ref="AK368">_xlfn.IFS(Table1[[#This Row],[MonthlyIncome]]&lt;5000,"Low",Table1[[#This Row],[MonthlyIncome]]&lt;10000,"Medium",Table1[[#This Row],[MonthlyIncome]]&gt;10000,"High")</f>
        <v>Medium</v>
      </c>
      <c r="AL368" t="str" cm="1">
        <f t="array" ref="AL368">_xlfn.IFS(Table1[[#This Row],[Attrition]]="Yes","Resigned",Table1[[#This Row],[Attrition]]="No","Active")</f>
        <v>Resigned</v>
      </c>
      <c r="AM368" t="str" cm="1">
        <f t="array" ref="AM368">_xlfn.IFS(Table1[[#This Row],[YearsAtCompany]]&lt;=1,"0-1 Year",Table1[[#This Row],[YearsAtCompany]]&lt;=2,"1-2 Years",Table1[[#This Row],[YearsAtCompany]]&lt;=3,"2-3 Years",Table1[[#This Row],[YearsAtCompany]]&lt;=4,"3-4 Years",Table1[[#This Row],[YearsAtCompany]]&lt;=5,"4-5 Years",Table1[[#This Row],[YearsAtCompany]]&gt;5,"&gt;5 Years")</f>
        <v>&gt;5 Years</v>
      </c>
    </row>
    <row r="369" spans="1:39" hidden="1" x14ac:dyDescent="0.45">
      <c r="A369">
        <v>50</v>
      </c>
      <c r="B369" t="s">
        <v>43</v>
      </c>
      <c r="C369" t="s">
        <v>64</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_xlfn.IFS(Table1[[#This Row],[Age]]&lt;30,"Young",Table1[[#This Row],[Age]]&lt;=40,"Adult",Table1[[#This Row],[Age]]&gt;40,"Senior")</f>
        <v>Senior</v>
      </c>
      <c r="AK369" t="str" cm="1">
        <f t="array" ref="AK369">_xlfn.IFS(Table1[[#This Row],[MonthlyIncome]]&lt;5000,"Low",Table1[[#This Row],[MonthlyIncome]]&lt;10000,"Medium",Table1[[#This Row],[MonthlyIncome]]&gt;10000,"High")</f>
        <v>High</v>
      </c>
      <c r="AL369" t="str" cm="1">
        <f t="array" ref="AL369">_xlfn.IFS(Table1[[#This Row],[Attrition]]="Yes","Resigned",Table1[[#This Row],[Attrition]]="No","Active")</f>
        <v>Active</v>
      </c>
      <c r="AM369" t="str" cm="1">
        <f t="array" ref="AM369">_xlfn.IFS(Table1[[#This Row],[YearsAtCompany]]&lt;=1,"0-1 Year",Table1[[#This Row],[YearsAtCompany]]&lt;=2,"1-2 Years",Table1[[#This Row],[YearsAtCompany]]&lt;=3,"2-3 Years",Table1[[#This Row],[YearsAtCompany]]&lt;=4,"3-4 Years",Table1[[#This Row],[YearsAtCompany]]&lt;=5,"4-5 Years",Table1[[#This Row],[YearsAtCompany]]&gt;5,"&gt;5 Years")</f>
        <v>3-4 Years</v>
      </c>
    </row>
    <row r="370" spans="1:39" x14ac:dyDescent="0.45">
      <c r="A370">
        <v>40</v>
      </c>
      <c r="B370" t="s">
        <v>35</v>
      </c>
      <c r="C370" t="s">
        <v>64</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_xlfn.IFS(Table1[[#This Row],[Age]]&lt;30,"Young",Table1[[#This Row],[Age]]&lt;=40,"Adult",Table1[[#This Row],[Age]]&gt;40,"Senior")</f>
        <v>Adult</v>
      </c>
      <c r="AK370" t="str" cm="1">
        <f t="array" ref="AK370">_xlfn.IFS(Table1[[#This Row],[MonthlyIncome]]&lt;5000,"Low",Table1[[#This Row],[MonthlyIncome]]&lt;10000,"Medium",Table1[[#This Row],[MonthlyIncome]]&gt;10000,"High")</f>
        <v>Medium</v>
      </c>
      <c r="AL370" t="str" cm="1">
        <f t="array" ref="AL370">_xlfn.IFS(Table1[[#This Row],[Attrition]]="Yes","Resigned",Table1[[#This Row],[Attrition]]="No","Active")</f>
        <v>Resigned</v>
      </c>
      <c r="AM370" t="str" cm="1">
        <f t="array" ref="AM370">_xlfn.IFS(Table1[[#This Row],[YearsAtCompany]]&lt;=1,"0-1 Year",Table1[[#This Row],[YearsAtCompany]]&lt;=2,"1-2 Years",Table1[[#This Row],[YearsAtCompany]]&lt;=3,"2-3 Years",Table1[[#This Row],[YearsAtCompany]]&lt;=4,"3-4 Years",Table1[[#This Row],[YearsAtCompany]]&lt;=5,"4-5 Years",Table1[[#This Row],[YearsAtCompany]]&gt;5,"&gt;5 Years")</f>
        <v>&gt;5 Years</v>
      </c>
    </row>
    <row r="371" spans="1:39" hidden="1" x14ac:dyDescent="0.45">
      <c r="A371">
        <v>31</v>
      </c>
      <c r="B371" t="s">
        <v>43</v>
      </c>
      <c r="C371" t="s">
        <v>64</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_xlfn.IFS(Table1[[#This Row],[Age]]&lt;30,"Young",Table1[[#This Row],[Age]]&lt;=40,"Adult",Table1[[#This Row],[Age]]&gt;40,"Senior")</f>
        <v>Adult</v>
      </c>
      <c r="AK371" t="str" cm="1">
        <f t="array" ref="AK371">_xlfn.IFS(Table1[[#This Row],[MonthlyIncome]]&lt;5000,"Low",Table1[[#This Row],[MonthlyIncome]]&lt;10000,"Medium",Table1[[#This Row],[MonthlyIncome]]&gt;10000,"High")</f>
        <v>Low</v>
      </c>
      <c r="AL371" t="str" cm="1">
        <f t="array" ref="AL371">_xlfn.IFS(Table1[[#This Row],[Attrition]]="Yes","Resigned",Table1[[#This Row],[Attrition]]="No","Active")</f>
        <v>Active</v>
      </c>
      <c r="AM371" t="str" cm="1">
        <f t="array" ref="AM371">_xlfn.IFS(Table1[[#This Row],[YearsAtCompany]]&lt;=1,"0-1 Year",Table1[[#This Row],[YearsAtCompany]]&lt;=2,"1-2 Years",Table1[[#This Row],[YearsAtCompany]]&lt;=3,"2-3 Years",Table1[[#This Row],[YearsAtCompany]]&lt;=4,"3-4 Years",Table1[[#This Row],[YearsAtCompany]]&lt;=5,"4-5 Years",Table1[[#This Row],[YearsAtCompany]]&gt;5,"&gt;5 Years")</f>
        <v>1-2 Years</v>
      </c>
    </row>
    <row r="372" spans="1:39" x14ac:dyDescent="0.45">
      <c r="A372">
        <v>21</v>
      </c>
      <c r="B372" t="s">
        <v>35</v>
      </c>
      <c r="C372" t="s">
        <v>64</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_xlfn.IFS(Table1[[#This Row],[Age]]&lt;30,"Young",Table1[[#This Row],[Age]]&lt;=40,"Adult",Table1[[#This Row],[Age]]&gt;40,"Senior")</f>
        <v>Young</v>
      </c>
      <c r="AK372" t="str" cm="1">
        <f t="array" ref="AK372">_xlfn.IFS(Table1[[#This Row],[MonthlyIncome]]&lt;5000,"Low",Table1[[#This Row],[MonthlyIncome]]&lt;10000,"Medium",Table1[[#This Row],[MonthlyIncome]]&gt;10000,"High")</f>
        <v>Low</v>
      </c>
      <c r="AL372" t="str" cm="1">
        <f t="array" ref="AL372">_xlfn.IFS(Table1[[#This Row],[Attrition]]="Yes","Resigned",Table1[[#This Row],[Attrition]]="No","Active")</f>
        <v>Resigned</v>
      </c>
      <c r="AM372" t="str" cm="1">
        <f t="array" ref="AM372">_xlfn.IFS(Table1[[#This Row],[YearsAtCompany]]&lt;=1,"0-1 Year",Table1[[#This Row],[YearsAtCompany]]&lt;=2,"1-2 Years",Table1[[#This Row],[YearsAtCompany]]&lt;=3,"2-3 Years",Table1[[#This Row],[YearsAtCompany]]&lt;=4,"3-4 Years",Table1[[#This Row],[YearsAtCompany]]&lt;=5,"4-5 Years",Table1[[#This Row],[YearsAtCompany]]&gt;5,"&gt;5 Years")</f>
        <v>0-1 Year</v>
      </c>
    </row>
    <row r="373" spans="1:39" hidden="1" x14ac:dyDescent="0.45">
      <c r="A373">
        <v>29</v>
      </c>
      <c r="B373" t="s">
        <v>43</v>
      </c>
      <c r="C373" t="s">
        <v>64</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_xlfn.IFS(Table1[[#This Row],[Age]]&lt;30,"Young",Table1[[#This Row],[Age]]&lt;=40,"Adult",Table1[[#This Row],[Age]]&gt;40,"Senior")</f>
        <v>Young</v>
      </c>
      <c r="AK373" t="str" cm="1">
        <f t="array" ref="AK373">_xlfn.IFS(Table1[[#This Row],[MonthlyIncome]]&lt;5000,"Low",Table1[[#This Row],[MonthlyIncome]]&lt;10000,"Medium",Table1[[#This Row],[MonthlyIncome]]&gt;10000,"High")</f>
        <v>Low</v>
      </c>
      <c r="AL373" t="str" cm="1">
        <f t="array" ref="AL373">_xlfn.IFS(Table1[[#This Row],[Attrition]]="Yes","Resigned",Table1[[#This Row],[Attrition]]="No","Active")</f>
        <v>Active</v>
      </c>
      <c r="AM373" t="str" cm="1">
        <f t="array" ref="AM373">_xlfn.IFS(Table1[[#This Row],[YearsAtCompany]]&lt;=1,"0-1 Year",Table1[[#This Row],[YearsAtCompany]]&lt;=2,"1-2 Years",Table1[[#This Row],[YearsAtCompany]]&lt;=3,"2-3 Years",Table1[[#This Row],[YearsAtCompany]]&lt;=4,"3-4 Years",Table1[[#This Row],[YearsAtCompany]]&lt;=5,"4-5 Years",Table1[[#This Row],[YearsAtCompany]]&gt;5,"&gt;5 Years")</f>
        <v>2-3 Years</v>
      </c>
    </row>
    <row r="374" spans="1:39" hidden="1" x14ac:dyDescent="0.45">
      <c r="A374">
        <v>35</v>
      </c>
      <c r="B374" t="s">
        <v>43</v>
      </c>
      <c r="C374" t="s">
        <v>64</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_xlfn.IFS(Table1[[#This Row],[Age]]&lt;30,"Young",Table1[[#This Row],[Age]]&lt;=40,"Adult",Table1[[#This Row],[Age]]&gt;40,"Senior")</f>
        <v>Adult</v>
      </c>
      <c r="AK374" t="str" cm="1">
        <f t="array" ref="AK374">_xlfn.IFS(Table1[[#This Row],[MonthlyIncome]]&lt;5000,"Low",Table1[[#This Row],[MonthlyIncome]]&lt;10000,"Medium",Table1[[#This Row],[MonthlyIncome]]&gt;10000,"High")</f>
        <v>Medium</v>
      </c>
      <c r="AL374" t="str" cm="1">
        <f t="array" ref="AL374">_xlfn.IFS(Table1[[#This Row],[Attrition]]="Yes","Resigned",Table1[[#This Row],[Attrition]]="No","Active")</f>
        <v>Active</v>
      </c>
      <c r="AM374" t="str" cm="1">
        <f t="array" ref="AM374">_xlfn.IFS(Table1[[#This Row],[YearsAtCompany]]&lt;=1,"0-1 Year",Table1[[#This Row],[YearsAtCompany]]&lt;=2,"1-2 Years",Table1[[#This Row],[YearsAtCompany]]&lt;=3,"2-3 Years",Table1[[#This Row],[YearsAtCompany]]&lt;=4,"3-4 Years",Table1[[#This Row],[YearsAtCompany]]&lt;=5,"4-5 Years",Table1[[#This Row],[YearsAtCompany]]&gt;5,"&gt;5 Years")</f>
        <v>0-1 Year</v>
      </c>
    </row>
    <row r="375" spans="1:39" hidden="1" x14ac:dyDescent="0.45">
      <c r="A375">
        <v>27</v>
      </c>
      <c r="B375" t="s">
        <v>43</v>
      </c>
      <c r="C375" t="s">
        <v>64</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_xlfn.IFS(Table1[[#This Row],[Age]]&lt;30,"Young",Table1[[#This Row],[Age]]&lt;=40,"Adult",Table1[[#This Row],[Age]]&gt;40,"Senior")</f>
        <v>Young</v>
      </c>
      <c r="AK375" t="str" cm="1">
        <f t="array" ref="AK375">_xlfn.IFS(Table1[[#This Row],[MonthlyIncome]]&lt;5000,"Low",Table1[[#This Row],[MonthlyIncome]]&lt;10000,"Medium",Table1[[#This Row],[MonthlyIncome]]&gt;10000,"High")</f>
        <v>Low</v>
      </c>
      <c r="AL375" t="str" cm="1">
        <f t="array" ref="AL375">_xlfn.IFS(Table1[[#This Row],[Attrition]]="Yes","Resigned",Table1[[#This Row],[Attrition]]="No","Active")</f>
        <v>Active</v>
      </c>
      <c r="AM375" t="str" cm="1">
        <f t="array" ref="AM375">_xlfn.IFS(Table1[[#This Row],[YearsAtCompany]]&lt;=1,"0-1 Year",Table1[[#This Row],[YearsAtCompany]]&lt;=2,"1-2 Years",Table1[[#This Row],[YearsAtCompany]]&lt;=3,"2-3 Years",Table1[[#This Row],[YearsAtCompany]]&lt;=4,"3-4 Years",Table1[[#This Row],[YearsAtCompany]]&lt;=5,"4-5 Years",Table1[[#This Row],[YearsAtCompany]]&gt;5,"&gt;5 Years")</f>
        <v>4-5 Years</v>
      </c>
    </row>
    <row r="376" spans="1:39" x14ac:dyDescent="0.45">
      <c r="A376">
        <v>28</v>
      </c>
      <c r="B376" t="s">
        <v>43</v>
      </c>
      <c r="C376" t="s">
        <v>64</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_xlfn.IFS(Table1[[#This Row],[Age]]&lt;30,"Young",Table1[[#This Row],[Age]]&lt;=40,"Adult",Table1[[#This Row],[Age]]&gt;40,"Senior")</f>
        <v>Young</v>
      </c>
      <c r="AK376" t="str" cm="1">
        <f t="array" ref="AK376">_xlfn.IFS(Table1[[#This Row],[MonthlyIncome]]&lt;5000,"Low",Table1[[#This Row],[MonthlyIncome]]&lt;10000,"Medium",Table1[[#This Row],[MonthlyIncome]]&gt;10000,"High")</f>
        <v>Medium</v>
      </c>
      <c r="AL376" t="str" cm="1">
        <f t="array" ref="AL376">_xlfn.IFS(Table1[[#This Row],[Attrition]]="Yes","Resigned",Table1[[#This Row],[Attrition]]="No","Active")</f>
        <v>Active</v>
      </c>
      <c r="AM376" t="str" cm="1">
        <f t="array" ref="AM376">_xlfn.IFS(Table1[[#This Row],[YearsAtCompany]]&lt;=1,"0-1 Year",Table1[[#This Row],[YearsAtCompany]]&lt;=2,"1-2 Years",Table1[[#This Row],[YearsAtCompany]]&lt;=3,"2-3 Years",Table1[[#This Row],[YearsAtCompany]]&lt;=4,"3-4 Years",Table1[[#This Row],[YearsAtCompany]]&lt;=5,"4-5 Years",Table1[[#This Row],[YearsAtCompany]]&gt;5,"&gt;5 Years")</f>
        <v>&gt;5 Years</v>
      </c>
    </row>
    <row r="377" spans="1:39" hidden="1" x14ac:dyDescent="0.45">
      <c r="A377">
        <v>49</v>
      </c>
      <c r="B377" t="s">
        <v>43</v>
      </c>
      <c r="C377" t="s">
        <v>64</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_xlfn.IFS(Table1[[#This Row],[Age]]&lt;30,"Young",Table1[[#This Row],[Age]]&lt;=40,"Adult",Table1[[#This Row],[Age]]&gt;40,"Senior")</f>
        <v>Senior</v>
      </c>
      <c r="AK377" t="str" cm="1">
        <f t="array" ref="AK377">_xlfn.IFS(Table1[[#This Row],[MonthlyIncome]]&lt;5000,"Low",Table1[[#This Row],[MonthlyIncome]]&lt;10000,"Medium",Table1[[#This Row],[MonthlyIncome]]&gt;10000,"High")</f>
        <v>High</v>
      </c>
      <c r="AL377" t="str" cm="1">
        <f t="array" ref="AL377">_xlfn.IFS(Table1[[#This Row],[Attrition]]="Yes","Resigned",Table1[[#This Row],[Attrition]]="No","Active")</f>
        <v>Active</v>
      </c>
      <c r="AM377" t="str" cm="1">
        <f t="array" ref="AM377">_xlfn.IFS(Table1[[#This Row],[YearsAtCompany]]&lt;=1,"0-1 Year",Table1[[#This Row],[YearsAtCompany]]&lt;=2,"1-2 Years",Table1[[#This Row],[YearsAtCompany]]&lt;=3,"2-3 Years",Table1[[#This Row],[YearsAtCompany]]&lt;=4,"3-4 Years",Table1[[#This Row],[YearsAtCompany]]&lt;=5,"4-5 Years",Table1[[#This Row],[YearsAtCompany]]&gt;5,"&gt;5 Years")</f>
        <v>4-5 Years</v>
      </c>
    </row>
    <row r="378" spans="1:39" x14ac:dyDescent="0.45">
      <c r="A378">
        <v>51</v>
      </c>
      <c r="B378" t="s">
        <v>43</v>
      </c>
      <c r="C378" t="s">
        <v>64</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_xlfn.IFS(Table1[[#This Row],[Age]]&lt;30,"Young",Table1[[#This Row],[Age]]&lt;=40,"Adult",Table1[[#This Row],[Age]]&gt;40,"Senior")</f>
        <v>Senior</v>
      </c>
      <c r="AK378" t="str" cm="1">
        <f t="array" ref="AK378">_xlfn.IFS(Table1[[#This Row],[MonthlyIncome]]&lt;5000,"Low",Table1[[#This Row],[MonthlyIncome]]&lt;10000,"Medium",Table1[[#This Row],[MonthlyIncome]]&gt;10000,"High")</f>
        <v>Low</v>
      </c>
      <c r="AL378" t="str" cm="1">
        <f t="array" ref="AL378">_xlfn.IFS(Table1[[#This Row],[Attrition]]="Yes","Resigned",Table1[[#This Row],[Attrition]]="No","Active")</f>
        <v>Active</v>
      </c>
      <c r="AM378" t="str" cm="1">
        <f t="array" ref="AM378">_xlfn.IFS(Table1[[#This Row],[YearsAtCompany]]&lt;=1,"0-1 Year",Table1[[#This Row],[YearsAtCompany]]&lt;=2,"1-2 Years",Table1[[#This Row],[YearsAtCompany]]&lt;=3,"2-3 Years",Table1[[#This Row],[YearsAtCompany]]&lt;=4,"3-4 Years",Table1[[#This Row],[YearsAtCompany]]&lt;=5,"4-5 Years",Table1[[#This Row],[YearsAtCompany]]&gt;5,"&gt;5 Years")</f>
        <v>&gt;5 Years</v>
      </c>
    </row>
    <row r="379" spans="1:39" hidden="1" x14ac:dyDescent="0.45">
      <c r="A379">
        <v>36</v>
      </c>
      <c r="B379" t="s">
        <v>43</v>
      </c>
      <c r="C379" t="s">
        <v>64</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_xlfn.IFS(Table1[[#This Row],[Age]]&lt;30,"Young",Table1[[#This Row],[Age]]&lt;=40,"Adult",Table1[[#This Row],[Age]]&gt;40,"Senior")</f>
        <v>Adult</v>
      </c>
      <c r="AK379" t="str" cm="1">
        <f t="array" ref="AK379">_xlfn.IFS(Table1[[#This Row],[MonthlyIncome]]&lt;5000,"Low",Table1[[#This Row],[MonthlyIncome]]&lt;10000,"Medium",Table1[[#This Row],[MonthlyIncome]]&gt;10000,"High")</f>
        <v>Low</v>
      </c>
      <c r="AL379" t="str" cm="1">
        <f t="array" ref="AL379">_xlfn.IFS(Table1[[#This Row],[Attrition]]="Yes","Resigned",Table1[[#This Row],[Attrition]]="No","Active")</f>
        <v>Active</v>
      </c>
      <c r="AM379" t="str" cm="1">
        <f t="array" ref="AM379">_xlfn.IFS(Table1[[#This Row],[YearsAtCompany]]&lt;=1,"0-1 Year",Table1[[#This Row],[YearsAtCompany]]&lt;=2,"1-2 Years",Table1[[#This Row],[YearsAtCompany]]&lt;=3,"2-3 Years",Table1[[#This Row],[YearsAtCompany]]&lt;=4,"3-4 Years",Table1[[#This Row],[YearsAtCompany]]&lt;=5,"4-5 Years",Table1[[#This Row],[YearsAtCompany]]&gt;5,"&gt;5 Years")</f>
        <v>1-2 Years</v>
      </c>
    </row>
    <row r="380" spans="1:39" x14ac:dyDescent="0.45">
      <c r="A380">
        <v>34</v>
      </c>
      <c r="B380" t="s">
        <v>35</v>
      </c>
      <c r="C380" t="s">
        <v>62</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_xlfn.IFS(Table1[[#This Row],[Age]]&lt;30,"Young",Table1[[#This Row],[Age]]&lt;=40,"Adult",Table1[[#This Row],[Age]]&gt;40,"Senior")</f>
        <v>Adult</v>
      </c>
      <c r="AK380" t="str" cm="1">
        <f t="array" ref="AK380">_xlfn.IFS(Table1[[#This Row],[MonthlyIncome]]&lt;5000,"Low",Table1[[#This Row],[MonthlyIncome]]&lt;10000,"Medium",Table1[[#This Row],[MonthlyIncome]]&gt;10000,"High")</f>
        <v>Medium</v>
      </c>
      <c r="AL380" t="str" cm="1">
        <f t="array" ref="AL380">_xlfn.IFS(Table1[[#This Row],[Attrition]]="Yes","Resigned",Table1[[#This Row],[Attrition]]="No","Active")</f>
        <v>Resigned</v>
      </c>
      <c r="AM380" t="str" cm="1">
        <f t="array" ref="AM380">_xlfn.IFS(Table1[[#This Row],[YearsAtCompany]]&lt;=1,"0-1 Year",Table1[[#This Row],[YearsAtCompany]]&lt;=2,"1-2 Years",Table1[[#This Row],[YearsAtCompany]]&lt;=3,"2-3 Years",Table1[[#This Row],[YearsAtCompany]]&lt;=4,"3-4 Years",Table1[[#This Row],[YearsAtCompany]]&lt;=5,"4-5 Years",Table1[[#This Row],[YearsAtCompany]]&gt;5,"&gt;5 Years")</f>
        <v>4-5 Years</v>
      </c>
    </row>
    <row r="381" spans="1:39" hidden="1" x14ac:dyDescent="0.45">
      <c r="A381">
        <v>55</v>
      </c>
      <c r="B381" t="s">
        <v>43</v>
      </c>
      <c r="C381" t="s">
        <v>64</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_xlfn.IFS(Table1[[#This Row],[Age]]&lt;30,"Young",Table1[[#This Row],[Age]]&lt;=40,"Adult",Table1[[#This Row],[Age]]&gt;40,"Senior")</f>
        <v>Senior</v>
      </c>
      <c r="AK381" t="str" cm="1">
        <f t="array" ref="AK381">_xlfn.IFS(Table1[[#This Row],[MonthlyIncome]]&lt;5000,"Low",Table1[[#This Row],[MonthlyIncome]]&lt;10000,"Medium",Table1[[#This Row],[MonthlyIncome]]&gt;10000,"High")</f>
        <v>High</v>
      </c>
      <c r="AL381" t="str" cm="1">
        <f t="array" ref="AL381">_xlfn.IFS(Table1[[#This Row],[Attrition]]="Yes","Resigned",Table1[[#This Row],[Attrition]]="No","Active")</f>
        <v>Active</v>
      </c>
      <c r="AM381" t="str" cm="1">
        <f t="array" ref="AM381">_xlfn.IFS(Table1[[#This Row],[YearsAtCompany]]&lt;=1,"0-1 Year",Table1[[#This Row],[YearsAtCompany]]&lt;=2,"1-2 Years",Table1[[#This Row],[YearsAtCompany]]&lt;=3,"2-3 Years",Table1[[#This Row],[YearsAtCompany]]&lt;=4,"3-4 Years",Table1[[#This Row],[YearsAtCompany]]&lt;=5,"4-5 Years",Table1[[#This Row],[YearsAtCompany]]&gt;5,"&gt;5 Years")</f>
        <v>4-5 Years</v>
      </c>
    </row>
    <row r="382" spans="1:39" x14ac:dyDescent="0.45">
      <c r="A382">
        <v>24</v>
      </c>
      <c r="B382" t="s">
        <v>43</v>
      </c>
      <c r="C382" t="s">
        <v>64</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_xlfn.IFS(Table1[[#This Row],[Age]]&lt;30,"Young",Table1[[#This Row],[Age]]&lt;=40,"Adult",Table1[[#This Row],[Age]]&gt;40,"Senior")</f>
        <v>Young</v>
      </c>
      <c r="AK382" t="str" cm="1">
        <f t="array" ref="AK382">_xlfn.IFS(Table1[[#This Row],[MonthlyIncome]]&lt;5000,"Low",Table1[[#This Row],[MonthlyIncome]]&lt;10000,"Medium",Table1[[#This Row],[MonthlyIncome]]&gt;10000,"High")</f>
        <v>Low</v>
      </c>
      <c r="AL382" t="str" cm="1">
        <f t="array" ref="AL382">_xlfn.IFS(Table1[[#This Row],[Attrition]]="Yes","Resigned",Table1[[#This Row],[Attrition]]="No","Active")</f>
        <v>Active</v>
      </c>
      <c r="AM382" t="str" cm="1">
        <f t="array" ref="AM382">_xlfn.IFS(Table1[[#This Row],[YearsAtCompany]]&lt;=1,"0-1 Year",Table1[[#This Row],[YearsAtCompany]]&lt;=2,"1-2 Years",Table1[[#This Row],[YearsAtCompany]]&lt;=3,"2-3 Years",Table1[[#This Row],[YearsAtCompany]]&lt;=4,"3-4 Years",Table1[[#This Row],[YearsAtCompany]]&lt;=5,"4-5 Years",Table1[[#This Row],[YearsAtCompany]]&gt;5,"&gt;5 Years")</f>
        <v>4-5 Years</v>
      </c>
    </row>
    <row r="383" spans="1:39" x14ac:dyDescent="0.45">
      <c r="A383">
        <v>30</v>
      </c>
      <c r="B383" t="s">
        <v>43</v>
      </c>
      <c r="C383" t="s">
        <v>64</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_xlfn.IFS(Table1[[#This Row],[Age]]&lt;30,"Young",Table1[[#This Row],[Age]]&lt;=40,"Adult",Table1[[#This Row],[Age]]&gt;40,"Senior")</f>
        <v>Adult</v>
      </c>
      <c r="AK383" t="str" cm="1">
        <f t="array" ref="AK383">_xlfn.IFS(Table1[[#This Row],[MonthlyIncome]]&lt;5000,"Low",Table1[[#This Row],[MonthlyIncome]]&lt;10000,"Medium",Table1[[#This Row],[MonthlyIncome]]&gt;10000,"High")</f>
        <v>Low</v>
      </c>
      <c r="AL383" t="str" cm="1">
        <f t="array" ref="AL383">_xlfn.IFS(Table1[[#This Row],[Attrition]]="Yes","Resigned",Table1[[#This Row],[Attrition]]="No","Active")</f>
        <v>Active</v>
      </c>
      <c r="AM383" t="str" cm="1">
        <f t="array" ref="AM383">_xlfn.IFS(Table1[[#This Row],[YearsAtCompany]]&lt;=1,"0-1 Year",Table1[[#This Row],[YearsAtCompany]]&lt;=2,"1-2 Years",Table1[[#This Row],[YearsAtCompany]]&lt;=3,"2-3 Years",Table1[[#This Row],[YearsAtCompany]]&lt;=4,"3-4 Years",Table1[[#This Row],[YearsAtCompany]]&lt;=5,"4-5 Years",Table1[[#This Row],[YearsAtCompany]]&gt;5,"&gt;5 Years")</f>
        <v>0-1 Year</v>
      </c>
    </row>
    <row r="384" spans="1:39" hidden="1" x14ac:dyDescent="0.45">
      <c r="A384">
        <v>26</v>
      </c>
      <c r="B384" t="s">
        <v>35</v>
      </c>
      <c r="C384" t="s">
        <v>63</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_xlfn.IFS(Table1[[#This Row],[Age]]&lt;30,"Young",Table1[[#This Row],[Age]]&lt;=40,"Adult",Table1[[#This Row],[Age]]&gt;40,"Senior")</f>
        <v>Young</v>
      </c>
      <c r="AK384" t="str" cm="1">
        <f t="array" ref="AK384">_xlfn.IFS(Table1[[#This Row],[MonthlyIncome]]&lt;5000,"Low",Table1[[#This Row],[MonthlyIncome]]&lt;10000,"Medium",Table1[[#This Row],[MonthlyIncome]]&gt;10000,"High")</f>
        <v>Low</v>
      </c>
      <c r="AL384" t="str" cm="1">
        <f t="array" ref="AL384">_xlfn.IFS(Table1[[#This Row],[Attrition]]="Yes","Resigned",Table1[[#This Row],[Attrition]]="No","Active")</f>
        <v>Resigned</v>
      </c>
      <c r="AM384" t="str" cm="1">
        <f t="array" ref="AM384">_xlfn.IFS(Table1[[#This Row],[YearsAtCompany]]&lt;=1,"0-1 Year",Table1[[#This Row],[YearsAtCompany]]&lt;=2,"1-2 Years",Table1[[#This Row],[YearsAtCompany]]&lt;=3,"2-3 Years",Table1[[#This Row],[YearsAtCompany]]&lt;=4,"3-4 Years",Table1[[#This Row],[YearsAtCompany]]&lt;=5,"4-5 Years",Table1[[#This Row],[YearsAtCompany]]&gt;5,"&gt;5 Years")</f>
        <v>&gt;5 Years</v>
      </c>
    </row>
    <row r="385" spans="1:39" hidden="1" x14ac:dyDescent="0.45">
      <c r="A385">
        <v>22</v>
      </c>
      <c r="B385" t="s">
        <v>43</v>
      </c>
      <c r="C385" t="s">
        <v>64</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_xlfn.IFS(Table1[[#This Row],[Age]]&lt;30,"Young",Table1[[#This Row],[Age]]&lt;=40,"Adult",Table1[[#This Row],[Age]]&gt;40,"Senior")</f>
        <v>Young</v>
      </c>
      <c r="AK385" t="str" cm="1">
        <f t="array" ref="AK385">_xlfn.IFS(Table1[[#This Row],[MonthlyIncome]]&lt;5000,"Low",Table1[[#This Row],[MonthlyIncome]]&lt;10000,"Medium",Table1[[#This Row],[MonthlyIncome]]&gt;10000,"High")</f>
        <v>Low</v>
      </c>
      <c r="AL385" t="str" cm="1">
        <f t="array" ref="AL385">_xlfn.IFS(Table1[[#This Row],[Attrition]]="Yes","Resigned",Table1[[#This Row],[Attrition]]="No","Active")</f>
        <v>Active</v>
      </c>
      <c r="AM385" t="str" cm="1">
        <f t="array" ref="AM385">_xlfn.IFS(Table1[[#This Row],[YearsAtCompany]]&lt;=1,"0-1 Year",Table1[[#This Row],[YearsAtCompany]]&lt;=2,"1-2 Years",Table1[[#This Row],[YearsAtCompany]]&lt;=3,"2-3 Years",Table1[[#This Row],[YearsAtCompany]]&lt;=4,"3-4 Years",Table1[[#This Row],[YearsAtCompany]]&lt;=5,"4-5 Years",Table1[[#This Row],[YearsAtCompany]]&gt;5,"&gt;5 Years")</f>
        <v>1-2 Years</v>
      </c>
    </row>
    <row r="386" spans="1:39" x14ac:dyDescent="0.45">
      <c r="A386">
        <v>36</v>
      </c>
      <c r="B386" t="s">
        <v>43</v>
      </c>
      <c r="C386" t="s">
        <v>64</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_xlfn.IFS(Table1[[#This Row],[Age]]&lt;30,"Young",Table1[[#This Row],[Age]]&lt;=40,"Adult",Table1[[#This Row],[Age]]&gt;40,"Senior")</f>
        <v>Adult</v>
      </c>
      <c r="AK386" t="str" cm="1">
        <f t="array" ref="AK386">_xlfn.IFS(Table1[[#This Row],[MonthlyIncome]]&lt;5000,"Low",Table1[[#This Row],[MonthlyIncome]]&lt;10000,"Medium",Table1[[#This Row],[MonthlyIncome]]&gt;10000,"High")</f>
        <v>Medium</v>
      </c>
      <c r="AL386" t="str" cm="1">
        <f t="array" ref="AL386">_xlfn.IFS(Table1[[#This Row],[Attrition]]="Yes","Resigned",Table1[[#This Row],[Attrition]]="No","Active")</f>
        <v>Active</v>
      </c>
      <c r="AM386" t="str" cm="1">
        <f t="array" ref="AM386">_xlfn.IFS(Table1[[#This Row],[YearsAtCompany]]&lt;=1,"0-1 Year",Table1[[#This Row],[YearsAtCompany]]&lt;=2,"1-2 Years",Table1[[#This Row],[YearsAtCompany]]&lt;=3,"2-3 Years",Table1[[#This Row],[YearsAtCompany]]&lt;=4,"3-4 Years",Table1[[#This Row],[YearsAtCompany]]&lt;=5,"4-5 Years",Table1[[#This Row],[YearsAtCompany]]&gt;5,"&gt;5 Years")</f>
        <v>&gt;5 Years</v>
      </c>
    </row>
    <row r="387" spans="1:39" hidden="1" x14ac:dyDescent="0.45">
      <c r="A387">
        <v>30</v>
      </c>
      <c r="B387" t="s">
        <v>35</v>
      </c>
      <c r="C387" t="s">
        <v>63</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_xlfn.IFS(Table1[[#This Row],[Age]]&lt;30,"Young",Table1[[#This Row],[Age]]&lt;=40,"Adult",Table1[[#This Row],[Age]]&gt;40,"Senior")</f>
        <v>Adult</v>
      </c>
      <c r="AK387" t="str" cm="1">
        <f t="array" ref="AK387">_xlfn.IFS(Table1[[#This Row],[MonthlyIncome]]&lt;5000,"Low",Table1[[#This Row],[MonthlyIncome]]&lt;10000,"Medium",Table1[[#This Row],[MonthlyIncome]]&gt;10000,"High")</f>
        <v>Low</v>
      </c>
      <c r="AL387" t="str" cm="1">
        <f t="array" ref="AL387">_xlfn.IFS(Table1[[#This Row],[Attrition]]="Yes","Resigned",Table1[[#This Row],[Attrition]]="No","Active")</f>
        <v>Resigned</v>
      </c>
      <c r="AM387" t="str" cm="1">
        <f t="array" ref="AM387">_xlfn.IFS(Table1[[#This Row],[YearsAtCompany]]&lt;=1,"0-1 Year",Table1[[#This Row],[YearsAtCompany]]&lt;=2,"1-2 Years",Table1[[#This Row],[YearsAtCompany]]&lt;=3,"2-3 Years",Table1[[#This Row],[YearsAtCompany]]&lt;=4,"3-4 Years",Table1[[#This Row],[YearsAtCompany]]&lt;=5,"4-5 Years",Table1[[#This Row],[YearsAtCompany]]&gt;5,"&gt;5 Years")</f>
        <v>0-1 Year</v>
      </c>
    </row>
    <row r="388" spans="1:39" hidden="1" x14ac:dyDescent="0.45">
      <c r="A388">
        <v>37</v>
      </c>
      <c r="B388" t="s">
        <v>43</v>
      </c>
      <c r="C388" t="s">
        <v>64</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_xlfn.IFS(Table1[[#This Row],[Age]]&lt;30,"Young",Table1[[#This Row],[Age]]&lt;=40,"Adult",Table1[[#This Row],[Age]]&gt;40,"Senior")</f>
        <v>Adult</v>
      </c>
      <c r="AK388" t="str" cm="1">
        <f t="array" ref="AK388">_xlfn.IFS(Table1[[#This Row],[MonthlyIncome]]&lt;5000,"Low",Table1[[#This Row],[MonthlyIncome]]&lt;10000,"Medium",Table1[[#This Row],[MonthlyIncome]]&gt;10000,"High")</f>
        <v>Low</v>
      </c>
      <c r="AL388" t="str" cm="1">
        <f t="array" ref="AL388">_xlfn.IFS(Table1[[#This Row],[Attrition]]="Yes","Resigned",Table1[[#This Row],[Attrition]]="No","Active")</f>
        <v>Active</v>
      </c>
      <c r="AM388" t="str" cm="1">
        <f t="array" ref="AM388">_xlfn.IFS(Table1[[#This Row],[YearsAtCompany]]&lt;=1,"0-1 Year",Table1[[#This Row],[YearsAtCompany]]&lt;=2,"1-2 Years",Table1[[#This Row],[YearsAtCompany]]&lt;=3,"2-3 Years",Table1[[#This Row],[YearsAtCompany]]&lt;=4,"3-4 Years",Table1[[#This Row],[YearsAtCompany]]&lt;=5,"4-5 Years",Table1[[#This Row],[YearsAtCompany]]&gt;5,"&gt;5 Years")</f>
        <v>&gt;5 Years</v>
      </c>
    </row>
    <row r="389" spans="1:39" x14ac:dyDescent="0.45">
      <c r="A389">
        <v>40</v>
      </c>
      <c r="B389" t="s">
        <v>43</v>
      </c>
      <c r="C389" t="s">
        <v>64</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_xlfn.IFS(Table1[[#This Row],[Age]]&lt;30,"Young",Table1[[#This Row],[Age]]&lt;=40,"Adult",Table1[[#This Row],[Age]]&gt;40,"Senior")</f>
        <v>Adult</v>
      </c>
      <c r="AK389" t="str" cm="1">
        <f t="array" ref="AK389">_xlfn.IFS(Table1[[#This Row],[MonthlyIncome]]&lt;5000,"Low",Table1[[#This Row],[MonthlyIncome]]&lt;10000,"Medium",Table1[[#This Row],[MonthlyIncome]]&gt;10000,"High")</f>
        <v>Medium</v>
      </c>
      <c r="AL389" t="str" cm="1">
        <f t="array" ref="AL389">_xlfn.IFS(Table1[[#This Row],[Attrition]]="Yes","Resigned",Table1[[#This Row],[Attrition]]="No","Active")</f>
        <v>Active</v>
      </c>
      <c r="AM389" t="str" cm="1">
        <f t="array" ref="AM389">_xlfn.IFS(Table1[[#This Row],[YearsAtCompany]]&lt;=1,"0-1 Year",Table1[[#This Row],[YearsAtCompany]]&lt;=2,"1-2 Years",Table1[[#This Row],[YearsAtCompany]]&lt;=3,"2-3 Years",Table1[[#This Row],[YearsAtCompany]]&lt;=4,"3-4 Years",Table1[[#This Row],[YearsAtCompany]]&lt;=5,"4-5 Years",Table1[[#This Row],[YearsAtCompany]]&gt;5,"&gt;5 Years")</f>
        <v>4-5 Years</v>
      </c>
    </row>
    <row r="390" spans="1:39" hidden="1" x14ac:dyDescent="0.45">
      <c r="A390">
        <v>42</v>
      </c>
      <c r="B390" t="s">
        <v>43</v>
      </c>
      <c r="C390" t="s">
        <v>64</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_xlfn.IFS(Table1[[#This Row],[Age]]&lt;30,"Young",Table1[[#This Row],[Age]]&lt;=40,"Adult",Table1[[#This Row],[Age]]&gt;40,"Senior")</f>
        <v>Senior</v>
      </c>
      <c r="AK390" t="str" cm="1">
        <f t="array" ref="AK390">_xlfn.IFS(Table1[[#This Row],[MonthlyIncome]]&lt;5000,"Low",Table1[[#This Row],[MonthlyIncome]]&lt;10000,"Medium",Table1[[#This Row],[MonthlyIncome]]&gt;10000,"High")</f>
        <v>Low</v>
      </c>
      <c r="AL390" t="str" cm="1">
        <f t="array" ref="AL390">_xlfn.IFS(Table1[[#This Row],[Attrition]]="Yes","Resigned",Table1[[#This Row],[Attrition]]="No","Active")</f>
        <v>Active</v>
      </c>
      <c r="AM390" t="str" cm="1">
        <f t="array" ref="AM390">_xlfn.IFS(Table1[[#This Row],[YearsAtCompany]]&lt;=1,"0-1 Year",Table1[[#This Row],[YearsAtCompany]]&lt;=2,"1-2 Years",Table1[[#This Row],[YearsAtCompany]]&lt;=3,"2-3 Years",Table1[[#This Row],[YearsAtCompany]]&lt;=4,"3-4 Years",Table1[[#This Row],[YearsAtCompany]]&lt;=5,"4-5 Years",Table1[[#This Row],[YearsAtCompany]]&gt;5,"&gt;5 Years")</f>
        <v>4-5 Years</v>
      </c>
    </row>
    <row r="391" spans="1:39" hidden="1" x14ac:dyDescent="0.45">
      <c r="A391">
        <v>37</v>
      </c>
      <c r="B391" t="s">
        <v>43</v>
      </c>
      <c r="C391" t="s">
        <v>64</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_xlfn.IFS(Table1[[#This Row],[Age]]&lt;30,"Young",Table1[[#This Row],[Age]]&lt;=40,"Adult",Table1[[#This Row],[Age]]&gt;40,"Senior")</f>
        <v>Adult</v>
      </c>
      <c r="AK391" t="str" cm="1">
        <f t="array" ref="AK391">_xlfn.IFS(Table1[[#This Row],[MonthlyIncome]]&lt;5000,"Low",Table1[[#This Row],[MonthlyIncome]]&lt;10000,"Medium",Table1[[#This Row],[MonthlyIncome]]&gt;10000,"High")</f>
        <v>Low</v>
      </c>
      <c r="AL391" t="str" cm="1">
        <f t="array" ref="AL391">_xlfn.IFS(Table1[[#This Row],[Attrition]]="Yes","Resigned",Table1[[#This Row],[Attrition]]="No","Active")</f>
        <v>Active</v>
      </c>
      <c r="AM391" t="str" cm="1">
        <f t="array" ref="AM391">_xlfn.IFS(Table1[[#This Row],[YearsAtCompany]]&lt;=1,"0-1 Year",Table1[[#This Row],[YearsAtCompany]]&lt;=2,"1-2 Years",Table1[[#This Row],[YearsAtCompany]]&lt;=3,"2-3 Years",Table1[[#This Row],[YearsAtCompany]]&lt;=4,"3-4 Years",Table1[[#This Row],[YearsAtCompany]]&lt;=5,"4-5 Years",Table1[[#This Row],[YearsAtCompany]]&gt;5,"&gt;5 Years")</f>
        <v>0-1 Year</v>
      </c>
    </row>
    <row r="392" spans="1:39" hidden="1" x14ac:dyDescent="0.45">
      <c r="A392">
        <v>43</v>
      </c>
      <c r="B392" t="s">
        <v>43</v>
      </c>
      <c r="C392" t="s">
        <v>64</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_xlfn.IFS(Table1[[#This Row],[Age]]&lt;30,"Young",Table1[[#This Row],[Age]]&lt;=40,"Adult",Table1[[#This Row],[Age]]&gt;40,"Senior")</f>
        <v>Senior</v>
      </c>
      <c r="AK392" t="str" cm="1">
        <f t="array" ref="AK392">_xlfn.IFS(Table1[[#This Row],[MonthlyIncome]]&lt;5000,"Low",Table1[[#This Row],[MonthlyIncome]]&lt;10000,"Medium",Table1[[#This Row],[MonthlyIncome]]&gt;10000,"High")</f>
        <v>High</v>
      </c>
      <c r="AL392" t="str" cm="1">
        <f t="array" ref="AL392">_xlfn.IFS(Table1[[#This Row],[Attrition]]="Yes","Resigned",Table1[[#This Row],[Attrition]]="No","Active")</f>
        <v>Active</v>
      </c>
      <c r="AM392" t="str" cm="1">
        <f t="array" ref="AM392">_xlfn.IFS(Table1[[#This Row],[YearsAtCompany]]&lt;=1,"0-1 Year",Table1[[#This Row],[YearsAtCompany]]&lt;=2,"1-2 Years",Table1[[#This Row],[YearsAtCompany]]&lt;=3,"2-3 Years",Table1[[#This Row],[YearsAtCompany]]&lt;=4,"3-4 Years",Table1[[#This Row],[YearsAtCompany]]&lt;=5,"4-5 Years",Table1[[#This Row],[YearsAtCompany]]&gt;5,"&gt;5 Years")</f>
        <v>&gt;5 Years</v>
      </c>
    </row>
    <row r="393" spans="1:39" hidden="1" x14ac:dyDescent="0.45">
      <c r="A393">
        <v>40</v>
      </c>
      <c r="B393" t="s">
        <v>43</v>
      </c>
      <c r="C393" t="s">
        <v>64</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_xlfn.IFS(Table1[[#This Row],[Age]]&lt;30,"Young",Table1[[#This Row],[Age]]&lt;=40,"Adult",Table1[[#This Row],[Age]]&gt;40,"Senior")</f>
        <v>Adult</v>
      </c>
      <c r="AK393" t="str" cm="1">
        <f t="array" ref="AK393">_xlfn.IFS(Table1[[#This Row],[MonthlyIncome]]&lt;5000,"Low",Table1[[#This Row],[MonthlyIncome]]&lt;10000,"Medium",Table1[[#This Row],[MonthlyIncome]]&gt;10000,"High")</f>
        <v>Low</v>
      </c>
      <c r="AL393" t="str" cm="1">
        <f t="array" ref="AL393">_xlfn.IFS(Table1[[#This Row],[Attrition]]="Yes","Resigned",Table1[[#This Row],[Attrition]]="No","Active")</f>
        <v>Active</v>
      </c>
      <c r="AM393" t="str" cm="1">
        <f t="array" ref="AM393">_xlfn.IFS(Table1[[#This Row],[YearsAtCompany]]&lt;=1,"0-1 Year",Table1[[#This Row],[YearsAtCompany]]&lt;=2,"1-2 Years",Table1[[#This Row],[YearsAtCompany]]&lt;=3,"2-3 Years",Table1[[#This Row],[YearsAtCompany]]&lt;=4,"3-4 Years",Table1[[#This Row],[YearsAtCompany]]&lt;=5,"4-5 Years",Table1[[#This Row],[YearsAtCompany]]&gt;5,"&gt;5 Years")</f>
        <v>0-1 Year</v>
      </c>
    </row>
    <row r="394" spans="1:39" hidden="1" x14ac:dyDescent="0.45">
      <c r="A394">
        <v>54</v>
      </c>
      <c r="B394" t="s">
        <v>43</v>
      </c>
      <c r="C394" t="s">
        <v>64</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_xlfn.IFS(Table1[[#This Row],[Age]]&lt;30,"Young",Table1[[#This Row],[Age]]&lt;=40,"Adult",Table1[[#This Row],[Age]]&gt;40,"Senior")</f>
        <v>Senior</v>
      </c>
      <c r="AK394" t="str" cm="1">
        <f t="array" ref="AK394">_xlfn.IFS(Table1[[#This Row],[MonthlyIncome]]&lt;5000,"Low",Table1[[#This Row],[MonthlyIncome]]&lt;10000,"Medium",Table1[[#This Row],[MonthlyIncome]]&gt;10000,"High")</f>
        <v>High</v>
      </c>
      <c r="AL394" t="str" cm="1">
        <f t="array" ref="AL394">_xlfn.IFS(Table1[[#This Row],[Attrition]]="Yes","Resigned",Table1[[#This Row],[Attrition]]="No","Active")</f>
        <v>Active</v>
      </c>
      <c r="AM394" t="str" cm="1">
        <f t="array" ref="AM394">_xlfn.IFS(Table1[[#This Row],[YearsAtCompany]]&lt;=1,"0-1 Year",Table1[[#This Row],[YearsAtCompany]]&lt;=2,"1-2 Years",Table1[[#This Row],[YearsAtCompany]]&lt;=3,"2-3 Years",Table1[[#This Row],[YearsAtCompany]]&lt;=4,"3-4 Years",Table1[[#This Row],[YearsAtCompany]]&lt;=5,"4-5 Years",Table1[[#This Row],[YearsAtCompany]]&gt;5,"&gt;5 Years")</f>
        <v>3-4 Years</v>
      </c>
    </row>
    <row r="395" spans="1:39" x14ac:dyDescent="0.45">
      <c r="A395">
        <v>34</v>
      </c>
      <c r="B395" t="s">
        <v>43</v>
      </c>
      <c r="C395" t="s">
        <v>62</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_xlfn.IFS(Table1[[#This Row],[Age]]&lt;30,"Young",Table1[[#This Row],[Age]]&lt;=40,"Adult",Table1[[#This Row],[Age]]&gt;40,"Senior")</f>
        <v>Adult</v>
      </c>
      <c r="AK395" t="str" cm="1">
        <f t="array" ref="AK395">_xlfn.IFS(Table1[[#This Row],[MonthlyIncome]]&lt;5000,"Low",Table1[[#This Row],[MonthlyIncome]]&lt;10000,"Medium",Table1[[#This Row],[MonthlyIncome]]&gt;10000,"High")</f>
        <v>Medium</v>
      </c>
      <c r="AL395" t="str" cm="1">
        <f t="array" ref="AL395">_xlfn.IFS(Table1[[#This Row],[Attrition]]="Yes","Resigned",Table1[[#This Row],[Attrition]]="No","Active")</f>
        <v>Active</v>
      </c>
      <c r="AM395" t="str" cm="1">
        <f t="array" ref="AM395">_xlfn.IFS(Table1[[#This Row],[YearsAtCompany]]&lt;=1,"0-1 Year",Table1[[#This Row],[YearsAtCompany]]&lt;=2,"1-2 Years",Table1[[#This Row],[YearsAtCompany]]&lt;=3,"2-3 Years",Table1[[#This Row],[YearsAtCompany]]&lt;=4,"3-4 Years",Table1[[#This Row],[YearsAtCompany]]&lt;=5,"4-5 Years",Table1[[#This Row],[YearsAtCompany]]&gt;5,"&gt;5 Years")</f>
        <v>2-3 Years</v>
      </c>
    </row>
    <row r="396" spans="1:39" hidden="1" x14ac:dyDescent="0.45">
      <c r="A396">
        <v>31</v>
      </c>
      <c r="B396" t="s">
        <v>43</v>
      </c>
      <c r="C396" t="s">
        <v>64</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_xlfn.IFS(Table1[[#This Row],[Age]]&lt;30,"Young",Table1[[#This Row],[Age]]&lt;=40,"Adult",Table1[[#This Row],[Age]]&gt;40,"Senior")</f>
        <v>Adult</v>
      </c>
      <c r="AK396" t="str" cm="1">
        <f t="array" ref="AK396">_xlfn.IFS(Table1[[#This Row],[MonthlyIncome]]&lt;5000,"Low",Table1[[#This Row],[MonthlyIncome]]&lt;10000,"Medium",Table1[[#This Row],[MonthlyIncome]]&gt;10000,"High")</f>
        <v>Low</v>
      </c>
      <c r="AL396" t="str" cm="1">
        <f t="array" ref="AL396">_xlfn.IFS(Table1[[#This Row],[Attrition]]="Yes","Resigned",Table1[[#This Row],[Attrition]]="No","Active")</f>
        <v>Active</v>
      </c>
      <c r="AM396" t="str" cm="1">
        <f t="array" ref="AM396">_xlfn.IFS(Table1[[#This Row],[YearsAtCompany]]&lt;=1,"0-1 Year",Table1[[#This Row],[YearsAtCompany]]&lt;=2,"1-2 Years",Table1[[#This Row],[YearsAtCompany]]&lt;=3,"2-3 Years",Table1[[#This Row],[YearsAtCompany]]&lt;=4,"3-4 Years",Table1[[#This Row],[YearsAtCompany]]&lt;=5,"4-5 Years",Table1[[#This Row],[YearsAtCompany]]&gt;5,"&gt;5 Years")</f>
        <v>&gt;5 Years</v>
      </c>
    </row>
    <row r="397" spans="1:39" hidden="1" x14ac:dyDescent="0.45">
      <c r="A397">
        <v>43</v>
      </c>
      <c r="B397" t="s">
        <v>43</v>
      </c>
      <c r="C397" t="s">
        <v>63</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_xlfn.IFS(Table1[[#This Row],[Age]]&lt;30,"Young",Table1[[#This Row],[Age]]&lt;=40,"Adult",Table1[[#This Row],[Age]]&gt;40,"Senior")</f>
        <v>Senior</v>
      </c>
      <c r="AK397" t="str" cm="1">
        <f t="array" ref="AK397">_xlfn.IFS(Table1[[#This Row],[MonthlyIncome]]&lt;5000,"Low",Table1[[#This Row],[MonthlyIncome]]&lt;10000,"Medium",Table1[[#This Row],[MonthlyIncome]]&gt;10000,"High")</f>
        <v>Low</v>
      </c>
      <c r="AL397" t="str" cm="1">
        <f t="array" ref="AL397">_xlfn.IFS(Table1[[#This Row],[Attrition]]="Yes","Resigned",Table1[[#This Row],[Attrition]]="No","Active")</f>
        <v>Active</v>
      </c>
      <c r="AM397" t="str" cm="1">
        <f t="array" ref="AM397">_xlfn.IFS(Table1[[#This Row],[YearsAtCompany]]&lt;=1,"0-1 Year",Table1[[#This Row],[YearsAtCompany]]&lt;=2,"1-2 Years",Table1[[#This Row],[YearsAtCompany]]&lt;=3,"2-3 Years",Table1[[#This Row],[YearsAtCompany]]&lt;=4,"3-4 Years",Table1[[#This Row],[YearsAtCompany]]&lt;=5,"4-5 Years",Table1[[#This Row],[YearsAtCompany]]&gt;5,"&gt;5 Years")</f>
        <v>2-3 Years</v>
      </c>
    </row>
    <row r="398" spans="1:39" hidden="1" x14ac:dyDescent="0.45">
      <c r="A398">
        <v>43</v>
      </c>
      <c r="B398" t="s">
        <v>43</v>
      </c>
      <c r="C398" t="s">
        <v>64</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_xlfn.IFS(Table1[[#This Row],[Age]]&lt;30,"Young",Table1[[#This Row],[Age]]&lt;=40,"Adult",Table1[[#This Row],[Age]]&gt;40,"Senior")</f>
        <v>Senior</v>
      </c>
      <c r="AK398" t="str" cm="1">
        <f t="array" ref="AK398">_xlfn.IFS(Table1[[#This Row],[MonthlyIncome]]&lt;5000,"Low",Table1[[#This Row],[MonthlyIncome]]&lt;10000,"Medium",Table1[[#This Row],[MonthlyIncome]]&gt;10000,"High")</f>
        <v>Low</v>
      </c>
      <c r="AL398" t="str" cm="1">
        <f t="array" ref="AL398">_xlfn.IFS(Table1[[#This Row],[Attrition]]="Yes","Resigned",Table1[[#This Row],[Attrition]]="No","Active")</f>
        <v>Active</v>
      </c>
      <c r="AM398" t="str" cm="1">
        <f t="array" ref="AM398">_xlfn.IFS(Table1[[#This Row],[YearsAtCompany]]&lt;=1,"0-1 Year",Table1[[#This Row],[YearsAtCompany]]&lt;=2,"1-2 Years",Table1[[#This Row],[YearsAtCompany]]&lt;=3,"2-3 Years",Table1[[#This Row],[YearsAtCompany]]&lt;=4,"3-4 Years",Table1[[#This Row],[YearsAtCompany]]&lt;=5,"4-5 Years",Table1[[#This Row],[YearsAtCompany]]&gt;5,"&gt;5 Years")</f>
        <v>4-5 Years</v>
      </c>
    </row>
    <row r="399" spans="1:39" x14ac:dyDescent="0.45">
      <c r="A399">
        <v>25</v>
      </c>
      <c r="B399" t="s">
        <v>43</v>
      </c>
      <c r="C399" t="s">
        <v>64</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_xlfn.IFS(Table1[[#This Row],[Age]]&lt;30,"Young",Table1[[#This Row],[Age]]&lt;=40,"Adult",Table1[[#This Row],[Age]]&gt;40,"Senior")</f>
        <v>Young</v>
      </c>
      <c r="AK399" t="str" cm="1">
        <f t="array" ref="AK399">_xlfn.IFS(Table1[[#This Row],[MonthlyIncome]]&lt;5000,"Low",Table1[[#This Row],[MonthlyIncome]]&lt;10000,"Medium",Table1[[#This Row],[MonthlyIncome]]&gt;10000,"High")</f>
        <v>Low</v>
      </c>
      <c r="AL399" t="str" cm="1">
        <f t="array" ref="AL399">_xlfn.IFS(Table1[[#This Row],[Attrition]]="Yes","Resigned",Table1[[#This Row],[Attrition]]="No","Active")</f>
        <v>Active</v>
      </c>
      <c r="AM399" t="str" cm="1">
        <f t="array" ref="AM399">_xlfn.IFS(Table1[[#This Row],[YearsAtCompany]]&lt;=1,"0-1 Year",Table1[[#This Row],[YearsAtCompany]]&lt;=2,"1-2 Years",Table1[[#This Row],[YearsAtCompany]]&lt;=3,"2-3 Years",Table1[[#This Row],[YearsAtCompany]]&lt;=4,"3-4 Years",Table1[[#This Row],[YearsAtCompany]]&lt;=5,"4-5 Years",Table1[[#This Row],[YearsAtCompany]]&gt;5,"&gt;5 Years")</f>
        <v>4-5 Years</v>
      </c>
    </row>
    <row r="400" spans="1:39" hidden="1" x14ac:dyDescent="0.45">
      <c r="A400">
        <v>37</v>
      </c>
      <c r="B400" t="s">
        <v>43</v>
      </c>
      <c r="C400" t="s">
        <v>62</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_xlfn.IFS(Table1[[#This Row],[Age]]&lt;30,"Young",Table1[[#This Row],[Age]]&lt;=40,"Adult",Table1[[#This Row],[Age]]&gt;40,"Senior")</f>
        <v>Adult</v>
      </c>
      <c r="AK400" t="str" cm="1">
        <f t="array" ref="AK400">_xlfn.IFS(Table1[[#This Row],[MonthlyIncome]]&lt;5000,"Low",Table1[[#This Row],[MonthlyIncome]]&lt;10000,"Medium",Table1[[#This Row],[MonthlyIncome]]&gt;10000,"High")</f>
        <v>Low</v>
      </c>
      <c r="AL400" t="str" cm="1">
        <f t="array" ref="AL400">_xlfn.IFS(Table1[[#This Row],[Attrition]]="Yes","Resigned",Table1[[#This Row],[Attrition]]="No","Active")</f>
        <v>Active</v>
      </c>
      <c r="AM400" t="str" cm="1">
        <f t="array" ref="AM400">_xlfn.IFS(Table1[[#This Row],[YearsAtCompany]]&lt;=1,"0-1 Year",Table1[[#This Row],[YearsAtCompany]]&lt;=2,"1-2 Years",Table1[[#This Row],[YearsAtCompany]]&lt;=3,"2-3 Years",Table1[[#This Row],[YearsAtCompany]]&lt;=4,"3-4 Years",Table1[[#This Row],[YearsAtCompany]]&lt;=5,"4-5 Years",Table1[[#This Row],[YearsAtCompany]]&gt;5,"&gt;5 Years")</f>
        <v>&gt;5 Years</v>
      </c>
    </row>
    <row r="401" spans="1:39" hidden="1" x14ac:dyDescent="0.45">
      <c r="A401">
        <v>31</v>
      </c>
      <c r="B401" t="s">
        <v>43</v>
      </c>
      <c r="C401" t="s">
        <v>64</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_xlfn.IFS(Table1[[#This Row],[Age]]&lt;30,"Young",Table1[[#This Row],[Age]]&lt;=40,"Adult",Table1[[#This Row],[Age]]&gt;40,"Senior")</f>
        <v>Adult</v>
      </c>
      <c r="AK401" t="str" cm="1">
        <f t="array" ref="AK401">_xlfn.IFS(Table1[[#This Row],[MonthlyIncome]]&lt;5000,"Low",Table1[[#This Row],[MonthlyIncome]]&lt;10000,"Medium",Table1[[#This Row],[MonthlyIncome]]&gt;10000,"High")</f>
        <v>Low</v>
      </c>
      <c r="AL401" t="str" cm="1">
        <f t="array" ref="AL401">_xlfn.IFS(Table1[[#This Row],[Attrition]]="Yes","Resigned",Table1[[#This Row],[Attrition]]="No","Active")</f>
        <v>Active</v>
      </c>
      <c r="AM401" t="str" cm="1">
        <f t="array" ref="AM401">_xlfn.IFS(Table1[[#This Row],[YearsAtCompany]]&lt;=1,"0-1 Year",Table1[[#This Row],[YearsAtCompany]]&lt;=2,"1-2 Years",Table1[[#This Row],[YearsAtCompany]]&lt;=3,"2-3 Years",Table1[[#This Row],[YearsAtCompany]]&lt;=4,"3-4 Years",Table1[[#This Row],[YearsAtCompany]]&lt;=5,"4-5 Years",Table1[[#This Row],[YearsAtCompany]]&gt;5,"&gt;5 Years")</f>
        <v>3-4 Years</v>
      </c>
    </row>
    <row r="402" spans="1:39" hidden="1" x14ac:dyDescent="0.45">
      <c r="A402">
        <v>39</v>
      </c>
      <c r="B402" t="s">
        <v>43</v>
      </c>
      <c r="C402" t="s">
        <v>63</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_xlfn.IFS(Table1[[#This Row],[Age]]&lt;30,"Young",Table1[[#This Row],[Age]]&lt;=40,"Adult",Table1[[#This Row],[Age]]&gt;40,"Senior")</f>
        <v>Adult</v>
      </c>
      <c r="AK402" t="str" cm="1">
        <f t="array" ref="AK402">_xlfn.IFS(Table1[[#This Row],[MonthlyIncome]]&lt;5000,"Low",Table1[[#This Row],[MonthlyIncome]]&lt;10000,"Medium",Table1[[#This Row],[MonthlyIncome]]&gt;10000,"High")</f>
        <v>High</v>
      </c>
      <c r="AL402" t="str" cm="1">
        <f t="array" ref="AL402">_xlfn.IFS(Table1[[#This Row],[Attrition]]="Yes","Resigned",Table1[[#This Row],[Attrition]]="No","Active")</f>
        <v>Active</v>
      </c>
      <c r="AM402" t="str" cm="1">
        <f t="array" ref="AM402">_xlfn.IFS(Table1[[#This Row],[YearsAtCompany]]&lt;=1,"0-1 Year",Table1[[#This Row],[YearsAtCompany]]&lt;=2,"1-2 Years",Table1[[#This Row],[YearsAtCompany]]&lt;=3,"2-3 Years",Table1[[#This Row],[YearsAtCompany]]&lt;=4,"3-4 Years",Table1[[#This Row],[YearsAtCompany]]&lt;=5,"4-5 Years",Table1[[#This Row],[YearsAtCompany]]&gt;5,"&gt;5 Years")</f>
        <v>&gt;5 Years</v>
      </c>
    </row>
    <row r="403" spans="1:39" x14ac:dyDescent="0.45">
      <c r="A403">
        <v>56</v>
      </c>
      <c r="B403" t="s">
        <v>43</v>
      </c>
      <c r="C403" t="s">
        <v>63</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_xlfn.IFS(Table1[[#This Row],[Age]]&lt;30,"Young",Table1[[#This Row],[Age]]&lt;=40,"Adult",Table1[[#This Row],[Age]]&gt;40,"Senior")</f>
        <v>Senior</v>
      </c>
      <c r="AK403" t="str" cm="1">
        <f t="array" ref="AK403">_xlfn.IFS(Table1[[#This Row],[MonthlyIncome]]&lt;5000,"Low",Table1[[#This Row],[MonthlyIncome]]&lt;10000,"Medium",Table1[[#This Row],[MonthlyIncome]]&gt;10000,"High")</f>
        <v>High</v>
      </c>
      <c r="AL403" t="str" cm="1">
        <f t="array" ref="AL403">_xlfn.IFS(Table1[[#This Row],[Attrition]]="Yes","Resigned",Table1[[#This Row],[Attrition]]="No","Active")</f>
        <v>Active</v>
      </c>
      <c r="AM403" t="str" cm="1">
        <f t="array" ref="AM403">_xlfn.IFS(Table1[[#This Row],[YearsAtCompany]]&lt;=1,"0-1 Year",Table1[[#This Row],[YearsAtCompany]]&lt;=2,"1-2 Years",Table1[[#This Row],[YearsAtCompany]]&lt;=3,"2-3 Years",Table1[[#This Row],[YearsAtCompany]]&lt;=4,"3-4 Years",Table1[[#This Row],[YearsAtCompany]]&lt;=5,"4-5 Years",Table1[[#This Row],[YearsAtCompany]]&gt;5,"&gt;5 Years")</f>
        <v>&gt;5 Years</v>
      </c>
    </row>
    <row r="404" spans="1:39" x14ac:dyDescent="0.45">
      <c r="A404">
        <v>30</v>
      </c>
      <c r="B404" t="s">
        <v>43</v>
      </c>
      <c r="C404" t="s">
        <v>64</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_xlfn.IFS(Table1[[#This Row],[Age]]&lt;30,"Young",Table1[[#This Row],[Age]]&lt;=40,"Adult",Table1[[#This Row],[Age]]&gt;40,"Senior")</f>
        <v>Adult</v>
      </c>
      <c r="AK404" t="str" cm="1">
        <f t="array" ref="AK404">_xlfn.IFS(Table1[[#This Row],[MonthlyIncome]]&lt;5000,"Low",Table1[[#This Row],[MonthlyIncome]]&lt;10000,"Medium",Table1[[#This Row],[MonthlyIncome]]&gt;10000,"High")</f>
        <v>Medium</v>
      </c>
      <c r="AL404" t="str" cm="1">
        <f t="array" ref="AL404">_xlfn.IFS(Table1[[#This Row],[Attrition]]="Yes","Resigned",Table1[[#This Row],[Attrition]]="No","Active")</f>
        <v>Active</v>
      </c>
      <c r="AM404" t="str" cm="1">
        <f t="array" ref="AM404">_xlfn.IFS(Table1[[#This Row],[YearsAtCompany]]&lt;=1,"0-1 Year",Table1[[#This Row],[YearsAtCompany]]&lt;=2,"1-2 Years",Table1[[#This Row],[YearsAtCompany]]&lt;=3,"2-3 Years",Table1[[#This Row],[YearsAtCompany]]&lt;=4,"3-4 Years",Table1[[#This Row],[YearsAtCompany]]&lt;=5,"4-5 Years",Table1[[#This Row],[YearsAtCompany]]&gt;5,"&gt;5 Years")</f>
        <v>4-5 Years</v>
      </c>
    </row>
    <row r="405" spans="1:39" x14ac:dyDescent="0.45">
      <c r="A405">
        <v>41</v>
      </c>
      <c r="B405" t="s">
        <v>43</v>
      </c>
      <c r="C405" t="s">
        <v>64</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_xlfn.IFS(Table1[[#This Row],[Age]]&lt;30,"Young",Table1[[#This Row],[Age]]&lt;=40,"Adult",Table1[[#This Row],[Age]]&gt;40,"Senior")</f>
        <v>Senior</v>
      </c>
      <c r="AK405" t="str" cm="1">
        <f t="array" ref="AK405">_xlfn.IFS(Table1[[#This Row],[MonthlyIncome]]&lt;5000,"Low",Table1[[#This Row],[MonthlyIncome]]&lt;10000,"Medium",Table1[[#This Row],[MonthlyIncome]]&gt;10000,"High")</f>
        <v>Medium</v>
      </c>
      <c r="AL405" t="str" cm="1">
        <f t="array" ref="AL405">_xlfn.IFS(Table1[[#This Row],[Attrition]]="Yes","Resigned",Table1[[#This Row],[Attrition]]="No","Active")</f>
        <v>Active</v>
      </c>
      <c r="AM405" t="str" cm="1">
        <f t="array" ref="AM405">_xlfn.IFS(Table1[[#This Row],[YearsAtCompany]]&lt;=1,"0-1 Year",Table1[[#This Row],[YearsAtCompany]]&lt;=2,"1-2 Years",Table1[[#This Row],[YearsAtCompany]]&lt;=3,"2-3 Years",Table1[[#This Row],[YearsAtCompany]]&lt;=4,"3-4 Years",Table1[[#This Row],[YearsAtCompany]]&lt;=5,"4-5 Years",Table1[[#This Row],[YearsAtCompany]]&gt;5,"&gt;5 Years")</f>
        <v>&gt;5 Years</v>
      </c>
    </row>
    <row r="406" spans="1:39" hidden="1" x14ac:dyDescent="0.45">
      <c r="A406">
        <v>28</v>
      </c>
      <c r="B406" t="s">
        <v>43</v>
      </c>
      <c r="C406" t="s">
        <v>64</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_xlfn.IFS(Table1[[#This Row],[Age]]&lt;30,"Young",Table1[[#This Row],[Age]]&lt;=40,"Adult",Table1[[#This Row],[Age]]&gt;40,"Senior")</f>
        <v>Young</v>
      </c>
      <c r="AK406" t="str" cm="1">
        <f t="array" ref="AK406">_xlfn.IFS(Table1[[#This Row],[MonthlyIncome]]&lt;5000,"Low",Table1[[#This Row],[MonthlyIncome]]&lt;10000,"Medium",Table1[[#This Row],[MonthlyIncome]]&gt;10000,"High")</f>
        <v>Low</v>
      </c>
      <c r="AL406" t="str" cm="1">
        <f t="array" ref="AL406">_xlfn.IFS(Table1[[#This Row],[Attrition]]="Yes","Resigned",Table1[[#This Row],[Attrition]]="No","Active")</f>
        <v>Active</v>
      </c>
      <c r="AM406" t="str" cm="1">
        <f t="array" ref="AM406">_xlfn.IFS(Table1[[#This Row],[YearsAtCompany]]&lt;=1,"0-1 Year",Table1[[#This Row],[YearsAtCompany]]&lt;=2,"1-2 Years",Table1[[#This Row],[YearsAtCompany]]&lt;=3,"2-3 Years",Table1[[#This Row],[YearsAtCompany]]&lt;=4,"3-4 Years",Table1[[#This Row],[YearsAtCompany]]&lt;=5,"4-5 Years",Table1[[#This Row],[YearsAtCompany]]&gt;5,"&gt;5 Years")</f>
        <v>&gt;5 Years</v>
      </c>
    </row>
    <row r="407" spans="1:39" hidden="1" x14ac:dyDescent="0.45">
      <c r="A407">
        <v>25</v>
      </c>
      <c r="B407" t="s">
        <v>35</v>
      </c>
      <c r="C407" t="s">
        <v>64</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_xlfn.IFS(Table1[[#This Row],[Age]]&lt;30,"Young",Table1[[#This Row],[Age]]&lt;=40,"Adult",Table1[[#This Row],[Age]]&gt;40,"Senior")</f>
        <v>Young</v>
      </c>
      <c r="AK407" t="str" cm="1">
        <f t="array" ref="AK407">_xlfn.IFS(Table1[[#This Row],[MonthlyIncome]]&lt;5000,"Low",Table1[[#This Row],[MonthlyIncome]]&lt;10000,"Medium",Table1[[#This Row],[MonthlyIncome]]&gt;10000,"High")</f>
        <v>Low</v>
      </c>
      <c r="AL407" t="str" cm="1">
        <f t="array" ref="AL407">_xlfn.IFS(Table1[[#This Row],[Attrition]]="Yes","Resigned",Table1[[#This Row],[Attrition]]="No","Active")</f>
        <v>Resigned</v>
      </c>
      <c r="AM407" t="str" cm="1">
        <f t="array" ref="AM407">_xlfn.IFS(Table1[[#This Row],[YearsAtCompany]]&lt;=1,"0-1 Year",Table1[[#This Row],[YearsAtCompany]]&lt;=2,"1-2 Years",Table1[[#This Row],[YearsAtCompany]]&lt;=3,"2-3 Years",Table1[[#This Row],[YearsAtCompany]]&lt;=4,"3-4 Years",Table1[[#This Row],[YearsAtCompany]]&lt;=5,"4-5 Years",Table1[[#This Row],[YearsAtCompany]]&gt;5,"&gt;5 Years")</f>
        <v>1-2 Years</v>
      </c>
    </row>
    <row r="408" spans="1:39" hidden="1" x14ac:dyDescent="0.45">
      <c r="A408">
        <v>52</v>
      </c>
      <c r="B408" t="s">
        <v>43</v>
      </c>
      <c r="C408" t="s">
        <v>64</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_xlfn.IFS(Table1[[#This Row],[Age]]&lt;30,"Young",Table1[[#This Row],[Age]]&lt;=40,"Adult",Table1[[#This Row],[Age]]&gt;40,"Senior")</f>
        <v>Senior</v>
      </c>
      <c r="AK408" t="str" cm="1">
        <f t="array" ref="AK408">_xlfn.IFS(Table1[[#This Row],[MonthlyIncome]]&lt;5000,"Low",Table1[[#This Row],[MonthlyIncome]]&lt;10000,"Medium",Table1[[#This Row],[MonthlyIncome]]&gt;10000,"High")</f>
        <v>Medium</v>
      </c>
      <c r="AL408" t="str" cm="1">
        <f t="array" ref="AL408">_xlfn.IFS(Table1[[#This Row],[Attrition]]="Yes","Resigned",Table1[[#This Row],[Attrition]]="No","Active")</f>
        <v>Active</v>
      </c>
      <c r="AM408" t="str" cm="1">
        <f t="array" ref="AM408">_xlfn.IFS(Table1[[#This Row],[YearsAtCompany]]&lt;=1,"0-1 Year",Table1[[#This Row],[YearsAtCompany]]&lt;=2,"1-2 Years",Table1[[#This Row],[YearsAtCompany]]&lt;=3,"2-3 Years",Table1[[#This Row],[YearsAtCompany]]&lt;=4,"3-4 Years",Table1[[#This Row],[YearsAtCompany]]&lt;=5,"4-5 Years",Table1[[#This Row],[YearsAtCompany]]&gt;5,"&gt;5 Years")</f>
        <v>4-5 Years</v>
      </c>
    </row>
    <row r="409" spans="1:39" hidden="1" x14ac:dyDescent="0.45">
      <c r="A409">
        <v>45</v>
      </c>
      <c r="B409" t="s">
        <v>43</v>
      </c>
      <c r="C409" t="s">
        <v>64</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_xlfn.IFS(Table1[[#This Row],[Age]]&lt;30,"Young",Table1[[#This Row],[Age]]&lt;=40,"Adult",Table1[[#This Row],[Age]]&gt;40,"Senior")</f>
        <v>Senior</v>
      </c>
      <c r="AK409" t="str" cm="1">
        <f t="array" ref="AK409">_xlfn.IFS(Table1[[#This Row],[MonthlyIncome]]&lt;5000,"Low",Table1[[#This Row],[MonthlyIncome]]&lt;10000,"Medium",Table1[[#This Row],[MonthlyIncome]]&gt;10000,"High")</f>
        <v>Low</v>
      </c>
      <c r="AL409" t="str" cm="1">
        <f t="array" ref="AL409">_xlfn.IFS(Table1[[#This Row],[Attrition]]="Yes","Resigned",Table1[[#This Row],[Attrition]]="No","Active")</f>
        <v>Active</v>
      </c>
      <c r="AM409" t="str" cm="1">
        <f t="array" ref="AM409">_xlfn.IFS(Table1[[#This Row],[YearsAtCompany]]&lt;=1,"0-1 Year",Table1[[#This Row],[YearsAtCompany]]&lt;=2,"1-2 Years",Table1[[#This Row],[YearsAtCompany]]&lt;=3,"2-3 Years",Table1[[#This Row],[YearsAtCompany]]&lt;=4,"3-4 Years",Table1[[#This Row],[YearsAtCompany]]&lt;=5,"4-5 Years",Table1[[#This Row],[YearsAtCompany]]&gt;5,"&gt;5 Years")</f>
        <v>1-2 Years</v>
      </c>
    </row>
    <row r="410" spans="1:39" hidden="1" x14ac:dyDescent="0.45">
      <c r="A410">
        <v>52</v>
      </c>
      <c r="B410" t="s">
        <v>43</v>
      </c>
      <c r="C410" t="s">
        <v>64</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_xlfn.IFS(Table1[[#This Row],[Age]]&lt;30,"Young",Table1[[#This Row],[Age]]&lt;=40,"Adult",Table1[[#This Row],[Age]]&gt;40,"Senior")</f>
        <v>Senior</v>
      </c>
      <c r="AK410" t="str" cm="1">
        <f t="array" ref="AK410">_xlfn.IFS(Table1[[#This Row],[MonthlyIncome]]&lt;5000,"Low",Table1[[#This Row],[MonthlyIncome]]&lt;10000,"Medium",Table1[[#This Row],[MonthlyIncome]]&gt;10000,"High")</f>
        <v>High</v>
      </c>
      <c r="AL410" t="str" cm="1">
        <f t="array" ref="AL410">_xlfn.IFS(Table1[[#This Row],[Attrition]]="Yes","Resigned",Table1[[#This Row],[Attrition]]="No","Active")</f>
        <v>Active</v>
      </c>
      <c r="AM410" t="str" cm="1">
        <f t="array" ref="AM410">_xlfn.IFS(Table1[[#This Row],[YearsAtCompany]]&lt;=1,"0-1 Year",Table1[[#This Row],[YearsAtCompany]]&lt;=2,"1-2 Years",Table1[[#This Row],[YearsAtCompany]]&lt;=3,"2-3 Years",Table1[[#This Row],[YearsAtCompany]]&lt;=4,"3-4 Years",Table1[[#This Row],[YearsAtCompany]]&lt;=5,"4-5 Years",Table1[[#This Row],[YearsAtCompany]]&gt;5,"&gt;5 Years")</f>
        <v>4-5 Years</v>
      </c>
    </row>
    <row r="411" spans="1:39" hidden="1" x14ac:dyDescent="0.45">
      <c r="A411">
        <v>42</v>
      </c>
      <c r="B411" t="s">
        <v>43</v>
      </c>
      <c r="C411" t="s">
        <v>63</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_xlfn.IFS(Table1[[#This Row],[Age]]&lt;30,"Young",Table1[[#This Row],[Age]]&lt;=40,"Adult",Table1[[#This Row],[Age]]&gt;40,"Senior")</f>
        <v>Senior</v>
      </c>
      <c r="AK411" t="str" cm="1">
        <f t="array" ref="AK411">_xlfn.IFS(Table1[[#This Row],[MonthlyIncome]]&lt;5000,"Low",Table1[[#This Row],[MonthlyIncome]]&lt;10000,"Medium",Table1[[#This Row],[MonthlyIncome]]&gt;10000,"High")</f>
        <v>Low</v>
      </c>
      <c r="AL411" t="str" cm="1">
        <f t="array" ref="AL411">_xlfn.IFS(Table1[[#This Row],[Attrition]]="Yes","Resigned",Table1[[#This Row],[Attrition]]="No","Active")</f>
        <v>Active</v>
      </c>
      <c r="AM411" t="str" cm="1">
        <f t="array" ref="AM411">_xlfn.IFS(Table1[[#This Row],[YearsAtCompany]]&lt;=1,"0-1 Year",Table1[[#This Row],[YearsAtCompany]]&lt;=2,"1-2 Years",Table1[[#This Row],[YearsAtCompany]]&lt;=3,"2-3 Years",Table1[[#This Row],[YearsAtCompany]]&lt;=4,"3-4 Years",Table1[[#This Row],[YearsAtCompany]]&lt;=5,"4-5 Years",Table1[[#This Row],[YearsAtCompany]]&gt;5,"&gt;5 Years")</f>
        <v>4-5 Years</v>
      </c>
    </row>
    <row r="412" spans="1:39" hidden="1" x14ac:dyDescent="0.45">
      <c r="A412">
        <v>30</v>
      </c>
      <c r="B412" t="s">
        <v>43</v>
      </c>
      <c r="C412" t="s">
        <v>64</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_xlfn.IFS(Table1[[#This Row],[Age]]&lt;30,"Young",Table1[[#This Row],[Age]]&lt;=40,"Adult",Table1[[#This Row],[Age]]&gt;40,"Senior")</f>
        <v>Adult</v>
      </c>
      <c r="AK412" t="str" cm="1">
        <f t="array" ref="AK412">_xlfn.IFS(Table1[[#This Row],[MonthlyIncome]]&lt;5000,"Low",Table1[[#This Row],[MonthlyIncome]]&lt;10000,"Medium",Table1[[#This Row],[MonthlyIncome]]&gt;10000,"High")</f>
        <v>Medium</v>
      </c>
      <c r="AL412" t="str" cm="1">
        <f t="array" ref="AL412">_xlfn.IFS(Table1[[#This Row],[Attrition]]="Yes","Resigned",Table1[[#This Row],[Attrition]]="No","Active")</f>
        <v>Active</v>
      </c>
      <c r="AM412" t="str" cm="1">
        <f t="array" ref="AM412">_xlfn.IFS(Table1[[#This Row],[YearsAtCompany]]&lt;=1,"0-1 Year",Table1[[#This Row],[YearsAtCompany]]&lt;=2,"1-2 Years",Table1[[#This Row],[YearsAtCompany]]&lt;=3,"2-3 Years",Table1[[#This Row],[YearsAtCompany]]&lt;=4,"3-4 Years",Table1[[#This Row],[YearsAtCompany]]&lt;=5,"4-5 Years",Table1[[#This Row],[YearsAtCompany]]&gt;5,"&gt;5 Years")</f>
        <v>4-5 Years</v>
      </c>
    </row>
    <row r="413" spans="1:39" hidden="1" x14ac:dyDescent="0.45">
      <c r="A413">
        <v>60</v>
      </c>
      <c r="B413" t="s">
        <v>43</v>
      </c>
      <c r="C413" t="s">
        <v>64</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_xlfn.IFS(Table1[[#This Row],[Age]]&lt;30,"Young",Table1[[#This Row],[Age]]&lt;=40,"Adult",Table1[[#This Row],[Age]]&gt;40,"Senior")</f>
        <v>Senior</v>
      </c>
      <c r="AK413" t="str" cm="1">
        <f t="array" ref="AK413">_xlfn.IFS(Table1[[#This Row],[MonthlyIncome]]&lt;5000,"Low",Table1[[#This Row],[MonthlyIncome]]&lt;10000,"Medium",Table1[[#This Row],[MonthlyIncome]]&gt;10000,"High")</f>
        <v>High</v>
      </c>
      <c r="AL413" t="str" cm="1">
        <f t="array" ref="AL413">_xlfn.IFS(Table1[[#This Row],[Attrition]]="Yes","Resigned",Table1[[#This Row],[Attrition]]="No","Active")</f>
        <v>Active</v>
      </c>
      <c r="AM413" t="str" cm="1">
        <f t="array" ref="AM413">_xlfn.IFS(Table1[[#This Row],[YearsAtCompany]]&lt;=1,"0-1 Year",Table1[[#This Row],[YearsAtCompany]]&lt;=2,"1-2 Years",Table1[[#This Row],[YearsAtCompany]]&lt;=3,"2-3 Years",Table1[[#This Row],[YearsAtCompany]]&lt;=4,"3-4 Years",Table1[[#This Row],[YearsAtCompany]]&lt;=5,"4-5 Years",Table1[[#This Row],[YearsAtCompany]]&gt;5,"&gt;5 Years")</f>
        <v>&gt;5 Years</v>
      </c>
    </row>
    <row r="414" spans="1:39" hidden="1" x14ac:dyDescent="0.45">
      <c r="A414">
        <v>46</v>
      </c>
      <c r="B414" t="s">
        <v>43</v>
      </c>
      <c r="C414" t="s">
        <v>64</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_xlfn.IFS(Table1[[#This Row],[Age]]&lt;30,"Young",Table1[[#This Row],[Age]]&lt;=40,"Adult",Table1[[#This Row],[Age]]&gt;40,"Senior")</f>
        <v>Senior</v>
      </c>
      <c r="AK414" t="str" cm="1">
        <f t="array" ref="AK414">_xlfn.IFS(Table1[[#This Row],[MonthlyIncome]]&lt;5000,"Low",Table1[[#This Row],[MonthlyIncome]]&lt;10000,"Medium",Table1[[#This Row],[MonthlyIncome]]&gt;10000,"High")</f>
        <v>Low</v>
      </c>
      <c r="AL414" t="str" cm="1">
        <f t="array" ref="AL414">_xlfn.IFS(Table1[[#This Row],[Attrition]]="Yes","Resigned",Table1[[#This Row],[Attrition]]="No","Active")</f>
        <v>Active</v>
      </c>
      <c r="AM414" t="str" cm="1">
        <f t="array" ref="AM414">_xlfn.IFS(Table1[[#This Row],[YearsAtCompany]]&lt;=1,"0-1 Year",Table1[[#This Row],[YearsAtCompany]]&lt;=2,"1-2 Years",Table1[[#This Row],[YearsAtCompany]]&lt;=3,"2-3 Years",Table1[[#This Row],[YearsAtCompany]]&lt;=4,"3-4 Years",Table1[[#This Row],[YearsAtCompany]]&lt;=5,"4-5 Years",Table1[[#This Row],[YearsAtCompany]]&gt;5,"&gt;5 Years")</f>
        <v>&gt;5 Years</v>
      </c>
    </row>
    <row r="415" spans="1:39" hidden="1" x14ac:dyDescent="0.45">
      <c r="A415">
        <v>42</v>
      </c>
      <c r="B415" t="s">
        <v>43</v>
      </c>
      <c r="C415" t="s">
        <v>63</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_xlfn.IFS(Table1[[#This Row],[Age]]&lt;30,"Young",Table1[[#This Row],[Age]]&lt;=40,"Adult",Table1[[#This Row],[Age]]&gt;40,"Senior")</f>
        <v>Senior</v>
      </c>
      <c r="AK415" t="str" cm="1">
        <f t="array" ref="AK415">_xlfn.IFS(Table1[[#This Row],[MonthlyIncome]]&lt;5000,"Low",Table1[[#This Row],[MonthlyIncome]]&lt;10000,"Medium",Table1[[#This Row],[MonthlyIncome]]&gt;10000,"High")</f>
        <v>Low</v>
      </c>
      <c r="AL415" t="str" cm="1">
        <f t="array" ref="AL415">_xlfn.IFS(Table1[[#This Row],[Attrition]]="Yes","Resigned",Table1[[#This Row],[Attrition]]="No","Active")</f>
        <v>Active</v>
      </c>
      <c r="AM415" t="str" cm="1">
        <f t="array" ref="AM415">_xlfn.IFS(Table1[[#This Row],[YearsAtCompany]]&lt;=1,"0-1 Year",Table1[[#This Row],[YearsAtCompany]]&lt;=2,"1-2 Years",Table1[[#This Row],[YearsAtCompany]]&lt;=3,"2-3 Years",Table1[[#This Row],[YearsAtCompany]]&lt;=4,"3-4 Years",Table1[[#This Row],[YearsAtCompany]]&lt;=5,"4-5 Years",Table1[[#This Row],[YearsAtCompany]]&gt;5,"&gt;5 Years")</f>
        <v>&gt;5 Years</v>
      </c>
    </row>
    <row r="416" spans="1:39" x14ac:dyDescent="0.45">
      <c r="A416">
        <v>24</v>
      </c>
      <c r="B416" t="s">
        <v>35</v>
      </c>
      <c r="C416" t="s">
        <v>64</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_xlfn.IFS(Table1[[#This Row],[Age]]&lt;30,"Young",Table1[[#This Row],[Age]]&lt;=40,"Adult",Table1[[#This Row],[Age]]&gt;40,"Senior")</f>
        <v>Young</v>
      </c>
      <c r="AK416" t="str" cm="1">
        <f t="array" ref="AK416">_xlfn.IFS(Table1[[#This Row],[MonthlyIncome]]&lt;5000,"Low",Table1[[#This Row],[MonthlyIncome]]&lt;10000,"Medium",Table1[[#This Row],[MonthlyIncome]]&gt;10000,"High")</f>
        <v>Low</v>
      </c>
      <c r="AL416" t="str" cm="1">
        <f t="array" ref="AL416">_xlfn.IFS(Table1[[#This Row],[Attrition]]="Yes","Resigned",Table1[[#This Row],[Attrition]]="No","Active")</f>
        <v>Resigned</v>
      </c>
      <c r="AM416" t="str" cm="1">
        <f t="array" ref="AM416">_xlfn.IFS(Table1[[#This Row],[YearsAtCompany]]&lt;=1,"0-1 Year",Table1[[#This Row],[YearsAtCompany]]&lt;=2,"1-2 Years",Table1[[#This Row],[YearsAtCompany]]&lt;=3,"2-3 Years",Table1[[#This Row],[YearsAtCompany]]&lt;=4,"3-4 Years",Table1[[#This Row],[YearsAtCompany]]&lt;=5,"4-5 Years",Table1[[#This Row],[YearsAtCompany]]&gt;5,"&gt;5 Years")</f>
        <v>4-5 Years</v>
      </c>
    </row>
    <row r="417" spans="1:39" x14ac:dyDescent="0.45">
      <c r="A417">
        <v>34</v>
      </c>
      <c r="B417" t="s">
        <v>35</v>
      </c>
      <c r="C417" t="s">
        <v>63</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_xlfn.IFS(Table1[[#This Row],[Age]]&lt;30,"Young",Table1[[#This Row],[Age]]&lt;=40,"Adult",Table1[[#This Row],[Age]]&gt;40,"Senior")</f>
        <v>Adult</v>
      </c>
      <c r="AK417" t="str" cm="1">
        <f t="array" ref="AK417">_xlfn.IFS(Table1[[#This Row],[MonthlyIncome]]&lt;5000,"Low",Table1[[#This Row],[MonthlyIncome]]&lt;10000,"Medium",Table1[[#This Row],[MonthlyIncome]]&gt;10000,"High")</f>
        <v>Low</v>
      </c>
      <c r="AL417" t="str" cm="1">
        <f t="array" ref="AL417">_xlfn.IFS(Table1[[#This Row],[Attrition]]="Yes","Resigned",Table1[[#This Row],[Attrition]]="No","Active")</f>
        <v>Resigned</v>
      </c>
      <c r="AM417" t="str" cm="1">
        <f t="array" ref="AM417">_xlfn.IFS(Table1[[#This Row],[YearsAtCompany]]&lt;=1,"0-1 Year",Table1[[#This Row],[YearsAtCompany]]&lt;=2,"1-2 Years",Table1[[#This Row],[YearsAtCompany]]&lt;=3,"2-3 Years",Table1[[#This Row],[YearsAtCompany]]&lt;=4,"3-4 Years",Table1[[#This Row],[YearsAtCompany]]&lt;=5,"4-5 Years",Table1[[#This Row],[YearsAtCompany]]&gt;5,"&gt;5 Years")</f>
        <v>1-2 Years</v>
      </c>
    </row>
    <row r="418" spans="1:39" hidden="1" x14ac:dyDescent="0.45">
      <c r="A418">
        <v>38</v>
      </c>
      <c r="B418" t="s">
        <v>43</v>
      </c>
      <c r="C418" t="s">
        <v>63</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_xlfn.IFS(Table1[[#This Row],[Age]]&lt;30,"Young",Table1[[#This Row],[Age]]&lt;=40,"Adult",Table1[[#This Row],[Age]]&gt;40,"Senior")</f>
        <v>Adult</v>
      </c>
      <c r="AK418" t="str" cm="1">
        <f t="array" ref="AK418">_xlfn.IFS(Table1[[#This Row],[MonthlyIncome]]&lt;5000,"Low",Table1[[#This Row],[MonthlyIncome]]&lt;10000,"Medium",Table1[[#This Row],[MonthlyIncome]]&gt;10000,"High")</f>
        <v>Low</v>
      </c>
      <c r="AL418" t="str" cm="1">
        <f t="array" ref="AL418">_xlfn.IFS(Table1[[#This Row],[Attrition]]="Yes","Resigned",Table1[[#This Row],[Attrition]]="No","Active")</f>
        <v>Active</v>
      </c>
      <c r="AM418" t="str" cm="1">
        <f t="array" ref="AM418">_xlfn.IFS(Table1[[#This Row],[YearsAtCompany]]&lt;=1,"0-1 Year",Table1[[#This Row],[YearsAtCompany]]&lt;=2,"1-2 Years",Table1[[#This Row],[YearsAtCompany]]&lt;=3,"2-3 Years",Table1[[#This Row],[YearsAtCompany]]&lt;=4,"3-4 Years",Table1[[#This Row],[YearsAtCompany]]&lt;=5,"4-5 Years",Table1[[#This Row],[YearsAtCompany]]&gt;5,"&gt;5 Years")</f>
        <v>0-1 Year</v>
      </c>
    </row>
    <row r="419" spans="1:39" x14ac:dyDescent="0.45">
      <c r="A419">
        <v>40</v>
      </c>
      <c r="B419" t="s">
        <v>43</v>
      </c>
      <c r="C419" t="s">
        <v>64</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_xlfn.IFS(Table1[[#This Row],[Age]]&lt;30,"Young",Table1[[#This Row],[Age]]&lt;=40,"Adult",Table1[[#This Row],[Age]]&gt;40,"Senior")</f>
        <v>Adult</v>
      </c>
      <c r="AK419" t="str" cm="1">
        <f t="array" ref="AK419">_xlfn.IFS(Table1[[#This Row],[MonthlyIncome]]&lt;5000,"Low",Table1[[#This Row],[MonthlyIncome]]&lt;10000,"Medium",Table1[[#This Row],[MonthlyIncome]]&gt;10000,"High")</f>
        <v>High</v>
      </c>
      <c r="AL419" t="str" cm="1">
        <f t="array" ref="AL419">_xlfn.IFS(Table1[[#This Row],[Attrition]]="Yes","Resigned",Table1[[#This Row],[Attrition]]="No","Active")</f>
        <v>Active</v>
      </c>
      <c r="AM419" t="str" cm="1">
        <f t="array" ref="AM419">_xlfn.IFS(Table1[[#This Row],[YearsAtCompany]]&lt;=1,"0-1 Year",Table1[[#This Row],[YearsAtCompany]]&lt;=2,"1-2 Years",Table1[[#This Row],[YearsAtCompany]]&lt;=3,"2-3 Years",Table1[[#This Row],[YearsAtCompany]]&lt;=4,"3-4 Years",Table1[[#This Row],[YearsAtCompany]]&lt;=5,"4-5 Years",Table1[[#This Row],[YearsAtCompany]]&gt;5,"&gt;5 Years")</f>
        <v>&gt;5 Years</v>
      </c>
    </row>
    <row r="420" spans="1:39" hidden="1" x14ac:dyDescent="0.45">
      <c r="A420">
        <v>26</v>
      </c>
      <c r="B420" t="s">
        <v>43</v>
      </c>
      <c r="C420" t="s">
        <v>64</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_xlfn.IFS(Table1[[#This Row],[Age]]&lt;30,"Young",Table1[[#This Row],[Age]]&lt;=40,"Adult",Table1[[#This Row],[Age]]&gt;40,"Senior")</f>
        <v>Young</v>
      </c>
      <c r="AK420" t="str" cm="1">
        <f t="array" ref="AK420">_xlfn.IFS(Table1[[#This Row],[MonthlyIncome]]&lt;5000,"Low",Table1[[#This Row],[MonthlyIncome]]&lt;10000,"Medium",Table1[[#This Row],[MonthlyIncome]]&gt;10000,"High")</f>
        <v>Low</v>
      </c>
      <c r="AL420" t="str" cm="1">
        <f t="array" ref="AL420">_xlfn.IFS(Table1[[#This Row],[Attrition]]="Yes","Resigned",Table1[[#This Row],[Attrition]]="No","Active")</f>
        <v>Active</v>
      </c>
      <c r="AM420" t="str" cm="1">
        <f t="array" ref="AM420">_xlfn.IFS(Table1[[#This Row],[YearsAtCompany]]&lt;=1,"0-1 Year",Table1[[#This Row],[YearsAtCompany]]&lt;=2,"1-2 Years",Table1[[#This Row],[YearsAtCompany]]&lt;=3,"2-3 Years",Table1[[#This Row],[YearsAtCompany]]&lt;=4,"3-4 Years",Table1[[#This Row],[YearsAtCompany]]&lt;=5,"4-5 Years",Table1[[#This Row],[YearsAtCompany]]&gt;5,"&gt;5 Years")</f>
        <v>2-3 Years</v>
      </c>
    </row>
    <row r="421" spans="1:39" hidden="1" x14ac:dyDescent="0.45">
      <c r="A421">
        <v>30</v>
      </c>
      <c r="B421" t="s">
        <v>43</v>
      </c>
      <c r="C421" t="s">
        <v>62</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_xlfn.IFS(Table1[[#This Row],[Age]]&lt;30,"Young",Table1[[#This Row],[Age]]&lt;=40,"Adult",Table1[[#This Row],[Age]]&gt;40,"Senior")</f>
        <v>Adult</v>
      </c>
      <c r="AK421" t="str" cm="1">
        <f t="array" ref="AK421">_xlfn.IFS(Table1[[#This Row],[MonthlyIncome]]&lt;5000,"Low",Table1[[#This Row],[MonthlyIncome]]&lt;10000,"Medium",Table1[[#This Row],[MonthlyIncome]]&gt;10000,"High")</f>
        <v>Low</v>
      </c>
      <c r="AL421" t="str" cm="1">
        <f t="array" ref="AL421">_xlfn.IFS(Table1[[#This Row],[Attrition]]="Yes","Resigned",Table1[[#This Row],[Attrition]]="No","Active")</f>
        <v>Active</v>
      </c>
      <c r="AM421" t="str" cm="1">
        <f t="array" ref="AM421">_xlfn.IFS(Table1[[#This Row],[YearsAtCompany]]&lt;=1,"0-1 Year",Table1[[#This Row],[YearsAtCompany]]&lt;=2,"1-2 Years",Table1[[#This Row],[YearsAtCompany]]&lt;=3,"2-3 Years",Table1[[#This Row],[YearsAtCompany]]&lt;=4,"3-4 Years",Table1[[#This Row],[YearsAtCompany]]&lt;=5,"4-5 Years",Table1[[#This Row],[YearsAtCompany]]&gt;5,"&gt;5 Years")</f>
        <v>4-5 Years</v>
      </c>
    </row>
    <row r="422" spans="1:39" hidden="1" x14ac:dyDescent="0.45">
      <c r="A422">
        <v>29</v>
      </c>
      <c r="B422" t="s">
        <v>43</v>
      </c>
      <c r="C422" t="s">
        <v>64</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_xlfn.IFS(Table1[[#This Row],[Age]]&lt;30,"Young",Table1[[#This Row],[Age]]&lt;=40,"Adult",Table1[[#This Row],[Age]]&gt;40,"Senior")</f>
        <v>Young</v>
      </c>
      <c r="AK422" t="str" cm="1">
        <f t="array" ref="AK422">_xlfn.IFS(Table1[[#This Row],[MonthlyIncome]]&lt;5000,"Low",Table1[[#This Row],[MonthlyIncome]]&lt;10000,"Medium",Table1[[#This Row],[MonthlyIncome]]&gt;10000,"High")</f>
        <v>High</v>
      </c>
      <c r="AL422" t="str" cm="1">
        <f t="array" ref="AL422">_xlfn.IFS(Table1[[#This Row],[Attrition]]="Yes","Resigned",Table1[[#This Row],[Attrition]]="No","Active")</f>
        <v>Active</v>
      </c>
      <c r="AM422" t="str" cm="1">
        <f t="array" ref="AM422">_xlfn.IFS(Table1[[#This Row],[YearsAtCompany]]&lt;=1,"0-1 Year",Table1[[#This Row],[YearsAtCompany]]&lt;=2,"1-2 Years",Table1[[#This Row],[YearsAtCompany]]&lt;=3,"2-3 Years",Table1[[#This Row],[YearsAtCompany]]&lt;=4,"3-4 Years",Table1[[#This Row],[YearsAtCompany]]&lt;=5,"4-5 Years",Table1[[#This Row],[YearsAtCompany]]&gt;5,"&gt;5 Years")</f>
        <v>&gt;5 Years</v>
      </c>
    </row>
    <row r="423" spans="1:39" hidden="1" x14ac:dyDescent="0.45">
      <c r="A423">
        <v>29</v>
      </c>
      <c r="B423" t="s">
        <v>35</v>
      </c>
      <c r="C423" t="s">
        <v>64</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_xlfn.IFS(Table1[[#This Row],[Age]]&lt;30,"Young",Table1[[#This Row],[Age]]&lt;=40,"Adult",Table1[[#This Row],[Age]]&gt;40,"Senior")</f>
        <v>Young</v>
      </c>
      <c r="AK423" t="str" cm="1">
        <f t="array" ref="AK423">_xlfn.IFS(Table1[[#This Row],[MonthlyIncome]]&lt;5000,"Low",Table1[[#This Row],[MonthlyIncome]]&lt;10000,"Medium",Table1[[#This Row],[MonthlyIncome]]&gt;10000,"High")</f>
        <v>Low</v>
      </c>
      <c r="AL423" t="str" cm="1">
        <f t="array" ref="AL423">_xlfn.IFS(Table1[[#This Row],[Attrition]]="Yes","Resigned",Table1[[#This Row],[Attrition]]="No","Active")</f>
        <v>Resigned</v>
      </c>
      <c r="AM423" t="str" cm="1">
        <f t="array" ref="AM423">_xlfn.IFS(Table1[[#This Row],[YearsAtCompany]]&lt;=1,"0-1 Year",Table1[[#This Row],[YearsAtCompany]]&lt;=2,"1-2 Years",Table1[[#This Row],[YearsAtCompany]]&lt;=3,"2-3 Years",Table1[[#This Row],[YearsAtCompany]]&lt;=4,"3-4 Years",Table1[[#This Row],[YearsAtCompany]]&lt;=5,"4-5 Years",Table1[[#This Row],[YearsAtCompany]]&gt;5,"&gt;5 Years")</f>
        <v>1-2 Years</v>
      </c>
    </row>
    <row r="424" spans="1:39" hidden="1" x14ac:dyDescent="0.45">
      <c r="A424">
        <v>19</v>
      </c>
      <c r="B424" t="s">
        <v>35</v>
      </c>
      <c r="C424" t="s">
        <v>64</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_xlfn.IFS(Table1[[#This Row],[Age]]&lt;30,"Young",Table1[[#This Row],[Age]]&lt;=40,"Adult",Table1[[#This Row],[Age]]&gt;40,"Senior")</f>
        <v>Young</v>
      </c>
      <c r="AK424" t="str" cm="1">
        <f t="array" ref="AK424">_xlfn.IFS(Table1[[#This Row],[MonthlyIncome]]&lt;5000,"Low",Table1[[#This Row],[MonthlyIncome]]&lt;10000,"Medium",Table1[[#This Row],[MonthlyIncome]]&gt;10000,"High")</f>
        <v>Low</v>
      </c>
      <c r="AL424" t="str" cm="1">
        <f t="array" ref="AL424">_xlfn.IFS(Table1[[#This Row],[Attrition]]="Yes","Resigned",Table1[[#This Row],[Attrition]]="No","Active")</f>
        <v>Resigned</v>
      </c>
      <c r="AM424" t="str" cm="1">
        <f t="array" ref="AM424">_xlfn.IFS(Table1[[#This Row],[YearsAtCompany]]&lt;=1,"0-1 Year",Table1[[#This Row],[YearsAtCompany]]&lt;=2,"1-2 Years",Table1[[#This Row],[YearsAtCompany]]&lt;=3,"2-3 Years",Table1[[#This Row],[YearsAtCompany]]&lt;=4,"3-4 Years",Table1[[#This Row],[YearsAtCompany]]&lt;=5,"4-5 Years",Table1[[#This Row],[YearsAtCompany]]&gt;5,"&gt;5 Years")</f>
        <v>0-1 Year</v>
      </c>
    </row>
    <row r="425" spans="1:39" x14ac:dyDescent="0.45">
      <c r="A425">
        <v>30</v>
      </c>
      <c r="B425" t="s">
        <v>43</v>
      </c>
      <c r="C425" t="s">
        <v>62</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_xlfn.IFS(Table1[[#This Row],[Age]]&lt;30,"Young",Table1[[#This Row],[Age]]&lt;=40,"Adult",Table1[[#This Row],[Age]]&gt;40,"Senior")</f>
        <v>Adult</v>
      </c>
      <c r="AK425" t="str" cm="1">
        <f t="array" ref="AK425">_xlfn.IFS(Table1[[#This Row],[MonthlyIncome]]&lt;5000,"Low",Table1[[#This Row],[MonthlyIncome]]&lt;10000,"Medium",Table1[[#This Row],[MonthlyIncome]]&gt;10000,"High")</f>
        <v>Medium</v>
      </c>
      <c r="AL425" t="str" cm="1">
        <f t="array" ref="AL425">_xlfn.IFS(Table1[[#This Row],[Attrition]]="Yes","Resigned",Table1[[#This Row],[Attrition]]="No","Active")</f>
        <v>Active</v>
      </c>
      <c r="AM425" t="str" cm="1">
        <f t="array" ref="AM425">_xlfn.IFS(Table1[[#This Row],[YearsAtCompany]]&lt;=1,"0-1 Year",Table1[[#This Row],[YearsAtCompany]]&lt;=2,"1-2 Years",Table1[[#This Row],[YearsAtCompany]]&lt;=3,"2-3 Years",Table1[[#This Row],[YearsAtCompany]]&lt;=4,"3-4 Years",Table1[[#This Row],[YearsAtCompany]]&lt;=5,"4-5 Years",Table1[[#This Row],[YearsAtCompany]]&gt;5,"&gt;5 Years")</f>
        <v>&gt;5 Years</v>
      </c>
    </row>
    <row r="426" spans="1:39" x14ac:dyDescent="0.45">
      <c r="A426">
        <v>57</v>
      </c>
      <c r="B426" t="s">
        <v>43</v>
      </c>
      <c r="C426" t="s">
        <v>64</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_xlfn.IFS(Table1[[#This Row],[Age]]&lt;30,"Young",Table1[[#This Row],[Age]]&lt;=40,"Adult",Table1[[#This Row],[Age]]&gt;40,"Senior")</f>
        <v>Senior</v>
      </c>
      <c r="AK426" t="str" cm="1">
        <f t="array" ref="AK426">_xlfn.IFS(Table1[[#This Row],[MonthlyIncome]]&lt;5000,"Low",Table1[[#This Row],[MonthlyIncome]]&lt;10000,"Medium",Table1[[#This Row],[MonthlyIncome]]&gt;10000,"High")</f>
        <v>High</v>
      </c>
      <c r="AL426" t="str" cm="1">
        <f t="array" ref="AL426">_xlfn.IFS(Table1[[#This Row],[Attrition]]="Yes","Resigned",Table1[[#This Row],[Attrition]]="No","Active")</f>
        <v>Active</v>
      </c>
      <c r="AM426" t="str" cm="1">
        <f t="array" ref="AM426">_xlfn.IFS(Table1[[#This Row],[YearsAtCompany]]&lt;=1,"0-1 Year",Table1[[#This Row],[YearsAtCompany]]&lt;=2,"1-2 Years",Table1[[#This Row],[YearsAtCompany]]&lt;=3,"2-3 Years",Table1[[#This Row],[YearsAtCompany]]&lt;=4,"3-4 Years",Table1[[#This Row],[YearsAtCompany]]&lt;=5,"4-5 Years",Table1[[#This Row],[YearsAtCompany]]&gt;5,"&gt;5 Years")</f>
        <v>0-1 Year</v>
      </c>
    </row>
    <row r="427" spans="1:39" hidden="1" x14ac:dyDescent="0.45">
      <c r="A427">
        <v>50</v>
      </c>
      <c r="B427" t="s">
        <v>43</v>
      </c>
      <c r="C427" t="s">
        <v>64</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_xlfn.IFS(Table1[[#This Row],[Age]]&lt;30,"Young",Table1[[#This Row],[Age]]&lt;=40,"Adult",Table1[[#This Row],[Age]]&gt;40,"Senior")</f>
        <v>Senior</v>
      </c>
      <c r="AK427" t="str" cm="1">
        <f t="array" ref="AK427">_xlfn.IFS(Table1[[#This Row],[MonthlyIncome]]&lt;5000,"Low",Table1[[#This Row],[MonthlyIncome]]&lt;10000,"Medium",Table1[[#This Row],[MonthlyIncome]]&gt;10000,"High")</f>
        <v>High</v>
      </c>
      <c r="AL427" t="str" cm="1">
        <f t="array" ref="AL427">_xlfn.IFS(Table1[[#This Row],[Attrition]]="Yes","Resigned",Table1[[#This Row],[Attrition]]="No","Active")</f>
        <v>Active</v>
      </c>
      <c r="AM427" t="str" cm="1">
        <f t="array" ref="AM427">_xlfn.IFS(Table1[[#This Row],[YearsAtCompany]]&lt;=1,"0-1 Year",Table1[[#This Row],[YearsAtCompany]]&lt;=2,"1-2 Years",Table1[[#This Row],[YearsAtCompany]]&lt;=3,"2-3 Years",Table1[[#This Row],[YearsAtCompany]]&lt;=4,"3-4 Years",Table1[[#This Row],[YearsAtCompany]]&lt;=5,"4-5 Years",Table1[[#This Row],[YearsAtCompany]]&gt;5,"&gt;5 Years")</f>
        <v>&gt;5 Years</v>
      </c>
    </row>
    <row r="428" spans="1:39" hidden="1" x14ac:dyDescent="0.45">
      <c r="A428">
        <v>30</v>
      </c>
      <c r="B428" t="s">
        <v>43</v>
      </c>
      <c r="C428" t="s">
        <v>62</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_xlfn.IFS(Table1[[#This Row],[Age]]&lt;30,"Young",Table1[[#This Row],[Age]]&lt;=40,"Adult",Table1[[#This Row],[Age]]&gt;40,"Senior")</f>
        <v>Adult</v>
      </c>
      <c r="AK428" t="str" cm="1">
        <f t="array" ref="AK428">_xlfn.IFS(Table1[[#This Row],[MonthlyIncome]]&lt;5000,"Low",Table1[[#This Row],[MonthlyIncome]]&lt;10000,"Medium",Table1[[#This Row],[MonthlyIncome]]&gt;10000,"High")</f>
        <v>Low</v>
      </c>
      <c r="AL428" t="str" cm="1">
        <f t="array" ref="AL428">_xlfn.IFS(Table1[[#This Row],[Attrition]]="Yes","Resigned",Table1[[#This Row],[Attrition]]="No","Active")</f>
        <v>Active</v>
      </c>
      <c r="AM428" t="str" cm="1">
        <f t="array" ref="AM428">_xlfn.IFS(Table1[[#This Row],[YearsAtCompany]]&lt;=1,"0-1 Year",Table1[[#This Row],[YearsAtCompany]]&lt;=2,"1-2 Years",Table1[[#This Row],[YearsAtCompany]]&lt;=3,"2-3 Years",Table1[[#This Row],[YearsAtCompany]]&lt;=4,"3-4 Years",Table1[[#This Row],[YearsAtCompany]]&lt;=5,"4-5 Years",Table1[[#This Row],[YearsAtCompany]]&gt;5,"&gt;5 Years")</f>
        <v>&gt;5 Years</v>
      </c>
    </row>
    <row r="429" spans="1:39" x14ac:dyDescent="0.45">
      <c r="A429">
        <v>60</v>
      </c>
      <c r="B429" t="s">
        <v>43</v>
      </c>
      <c r="C429" t="s">
        <v>63</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_xlfn.IFS(Table1[[#This Row],[Age]]&lt;30,"Young",Table1[[#This Row],[Age]]&lt;=40,"Adult",Table1[[#This Row],[Age]]&gt;40,"Senior")</f>
        <v>Senior</v>
      </c>
      <c r="AK429" t="str" cm="1">
        <f t="array" ref="AK429">_xlfn.IFS(Table1[[#This Row],[MonthlyIncome]]&lt;5000,"Low",Table1[[#This Row],[MonthlyIncome]]&lt;10000,"Medium",Table1[[#This Row],[MonthlyIncome]]&gt;10000,"High")</f>
        <v>High</v>
      </c>
      <c r="AL429" t="str" cm="1">
        <f t="array" ref="AL429">_xlfn.IFS(Table1[[#This Row],[Attrition]]="Yes","Resigned",Table1[[#This Row],[Attrition]]="No","Active")</f>
        <v>Active</v>
      </c>
      <c r="AM429" t="str" cm="1">
        <f t="array" ref="AM429">_xlfn.IFS(Table1[[#This Row],[YearsAtCompany]]&lt;=1,"0-1 Year",Table1[[#This Row],[YearsAtCompany]]&lt;=2,"1-2 Years",Table1[[#This Row],[YearsAtCompany]]&lt;=3,"2-3 Years",Table1[[#This Row],[YearsAtCompany]]&lt;=4,"3-4 Years",Table1[[#This Row],[YearsAtCompany]]&lt;=5,"4-5 Years",Table1[[#This Row],[YearsAtCompany]]&gt;5,"&gt;5 Years")</f>
        <v>&gt;5 Years</v>
      </c>
    </row>
    <row r="430" spans="1:39" hidden="1" x14ac:dyDescent="0.45">
      <c r="A430">
        <v>47</v>
      </c>
      <c r="B430" t="s">
        <v>43</v>
      </c>
      <c r="C430" t="s">
        <v>64</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_xlfn.IFS(Table1[[#This Row],[Age]]&lt;30,"Young",Table1[[#This Row],[Age]]&lt;=40,"Adult",Table1[[#This Row],[Age]]&gt;40,"Senior")</f>
        <v>Senior</v>
      </c>
      <c r="AK430" t="str" cm="1">
        <f t="array" ref="AK430">_xlfn.IFS(Table1[[#This Row],[MonthlyIncome]]&lt;5000,"Low",Table1[[#This Row],[MonthlyIncome]]&lt;10000,"Medium",Table1[[#This Row],[MonthlyIncome]]&gt;10000,"High")</f>
        <v>Medium</v>
      </c>
      <c r="AL430" t="str" cm="1">
        <f t="array" ref="AL430">_xlfn.IFS(Table1[[#This Row],[Attrition]]="Yes","Resigned",Table1[[#This Row],[Attrition]]="No","Active")</f>
        <v>Active</v>
      </c>
      <c r="AM430" t="str" cm="1">
        <f t="array" ref="AM430">_xlfn.IFS(Table1[[#This Row],[YearsAtCompany]]&lt;=1,"0-1 Year",Table1[[#This Row],[YearsAtCompany]]&lt;=2,"1-2 Years",Table1[[#This Row],[YearsAtCompany]]&lt;=3,"2-3 Years",Table1[[#This Row],[YearsAtCompany]]&lt;=4,"3-4 Years",Table1[[#This Row],[YearsAtCompany]]&lt;=5,"4-5 Years",Table1[[#This Row],[YearsAtCompany]]&gt;5,"&gt;5 Years")</f>
        <v>4-5 Years</v>
      </c>
    </row>
    <row r="431" spans="1:39" hidden="1" x14ac:dyDescent="0.45">
      <c r="A431">
        <v>46</v>
      </c>
      <c r="B431" t="s">
        <v>43</v>
      </c>
      <c r="C431" t="s">
        <v>64</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_xlfn.IFS(Table1[[#This Row],[Age]]&lt;30,"Young",Table1[[#This Row],[Age]]&lt;=40,"Adult",Table1[[#This Row],[Age]]&gt;40,"Senior")</f>
        <v>Senior</v>
      </c>
      <c r="AK431" t="str" cm="1">
        <f t="array" ref="AK431">_xlfn.IFS(Table1[[#This Row],[MonthlyIncome]]&lt;5000,"Low",Table1[[#This Row],[MonthlyIncome]]&lt;10000,"Medium",Table1[[#This Row],[MonthlyIncome]]&gt;10000,"High")</f>
        <v>High</v>
      </c>
      <c r="AL431" t="str" cm="1">
        <f t="array" ref="AL431">_xlfn.IFS(Table1[[#This Row],[Attrition]]="Yes","Resigned",Table1[[#This Row],[Attrition]]="No","Active")</f>
        <v>Active</v>
      </c>
      <c r="AM431" t="str" cm="1">
        <f t="array" ref="AM431">_xlfn.IFS(Table1[[#This Row],[YearsAtCompany]]&lt;=1,"0-1 Year",Table1[[#This Row],[YearsAtCompany]]&lt;=2,"1-2 Years",Table1[[#This Row],[YearsAtCompany]]&lt;=3,"2-3 Years",Table1[[#This Row],[YearsAtCompany]]&lt;=4,"3-4 Years",Table1[[#This Row],[YearsAtCompany]]&lt;=5,"4-5 Years",Table1[[#This Row],[YearsAtCompany]]&gt;5,"&gt;5 Years")</f>
        <v>2-3 Years</v>
      </c>
    </row>
    <row r="432" spans="1:39" hidden="1" x14ac:dyDescent="0.45">
      <c r="A432">
        <v>35</v>
      </c>
      <c r="B432" t="s">
        <v>43</v>
      </c>
      <c r="C432" t="s">
        <v>64</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_xlfn.IFS(Table1[[#This Row],[Age]]&lt;30,"Young",Table1[[#This Row],[Age]]&lt;=40,"Adult",Table1[[#This Row],[Age]]&gt;40,"Senior")</f>
        <v>Adult</v>
      </c>
      <c r="AK432" t="str" cm="1">
        <f t="array" ref="AK432">_xlfn.IFS(Table1[[#This Row],[MonthlyIncome]]&lt;5000,"Low",Table1[[#This Row],[MonthlyIncome]]&lt;10000,"Medium",Table1[[#This Row],[MonthlyIncome]]&gt;10000,"High")</f>
        <v>Low</v>
      </c>
      <c r="AL432" t="str" cm="1">
        <f t="array" ref="AL432">_xlfn.IFS(Table1[[#This Row],[Attrition]]="Yes","Resigned",Table1[[#This Row],[Attrition]]="No","Active")</f>
        <v>Active</v>
      </c>
      <c r="AM432" t="str" cm="1">
        <f t="array" ref="AM432">_xlfn.IFS(Table1[[#This Row],[YearsAtCompany]]&lt;=1,"0-1 Year",Table1[[#This Row],[YearsAtCompany]]&lt;=2,"1-2 Years",Table1[[#This Row],[YearsAtCompany]]&lt;=3,"2-3 Years",Table1[[#This Row],[YearsAtCompany]]&lt;=4,"3-4 Years",Table1[[#This Row],[YearsAtCompany]]&lt;=5,"4-5 Years",Table1[[#This Row],[YearsAtCompany]]&gt;5,"&gt;5 Years")</f>
        <v>4-5 Years</v>
      </c>
    </row>
    <row r="433" spans="1:39" hidden="1" x14ac:dyDescent="0.45">
      <c r="A433">
        <v>54</v>
      </c>
      <c r="B433" t="s">
        <v>43</v>
      </c>
      <c r="C433" t="s">
        <v>64</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_xlfn.IFS(Table1[[#This Row],[Age]]&lt;30,"Young",Table1[[#This Row],[Age]]&lt;=40,"Adult",Table1[[#This Row],[Age]]&gt;40,"Senior")</f>
        <v>Senior</v>
      </c>
      <c r="AK433" t="str" cm="1">
        <f t="array" ref="AK433">_xlfn.IFS(Table1[[#This Row],[MonthlyIncome]]&lt;5000,"Low",Table1[[#This Row],[MonthlyIncome]]&lt;10000,"Medium",Table1[[#This Row],[MonthlyIncome]]&gt;10000,"High")</f>
        <v>Low</v>
      </c>
      <c r="AL433" t="str" cm="1">
        <f t="array" ref="AL433">_xlfn.IFS(Table1[[#This Row],[Attrition]]="Yes","Resigned",Table1[[#This Row],[Attrition]]="No","Active")</f>
        <v>Active</v>
      </c>
      <c r="AM433" t="str" cm="1">
        <f t="array" ref="AM433">_xlfn.IFS(Table1[[#This Row],[YearsAtCompany]]&lt;=1,"0-1 Year",Table1[[#This Row],[YearsAtCompany]]&lt;=2,"1-2 Years",Table1[[#This Row],[YearsAtCompany]]&lt;=3,"2-3 Years",Table1[[#This Row],[YearsAtCompany]]&lt;=4,"3-4 Years",Table1[[#This Row],[YearsAtCompany]]&lt;=5,"4-5 Years",Table1[[#This Row],[YearsAtCompany]]&gt;5,"&gt;5 Years")</f>
        <v>0-1 Year</v>
      </c>
    </row>
    <row r="434" spans="1:39" hidden="1" x14ac:dyDescent="0.45">
      <c r="A434">
        <v>34</v>
      </c>
      <c r="B434" t="s">
        <v>43</v>
      </c>
      <c r="C434" t="s">
        <v>64</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_xlfn.IFS(Table1[[#This Row],[Age]]&lt;30,"Young",Table1[[#This Row],[Age]]&lt;=40,"Adult",Table1[[#This Row],[Age]]&gt;40,"Senior")</f>
        <v>Adult</v>
      </c>
      <c r="AK434" t="str" cm="1">
        <f t="array" ref="AK434">_xlfn.IFS(Table1[[#This Row],[MonthlyIncome]]&lt;5000,"Low",Table1[[#This Row],[MonthlyIncome]]&lt;10000,"Medium",Table1[[#This Row],[MonthlyIncome]]&gt;10000,"High")</f>
        <v>Low</v>
      </c>
      <c r="AL434" t="str" cm="1">
        <f t="array" ref="AL434">_xlfn.IFS(Table1[[#This Row],[Attrition]]="Yes","Resigned",Table1[[#This Row],[Attrition]]="No","Active")</f>
        <v>Active</v>
      </c>
      <c r="AM434" t="str" cm="1">
        <f t="array" ref="AM434">_xlfn.IFS(Table1[[#This Row],[YearsAtCompany]]&lt;=1,"0-1 Year",Table1[[#This Row],[YearsAtCompany]]&lt;=2,"1-2 Years",Table1[[#This Row],[YearsAtCompany]]&lt;=3,"2-3 Years",Table1[[#This Row],[YearsAtCompany]]&lt;=4,"3-4 Years",Table1[[#This Row],[YearsAtCompany]]&lt;=5,"4-5 Years",Table1[[#This Row],[YearsAtCompany]]&gt;5,"&gt;5 Years")</f>
        <v>&gt;5 Years</v>
      </c>
    </row>
    <row r="435" spans="1:39" x14ac:dyDescent="0.45">
      <c r="A435">
        <v>46</v>
      </c>
      <c r="B435" t="s">
        <v>43</v>
      </c>
      <c r="C435" t="s">
        <v>64</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_xlfn.IFS(Table1[[#This Row],[Age]]&lt;30,"Young",Table1[[#This Row],[Age]]&lt;=40,"Adult",Table1[[#This Row],[Age]]&gt;40,"Senior")</f>
        <v>Senior</v>
      </c>
      <c r="AK435" t="str" cm="1">
        <f t="array" ref="AK435">_xlfn.IFS(Table1[[#This Row],[MonthlyIncome]]&lt;5000,"Low",Table1[[#This Row],[MonthlyIncome]]&lt;10000,"Medium",Table1[[#This Row],[MonthlyIncome]]&gt;10000,"High")</f>
        <v>Medium</v>
      </c>
      <c r="AL435" t="str" cm="1">
        <f t="array" ref="AL435">_xlfn.IFS(Table1[[#This Row],[Attrition]]="Yes","Resigned",Table1[[#This Row],[Attrition]]="No","Active")</f>
        <v>Active</v>
      </c>
      <c r="AM435" t="str" cm="1">
        <f t="array" ref="AM435">_xlfn.IFS(Table1[[#This Row],[YearsAtCompany]]&lt;=1,"0-1 Year",Table1[[#This Row],[YearsAtCompany]]&lt;=2,"1-2 Years",Table1[[#This Row],[YearsAtCompany]]&lt;=3,"2-3 Years",Table1[[#This Row],[YearsAtCompany]]&lt;=4,"3-4 Years",Table1[[#This Row],[YearsAtCompany]]&lt;=5,"4-5 Years",Table1[[#This Row],[YearsAtCompany]]&gt;5,"&gt;5 Years")</f>
        <v>2-3 Years</v>
      </c>
    </row>
    <row r="436" spans="1:39" hidden="1" x14ac:dyDescent="0.45">
      <c r="A436">
        <v>31</v>
      </c>
      <c r="B436" t="s">
        <v>43</v>
      </c>
      <c r="C436" t="s">
        <v>64</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_xlfn.IFS(Table1[[#This Row],[Age]]&lt;30,"Young",Table1[[#This Row],[Age]]&lt;=40,"Adult",Table1[[#This Row],[Age]]&gt;40,"Senior")</f>
        <v>Adult</v>
      </c>
      <c r="AK436" t="str" cm="1">
        <f t="array" ref="AK436">_xlfn.IFS(Table1[[#This Row],[MonthlyIncome]]&lt;5000,"Low",Table1[[#This Row],[MonthlyIncome]]&lt;10000,"Medium",Table1[[#This Row],[MonthlyIncome]]&gt;10000,"High")</f>
        <v>High</v>
      </c>
      <c r="AL436" t="str" cm="1">
        <f t="array" ref="AL436">_xlfn.IFS(Table1[[#This Row],[Attrition]]="Yes","Resigned",Table1[[#This Row],[Attrition]]="No","Active")</f>
        <v>Active</v>
      </c>
      <c r="AM436" t="str" cm="1">
        <f t="array" ref="AM436">_xlfn.IFS(Table1[[#This Row],[YearsAtCompany]]&lt;=1,"0-1 Year",Table1[[#This Row],[YearsAtCompany]]&lt;=2,"1-2 Years",Table1[[#This Row],[YearsAtCompany]]&lt;=3,"2-3 Years",Table1[[#This Row],[YearsAtCompany]]&lt;=4,"3-4 Years",Table1[[#This Row],[YearsAtCompany]]&lt;=5,"4-5 Years",Table1[[#This Row],[YearsAtCompany]]&gt;5,"&gt;5 Years")</f>
        <v>&gt;5 Years</v>
      </c>
    </row>
    <row r="437" spans="1:39" hidden="1" x14ac:dyDescent="0.45">
      <c r="A437">
        <v>33</v>
      </c>
      <c r="B437" t="s">
        <v>35</v>
      </c>
      <c r="C437" t="s">
        <v>64</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_xlfn.IFS(Table1[[#This Row],[Age]]&lt;30,"Young",Table1[[#This Row],[Age]]&lt;=40,"Adult",Table1[[#This Row],[Age]]&gt;40,"Senior")</f>
        <v>Adult</v>
      </c>
      <c r="AK437" t="str" cm="1">
        <f t="array" ref="AK437">_xlfn.IFS(Table1[[#This Row],[MonthlyIncome]]&lt;5000,"Low",Table1[[#This Row],[MonthlyIncome]]&lt;10000,"Medium",Table1[[#This Row],[MonthlyIncome]]&gt;10000,"High")</f>
        <v>High</v>
      </c>
      <c r="AL437" t="str" cm="1">
        <f t="array" ref="AL437">_xlfn.IFS(Table1[[#This Row],[Attrition]]="Yes","Resigned",Table1[[#This Row],[Attrition]]="No","Active")</f>
        <v>Resigned</v>
      </c>
      <c r="AM437" t="str" cm="1">
        <f t="array" ref="AM437">_xlfn.IFS(Table1[[#This Row],[YearsAtCompany]]&lt;=1,"0-1 Year",Table1[[#This Row],[YearsAtCompany]]&lt;=2,"1-2 Years",Table1[[#This Row],[YearsAtCompany]]&lt;=3,"2-3 Years",Table1[[#This Row],[YearsAtCompany]]&lt;=4,"3-4 Years",Table1[[#This Row],[YearsAtCompany]]&lt;=5,"4-5 Years",Table1[[#This Row],[YearsAtCompany]]&gt;5,"&gt;5 Years")</f>
        <v>&gt;5 Years</v>
      </c>
    </row>
    <row r="438" spans="1:39" hidden="1" x14ac:dyDescent="0.45">
      <c r="A438">
        <v>33</v>
      </c>
      <c r="B438" t="s">
        <v>35</v>
      </c>
      <c r="C438" t="s">
        <v>64</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_xlfn.IFS(Table1[[#This Row],[Age]]&lt;30,"Young",Table1[[#This Row],[Age]]&lt;=40,"Adult",Table1[[#This Row],[Age]]&gt;40,"Senior")</f>
        <v>Adult</v>
      </c>
      <c r="AK438" t="str" cm="1">
        <f t="array" ref="AK438">_xlfn.IFS(Table1[[#This Row],[MonthlyIncome]]&lt;5000,"Low",Table1[[#This Row],[MonthlyIncome]]&lt;10000,"Medium",Table1[[#This Row],[MonthlyIncome]]&gt;10000,"High")</f>
        <v>Low</v>
      </c>
      <c r="AL438" t="str" cm="1">
        <f t="array" ref="AL438">_xlfn.IFS(Table1[[#This Row],[Attrition]]="Yes","Resigned",Table1[[#This Row],[Attrition]]="No","Active")</f>
        <v>Resigned</v>
      </c>
      <c r="AM438" t="str" cm="1">
        <f t="array" ref="AM438">_xlfn.IFS(Table1[[#This Row],[YearsAtCompany]]&lt;=1,"0-1 Year",Table1[[#This Row],[YearsAtCompany]]&lt;=2,"1-2 Years",Table1[[#This Row],[YearsAtCompany]]&lt;=3,"2-3 Years",Table1[[#This Row],[YearsAtCompany]]&lt;=4,"3-4 Years",Table1[[#This Row],[YearsAtCompany]]&lt;=5,"4-5 Years",Table1[[#This Row],[YearsAtCompany]]&gt;5,"&gt;5 Years")</f>
        <v>3-4 Years</v>
      </c>
    </row>
    <row r="439" spans="1:39" x14ac:dyDescent="0.45">
      <c r="A439">
        <v>30</v>
      </c>
      <c r="B439" t="s">
        <v>43</v>
      </c>
      <c r="C439" t="s">
        <v>64</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_xlfn.IFS(Table1[[#This Row],[Age]]&lt;30,"Young",Table1[[#This Row],[Age]]&lt;=40,"Adult",Table1[[#This Row],[Age]]&gt;40,"Senior")</f>
        <v>Adult</v>
      </c>
      <c r="AK439" t="str" cm="1">
        <f t="array" ref="AK439">_xlfn.IFS(Table1[[#This Row],[MonthlyIncome]]&lt;5000,"Low",Table1[[#This Row],[MonthlyIncome]]&lt;10000,"Medium",Table1[[#This Row],[MonthlyIncome]]&gt;10000,"High")</f>
        <v>Low</v>
      </c>
      <c r="AL439" t="str" cm="1">
        <f t="array" ref="AL439">_xlfn.IFS(Table1[[#This Row],[Attrition]]="Yes","Resigned",Table1[[#This Row],[Attrition]]="No","Active")</f>
        <v>Active</v>
      </c>
      <c r="AM439" t="str" cm="1">
        <f t="array" ref="AM439">_xlfn.IFS(Table1[[#This Row],[YearsAtCompany]]&lt;=1,"0-1 Year",Table1[[#This Row],[YearsAtCompany]]&lt;=2,"1-2 Years",Table1[[#This Row],[YearsAtCompany]]&lt;=3,"2-3 Years",Table1[[#This Row],[YearsAtCompany]]&lt;=4,"3-4 Years",Table1[[#This Row],[YearsAtCompany]]&lt;=5,"4-5 Years",Table1[[#This Row],[YearsAtCompany]]&gt;5,"&gt;5 Years")</f>
        <v>2-3 Years</v>
      </c>
    </row>
    <row r="440" spans="1:39" hidden="1" x14ac:dyDescent="0.45">
      <c r="A440">
        <v>35</v>
      </c>
      <c r="B440" t="s">
        <v>43</v>
      </c>
      <c r="C440" t="s">
        <v>64</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_xlfn.IFS(Table1[[#This Row],[Age]]&lt;30,"Young",Table1[[#This Row],[Age]]&lt;=40,"Adult",Table1[[#This Row],[Age]]&gt;40,"Senior")</f>
        <v>Adult</v>
      </c>
      <c r="AK440" t="str" cm="1">
        <f t="array" ref="AK440">_xlfn.IFS(Table1[[#This Row],[MonthlyIncome]]&lt;5000,"Low",Table1[[#This Row],[MonthlyIncome]]&lt;10000,"Medium",Table1[[#This Row],[MonthlyIncome]]&gt;10000,"High")</f>
        <v>Medium</v>
      </c>
      <c r="AL440" t="str" cm="1">
        <f t="array" ref="AL440">_xlfn.IFS(Table1[[#This Row],[Attrition]]="Yes","Resigned",Table1[[#This Row],[Attrition]]="No","Active")</f>
        <v>Active</v>
      </c>
      <c r="AM440" t="str" cm="1">
        <f t="array" ref="AM440">_xlfn.IFS(Table1[[#This Row],[YearsAtCompany]]&lt;=1,"0-1 Year",Table1[[#This Row],[YearsAtCompany]]&lt;=2,"1-2 Years",Table1[[#This Row],[YearsAtCompany]]&lt;=3,"2-3 Years",Table1[[#This Row],[YearsAtCompany]]&lt;=4,"3-4 Years",Table1[[#This Row],[YearsAtCompany]]&lt;=5,"4-5 Years",Table1[[#This Row],[YearsAtCompany]]&gt;5,"&gt;5 Years")</f>
        <v>&gt;5 Years</v>
      </c>
    </row>
    <row r="441" spans="1:39" hidden="1" x14ac:dyDescent="0.45">
      <c r="A441">
        <v>31</v>
      </c>
      <c r="B441" t="s">
        <v>35</v>
      </c>
      <c r="C441" t="s">
        <v>63</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_xlfn.IFS(Table1[[#This Row],[Age]]&lt;30,"Young",Table1[[#This Row],[Age]]&lt;=40,"Adult",Table1[[#This Row],[Age]]&gt;40,"Senior")</f>
        <v>Adult</v>
      </c>
      <c r="AK441" t="str" cm="1">
        <f t="array" ref="AK441">_xlfn.IFS(Table1[[#This Row],[MonthlyIncome]]&lt;5000,"Low",Table1[[#This Row],[MonthlyIncome]]&lt;10000,"Medium",Table1[[#This Row],[MonthlyIncome]]&gt;10000,"High")</f>
        <v>Medium</v>
      </c>
      <c r="AL441" t="str" cm="1">
        <f t="array" ref="AL441">_xlfn.IFS(Table1[[#This Row],[Attrition]]="Yes","Resigned",Table1[[#This Row],[Attrition]]="No","Active")</f>
        <v>Resigned</v>
      </c>
      <c r="AM441" t="str" cm="1">
        <f t="array" ref="AM441">_xlfn.IFS(Table1[[#This Row],[YearsAtCompany]]&lt;=1,"0-1 Year",Table1[[#This Row],[YearsAtCompany]]&lt;=2,"1-2 Years",Table1[[#This Row],[YearsAtCompany]]&lt;=3,"2-3 Years",Table1[[#This Row],[YearsAtCompany]]&lt;=4,"3-4 Years",Table1[[#This Row],[YearsAtCompany]]&lt;=5,"4-5 Years",Table1[[#This Row],[YearsAtCompany]]&gt;5,"&gt;5 Years")</f>
        <v>0-1 Year</v>
      </c>
    </row>
    <row r="442" spans="1:39" hidden="1" x14ac:dyDescent="0.45">
      <c r="A442">
        <v>34</v>
      </c>
      <c r="B442" t="s">
        <v>35</v>
      </c>
      <c r="C442" t="s">
        <v>63</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_xlfn.IFS(Table1[[#This Row],[Age]]&lt;30,"Young",Table1[[#This Row],[Age]]&lt;=40,"Adult",Table1[[#This Row],[Age]]&gt;40,"Senior")</f>
        <v>Adult</v>
      </c>
      <c r="AK442" t="str" cm="1">
        <f t="array" ref="AK442">_xlfn.IFS(Table1[[#This Row],[MonthlyIncome]]&lt;5000,"Low",Table1[[#This Row],[MonthlyIncome]]&lt;10000,"Medium",Table1[[#This Row],[MonthlyIncome]]&gt;10000,"High")</f>
        <v>Medium</v>
      </c>
      <c r="AL442" t="str" cm="1">
        <f t="array" ref="AL442">_xlfn.IFS(Table1[[#This Row],[Attrition]]="Yes","Resigned",Table1[[#This Row],[Attrition]]="No","Active")</f>
        <v>Resigned</v>
      </c>
      <c r="AM442" t="str" cm="1">
        <f t="array" ref="AM442">_xlfn.IFS(Table1[[#This Row],[YearsAtCompany]]&lt;=1,"0-1 Year",Table1[[#This Row],[YearsAtCompany]]&lt;=2,"1-2 Years",Table1[[#This Row],[YearsAtCompany]]&lt;=3,"2-3 Years",Table1[[#This Row],[YearsAtCompany]]&lt;=4,"3-4 Years",Table1[[#This Row],[YearsAtCompany]]&lt;=5,"4-5 Years",Table1[[#This Row],[YearsAtCompany]]&gt;5,"&gt;5 Years")</f>
        <v>2-3 Years</v>
      </c>
    </row>
    <row r="443" spans="1:39" hidden="1" x14ac:dyDescent="0.45">
      <c r="A443">
        <v>42</v>
      </c>
      <c r="B443" t="s">
        <v>43</v>
      </c>
      <c r="C443" t="s">
        <v>63</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_xlfn.IFS(Table1[[#This Row],[Age]]&lt;30,"Young",Table1[[#This Row],[Age]]&lt;=40,"Adult",Table1[[#This Row],[Age]]&gt;40,"Senior")</f>
        <v>Senior</v>
      </c>
      <c r="AK443" t="str" cm="1">
        <f t="array" ref="AK443">_xlfn.IFS(Table1[[#This Row],[MonthlyIncome]]&lt;5000,"Low",Table1[[#This Row],[MonthlyIncome]]&lt;10000,"Medium",Table1[[#This Row],[MonthlyIncome]]&gt;10000,"High")</f>
        <v>Low</v>
      </c>
      <c r="AL443" t="str" cm="1">
        <f t="array" ref="AL443">_xlfn.IFS(Table1[[#This Row],[Attrition]]="Yes","Resigned",Table1[[#This Row],[Attrition]]="No","Active")</f>
        <v>Active</v>
      </c>
      <c r="AM443" t="str" cm="1">
        <f t="array" ref="AM443">_xlfn.IFS(Table1[[#This Row],[YearsAtCompany]]&lt;=1,"0-1 Year",Table1[[#This Row],[YearsAtCompany]]&lt;=2,"1-2 Years",Table1[[#This Row],[YearsAtCompany]]&lt;=3,"2-3 Years",Table1[[#This Row],[YearsAtCompany]]&lt;=4,"3-4 Years",Table1[[#This Row],[YearsAtCompany]]&lt;=5,"4-5 Years",Table1[[#This Row],[YearsAtCompany]]&gt;5,"&gt;5 Years")</f>
        <v>1-2 Years</v>
      </c>
    </row>
    <row r="444" spans="1:39" x14ac:dyDescent="0.45">
      <c r="A444">
        <v>36</v>
      </c>
      <c r="B444" t="s">
        <v>43</v>
      </c>
      <c r="C444" t="s">
        <v>62</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_xlfn.IFS(Table1[[#This Row],[Age]]&lt;30,"Young",Table1[[#This Row],[Age]]&lt;=40,"Adult",Table1[[#This Row],[Age]]&gt;40,"Senior")</f>
        <v>Adult</v>
      </c>
      <c r="AK444" t="str" cm="1">
        <f t="array" ref="AK444">_xlfn.IFS(Table1[[#This Row],[MonthlyIncome]]&lt;5000,"Low",Table1[[#This Row],[MonthlyIncome]]&lt;10000,"Medium",Table1[[#This Row],[MonthlyIncome]]&gt;10000,"High")</f>
        <v>Medium</v>
      </c>
      <c r="AL444" t="str" cm="1">
        <f t="array" ref="AL444">_xlfn.IFS(Table1[[#This Row],[Attrition]]="Yes","Resigned",Table1[[#This Row],[Attrition]]="No","Active")</f>
        <v>Active</v>
      </c>
      <c r="AM444" t="str" cm="1">
        <f t="array" ref="AM444">_xlfn.IFS(Table1[[#This Row],[YearsAtCompany]]&lt;=1,"0-1 Year",Table1[[#This Row],[YearsAtCompany]]&lt;=2,"1-2 Years",Table1[[#This Row],[YearsAtCompany]]&lt;=3,"2-3 Years",Table1[[#This Row],[YearsAtCompany]]&lt;=4,"3-4 Years",Table1[[#This Row],[YearsAtCompany]]&lt;=5,"4-5 Years",Table1[[#This Row],[YearsAtCompany]]&gt;5,"&gt;5 Years")</f>
        <v>&gt;5 Years</v>
      </c>
    </row>
    <row r="445" spans="1:39" hidden="1" x14ac:dyDescent="0.45">
      <c r="A445">
        <v>22</v>
      </c>
      <c r="B445" t="s">
        <v>35</v>
      </c>
      <c r="C445" t="s">
        <v>63</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_xlfn.IFS(Table1[[#This Row],[Age]]&lt;30,"Young",Table1[[#This Row],[Age]]&lt;=40,"Adult",Table1[[#This Row],[Age]]&gt;40,"Senior")</f>
        <v>Young</v>
      </c>
      <c r="AK445" t="str" cm="1">
        <f t="array" ref="AK445">_xlfn.IFS(Table1[[#This Row],[MonthlyIncome]]&lt;5000,"Low",Table1[[#This Row],[MonthlyIncome]]&lt;10000,"Medium",Table1[[#This Row],[MonthlyIncome]]&gt;10000,"High")</f>
        <v>Low</v>
      </c>
      <c r="AL445" t="str" cm="1">
        <f t="array" ref="AL445">_xlfn.IFS(Table1[[#This Row],[Attrition]]="Yes","Resigned",Table1[[#This Row],[Attrition]]="No","Active")</f>
        <v>Resigned</v>
      </c>
      <c r="AM445" t="str" cm="1">
        <f t="array" ref="AM445">_xlfn.IFS(Table1[[#This Row],[YearsAtCompany]]&lt;=1,"0-1 Year",Table1[[#This Row],[YearsAtCompany]]&lt;=2,"1-2 Years",Table1[[#This Row],[YearsAtCompany]]&lt;=3,"2-3 Years",Table1[[#This Row],[YearsAtCompany]]&lt;=4,"3-4 Years",Table1[[#This Row],[YearsAtCompany]]&lt;=5,"4-5 Years",Table1[[#This Row],[YearsAtCompany]]&gt;5,"&gt;5 Years")</f>
        <v>1-2 Years</v>
      </c>
    </row>
    <row r="446" spans="1:39" x14ac:dyDescent="0.45">
      <c r="A446">
        <v>48</v>
      </c>
      <c r="B446" t="s">
        <v>43</v>
      </c>
      <c r="C446" t="s">
        <v>64</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_xlfn.IFS(Table1[[#This Row],[Age]]&lt;30,"Young",Table1[[#This Row],[Age]]&lt;=40,"Adult",Table1[[#This Row],[Age]]&gt;40,"Senior")</f>
        <v>Senior</v>
      </c>
      <c r="AK446" t="str" cm="1">
        <f t="array" ref="AK446">_xlfn.IFS(Table1[[#This Row],[MonthlyIncome]]&lt;5000,"Low",Table1[[#This Row],[MonthlyIncome]]&lt;10000,"Medium",Table1[[#This Row],[MonthlyIncome]]&gt;10000,"High")</f>
        <v>Low</v>
      </c>
      <c r="AL446" t="str" cm="1">
        <f t="array" ref="AL446">_xlfn.IFS(Table1[[#This Row],[Attrition]]="Yes","Resigned",Table1[[#This Row],[Attrition]]="No","Active")</f>
        <v>Active</v>
      </c>
      <c r="AM446" t="str" cm="1">
        <f t="array" ref="AM446">_xlfn.IFS(Table1[[#This Row],[YearsAtCompany]]&lt;=1,"0-1 Year",Table1[[#This Row],[YearsAtCompany]]&lt;=2,"1-2 Years",Table1[[#This Row],[YearsAtCompany]]&lt;=3,"2-3 Years",Table1[[#This Row],[YearsAtCompany]]&lt;=4,"3-4 Years",Table1[[#This Row],[YearsAtCompany]]&lt;=5,"4-5 Years",Table1[[#This Row],[YearsAtCompany]]&gt;5,"&gt;5 Years")</f>
        <v>&gt;5 Years</v>
      </c>
    </row>
    <row r="447" spans="1:39" x14ac:dyDescent="0.45">
      <c r="A447">
        <v>55</v>
      </c>
      <c r="B447" t="s">
        <v>43</v>
      </c>
      <c r="C447" t="s">
        <v>64</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_xlfn.IFS(Table1[[#This Row],[Age]]&lt;30,"Young",Table1[[#This Row],[Age]]&lt;=40,"Adult",Table1[[#This Row],[Age]]&gt;40,"Senior")</f>
        <v>Senior</v>
      </c>
      <c r="AK447" t="str" cm="1">
        <f t="array" ref="AK447">_xlfn.IFS(Table1[[#This Row],[MonthlyIncome]]&lt;5000,"Low",Table1[[#This Row],[MonthlyIncome]]&lt;10000,"Medium",Table1[[#This Row],[MonthlyIncome]]&gt;10000,"High")</f>
        <v>High</v>
      </c>
      <c r="AL447" t="str" cm="1">
        <f t="array" ref="AL447">_xlfn.IFS(Table1[[#This Row],[Attrition]]="Yes","Resigned",Table1[[#This Row],[Attrition]]="No","Active")</f>
        <v>Active</v>
      </c>
      <c r="AM447" t="str" cm="1">
        <f t="array" ref="AM447">_xlfn.IFS(Table1[[#This Row],[YearsAtCompany]]&lt;=1,"0-1 Year",Table1[[#This Row],[YearsAtCompany]]&lt;=2,"1-2 Years",Table1[[#This Row],[YearsAtCompany]]&lt;=3,"2-3 Years",Table1[[#This Row],[YearsAtCompany]]&lt;=4,"3-4 Years",Table1[[#This Row],[YearsAtCompany]]&lt;=5,"4-5 Years",Table1[[#This Row],[YearsAtCompany]]&gt;5,"&gt;5 Years")</f>
        <v>&gt;5 Years</v>
      </c>
    </row>
    <row r="448" spans="1:39" x14ac:dyDescent="0.45">
      <c r="A448">
        <v>41</v>
      </c>
      <c r="B448" t="s">
        <v>43</v>
      </c>
      <c r="C448" t="s">
        <v>62</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_xlfn.IFS(Table1[[#This Row],[Age]]&lt;30,"Young",Table1[[#This Row],[Age]]&lt;=40,"Adult",Table1[[#This Row],[Age]]&gt;40,"Senior")</f>
        <v>Senior</v>
      </c>
      <c r="AK448" t="str" cm="1">
        <f t="array" ref="AK448">_xlfn.IFS(Table1[[#This Row],[MonthlyIncome]]&lt;5000,"Low",Table1[[#This Row],[MonthlyIncome]]&lt;10000,"Medium",Table1[[#This Row],[MonthlyIncome]]&gt;10000,"High")</f>
        <v>Medium</v>
      </c>
      <c r="AL448" t="str" cm="1">
        <f t="array" ref="AL448">_xlfn.IFS(Table1[[#This Row],[Attrition]]="Yes","Resigned",Table1[[#This Row],[Attrition]]="No","Active")</f>
        <v>Active</v>
      </c>
      <c r="AM448" t="str" cm="1">
        <f t="array" ref="AM448">_xlfn.IFS(Table1[[#This Row],[YearsAtCompany]]&lt;=1,"0-1 Year",Table1[[#This Row],[YearsAtCompany]]&lt;=2,"1-2 Years",Table1[[#This Row],[YearsAtCompany]]&lt;=3,"2-3 Years",Table1[[#This Row],[YearsAtCompany]]&lt;=4,"3-4 Years",Table1[[#This Row],[YearsAtCompany]]&lt;=5,"4-5 Years",Table1[[#This Row],[YearsAtCompany]]&gt;5,"&gt;5 Years")</f>
        <v>&gt;5 Years</v>
      </c>
    </row>
    <row r="449" spans="1:39" x14ac:dyDescent="0.45">
      <c r="A449">
        <v>35</v>
      </c>
      <c r="B449" t="s">
        <v>43</v>
      </c>
      <c r="C449" t="s">
        <v>64</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_xlfn.IFS(Table1[[#This Row],[Age]]&lt;30,"Young",Table1[[#This Row],[Age]]&lt;=40,"Adult",Table1[[#This Row],[Age]]&gt;40,"Senior")</f>
        <v>Adult</v>
      </c>
      <c r="AK449" t="str" cm="1">
        <f t="array" ref="AK449">_xlfn.IFS(Table1[[#This Row],[MonthlyIncome]]&lt;5000,"Low",Table1[[#This Row],[MonthlyIncome]]&lt;10000,"Medium",Table1[[#This Row],[MonthlyIncome]]&gt;10000,"High")</f>
        <v>Low</v>
      </c>
      <c r="AL449" t="str" cm="1">
        <f t="array" ref="AL449">_xlfn.IFS(Table1[[#This Row],[Attrition]]="Yes","Resigned",Table1[[#This Row],[Attrition]]="No","Active")</f>
        <v>Active</v>
      </c>
      <c r="AM449" t="str" cm="1">
        <f t="array" ref="AM449">_xlfn.IFS(Table1[[#This Row],[YearsAtCompany]]&lt;=1,"0-1 Year",Table1[[#This Row],[YearsAtCompany]]&lt;=2,"1-2 Years",Table1[[#This Row],[YearsAtCompany]]&lt;=3,"2-3 Years",Table1[[#This Row],[YearsAtCompany]]&lt;=4,"3-4 Years",Table1[[#This Row],[YearsAtCompany]]&lt;=5,"4-5 Years",Table1[[#This Row],[YearsAtCompany]]&gt;5,"&gt;5 Years")</f>
        <v>&gt;5 Years</v>
      </c>
    </row>
    <row r="450" spans="1:39" hidden="1" x14ac:dyDescent="0.45">
      <c r="A450">
        <v>40</v>
      </c>
      <c r="B450" t="s">
        <v>43</v>
      </c>
      <c r="C450" t="s">
        <v>64</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_xlfn.IFS(Table1[[#This Row],[Age]]&lt;30,"Young",Table1[[#This Row],[Age]]&lt;=40,"Adult",Table1[[#This Row],[Age]]&gt;40,"Senior")</f>
        <v>Adult</v>
      </c>
      <c r="AK450" t="str" cm="1">
        <f t="array" ref="AK450">_xlfn.IFS(Table1[[#This Row],[MonthlyIncome]]&lt;5000,"Low",Table1[[#This Row],[MonthlyIncome]]&lt;10000,"Medium",Table1[[#This Row],[MonthlyIncome]]&gt;10000,"High")</f>
        <v>High</v>
      </c>
      <c r="AL450" t="str" cm="1">
        <f t="array" ref="AL450">_xlfn.IFS(Table1[[#This Row],[Attrition]]="Yes","Resigned",Table1[[#This Row],[Attrition]]="No","Active")</f>
        <v>Active</v>
      </c>
      <c r="AM450" t="str" cm="1">
        <f t="array" ref="AM450">_xlfn.IFS(Table1[[#This Row],[YearsAtCompany]]&lt;=1,"0-1 Year",Table1[[#This Row],[YearsAtCompany]]&lt;=2,"1-2 Years",Table1[[#This Row],[YearsAtCompany]]&lt;=3,"2-3 Years",Table1[[#This Row],[YearsAtCompany]]&lt;=4,"3-4 Years",Table1[[#This Row],[YearsAtCompany]]&lt;=5,"4-5 Years",Table1[[#This Row],[YearsAtCompany]]&gt;5,"&gt;5 Years")</f>
        <v>&gt;5 Years</v>
      </c>
    </row>
    <row r="451" spans="1:39" hidden="1" x14ac:dyDescent="0.45">
      <c r="A451">
        <v>39</v>
      </c>
      <c r="B451" t="s">
        <v>43</v>
      </c>
      <c r="C451" t="s">
        <v>63</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_xlfn.IFS(Table1[[#This Row],[Age]]&lt;30,"Young",Table1[[#This Row],[Age]]&lt;=40,"Adult",Table1[[#This Row],[Age]]&gt;40,"Senior")</f>
        <v>Adult</v>
      </c>
      <c r="AK451" t="str" cm="1">
        <f t="array" ref="AK451">_xlfn.IFS(Table1[[#This Row],[MonthlyIncome]]&lt;5000,"Low",Table1[[#This Row],[MonthlyIncome]]&lt;10000,"Medium",Table1[[#This Row],[MonthlyIncome]]&gt;10000,"High")</f>
        <v>Low</v>
      </c>
      <c r="AL451" t="str" cm="1">
        <f t="array" ref="AL451">_xlfn.IFS(Table1[[#This Row],[Attrition]]="Yes","Resigned",Table1[[#This Row],[Attrition]]="No","Active")</f>
        <v>Active</v>
      </c>
      <c r="AM451" t="str" cm="1">
        <f t="array" ref="AM451">_xlfn.IFS(Table1[[#This Row],[YearsAtCompany]]&lt;=1,"0-1 Year",Table1[[#This Row],[YearsAtCompany]]&lt;=2,"1-2 Years",Table1[[#This Row],[YearsAtCompany]]&lt;=3,"2-3 Years",Table1[[#This Row],[YearsAtCompany]]&lt;=4,"3-4 Years",Table1[[#This Row],[YearsAtCompany]]&lt;=5,"4-5 Years",Table1[[#This Row],[YearsAtCompany]]&gt;5,"&gt;5 Years")</f>
        <v>&gt;5 Years</v>
      </c>
    </row>
    <row r="452" spans="1:39" x14ac:dyDescent="0.45">
      <c r="A452">
        <v>31</v>
      </c>
      <c r="B452" t="s">
        <v>43</v>
      </c>
      <c r="C452" t="s">
        <v>64</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_xlfn.IFS(Table1[[#This Row],[Age]]&lt;30,"Young",Table1[[#This Row],[Age]]&lt;=40,"Adult",Table1[[#This Row],[Age]]&gt;40,"Senior")</f>
        <v>Adult</v>
      </c>
      <c r="AK452" t="str" cm="1">
        <f t="array" ref="AK452">_xlfn.IFS(Table1[[#This Row],[MonthlyIncome]]&lt;5000,"Low",Table1[[#This Row],[MonthlyIncome]]&lt;10000,"Medium",Table1[[#This Row],[MonthlyIncome]]&gt;10000,"High")</f>
        <v>Medium</v>
      </c>
      <c r="AL452" t="str" cm="1">
        <f t="array" ref="AL452">_xlfn.IFS(Table1[[#This Row],[Attrition]]="Yes","Resigned",Table1[[#This Row],[Attrition]]="No","Active")</f>
        <v>Active</v>
      </c>
      <c r="AM452" t="str" cm="1">
        <f t="array" ref="AM452">_xlfn.IFS(Table1[[#This Row],[YearsAtCompany]]&lt;=1,"0-1 Year",Table1[[#This Row],[YearsAtCompany]]&lt;=2,"1-2 Years",Table1[[#This Row],[YearsAtCompany]]&lt;=3,"2-3 Years",Table1[[#This Row],[YearsAtCompany]]&lt;=4,"3-4 Years",Table1[[#This Row],[YearsAtCompany]]&lt;=5,"4-5 Years",Table1[[#This Row],[YearsAtCompany]]&gt;5,"&gt;5 Years")</f>
        <v>&gt;5 Years</v>
      </c>
    </row>
    <row r="453" spans="1:39" hidden="1" x14ac:dyDescent="0.45">
      <c r="A453">
        <v>42</v>
      </c>
      <c r="B453" t="s">
        <v>43</v>
      </c>
      <c r="C453" t="s">
        <v>64</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_xlfn.IFS(Table1[[#This Row],[Age]]&lt;30,"Young",Table1[[#This Row],[Age]]&lt;=40,"Adult",Table1[[#This Row],[Age]]&gt;40,"Senior")</f>
        <v>Senior</v>
      </c>
      <c r="AK453" t="str" cm="1">
        <f t="array" ref="AK453">_xlfn.IFS(Table1[[#This Row],[MonthlyIncome]]&lt;5000,"Low",Table1[[#This Row],[MonthlyIncome]]&lt;10000,"Medium",Table1[[#This Row],[MonthlyIncome]]&gt;10000,"High")</f>
        <v>Medium</v>
      </c>
      <c r="AL453" t="str" cm="1">
        <f t="array" ref="AL453">_xlfn.IFS(Table1[[#This Row],[Attrition]]="Yes","Resigned",Table1[[#This Row],[Attrition]]="No","Active")</f>
        <v>Active</v>
      </c>
      <c r="AM453" t="str" cm="1">
        <f t="array" ref="AM453">_xlfn.IFS(Table1[[#This Row],[YearsAtCompany]]&lt;=1,"0-1 Year",Table1[[#This Row],[YearsAtCompany]]&lt;=2,"1-2 Years",Table1[[#This Row],[YearsAtCompany]]&lt;=3,"2-3 Years",Table1[[#This Row],[YearsAtCompany]]&lt;=4,"3-4 Years",Table1[[#This Row],[YearsAtCompany]]&lt;=5,"4-5 Years",Table1[[#This Row],[YearsAtCompany]]&gt;5,"&gt;5 Years")</f>
        <v>&gt;5 Years</v>
      </c>
    </row>
    <row r="454" spans="1:39" x14ac:dyDescent="0.45">
      <c r="A454">
        <v>45</v>
      </c>
      <c r="B454" t="s">
        <v>43</v>
      </c>
      <c r="C454" t="s">
        <v>64</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_xlfn.IFS(Table1[[#This Row],[Age]]&lt;30,"Young",Table1[[#This Row],[Age]]&lt;=40,"Adult",Table1[[#This Row],[Age]]&gt;40,"Senior")</f>
        <v>Senior</v>
      </c>
      <c r="AK454" t="str" cm="1">
        <f t="array" ref="AK454">_xlfn.IFS(Table1[[#This Row],[MonthlyIncome]]&lt;5000,"Low",Table1[[#This Row],[MonthlyIncome]]&lt;10000,"Medium",Table1[[#This Row],[MonthlyIncome]]&gt;10000,"High")</f>
        <v>Low</v>
      </c>
      <c r="AL454" t="str" cm="1">
        <f t="array" ref="AL454">_xlfn.IFS(Table1[[#This Row],[Attrition]]="Yes","Resigned",Table1[[#This Row],[Attrition]]="No","Active")</f>
        <v>Active</v>
      </c>
      <c r="AM454" t="str" cm="1">
        <f t="array" ref="AM454">_xlfn.IFS(Table1[[#This Row],[YearsAtCompany]]&lt;=1,"0-1 Year",Table1[[#This Row],[YearsAtCompany]]&lt;=2,"1-2 Years",Table1[[#This Row],[YearsAtCompany]]&lt;=3,"2-3 Years",Table1[[#This Row],[YearsAtCompany]]&lt;=4,"3-4 Years",Table1[[#This Row],[YearsAtCompany]]&lt;=5,"4-5 Years",Table1[[#This Row],[YearsAtCompany]]&gt;5,"&gt;5 Years")</f>
        <v>&gt;5 Years</v>
      </c>
    </row>
    <row r="455" spans="1:39" hidden="1" x14ac:dyDescent="0.45">
      <c r="A455">
        <v>26</v>
      </c>
      <c r="B455" t="s">
        <v>35</v>
      </c>
      <c r="C455" t="s">
        <v>63</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_xlfn.IFS(Table1[[#This Row],[Age]]&lt;30,"Young",Table1[[#This Row],[Age]]&lt;=40,"Adult",Table1[[#This Row],[Age]]&gt;40,"Senior")</f>
        <v>Young</v>
      </c>
      <c r="AK455" t="str" cm="1">
        <f t="array" ref="AK455">_xlfn.IFS(Table1[[#This Row],[MonthlyIncome]]&lt;5000,"Low",Table1[[#This Row],[MonthlyIncome]]&lt;10000,"Medium",Table1[[#This Row],[MonthlyIncome]]&gt;10000,"High")</f>
        <v>Low</v>
      </c>
      <c r="AL455" t="str" cm="1">
        <f t="array" ref="AL455">_xlfn.IFS(Table1[[#This Row],[Attrition]]="Yes","Resigned",Table1[[#This Row],[Attrition]]="No","Active")</f>
        <v>Resigned</v>
      </c>
      <c r="AM455" t="str" cm="1">
        <f t="array" ref="AM455">_xlfn.IFS(Table1[[#This Row],[YearsAtCompany]]&lt;=1,"0-1 Year",Table1[[#This Row],[YearsAtCompany]]&lt;=2,"1-2 Years",Table1[[#This Row],[YearsAtCompany]]&lt;=3,"2-3 Years",Table1[[#This Row],[YearsAtCompany]]&lt;=4,"3-4 Years",Table1[[#This Row],[YearsAtCompany]]&lt;=5,"4-5 Years",Table1[[#This Row],[YearsAtCompany]]&gt;5,"&gt;5 Years")</f>
        <v>&gt;5 Years</v>
      </c>
    </row>
    <row r="456" spans="1:39" hidden="1" x14ac:dyDescent="0.45">
      <c r="A456">
        <v>29</v>
      </c>
      <c r="B456" t="s">
        <v>43</v>
      </c>
      <c r="C456" t="s">
        <v>64</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_xlfn.IFS(Table1[[#This Row],[Age]]&lt;30,"Young",Table1[[#This Row],[Age]]&lt;=40,"Adult",Table1[[#This Row],[Age]]&gt;40,"Senior")</f>
        <v>Young</v>
      </c>
      <c r="AK456" t="str" cm="1">
        <f t="array" ref="AK456">_xlfn.IFS(Table1[[#This Row],[MonthlyIncome]]&lt;5000,"Low",Table1[[#This Row],[MonthlyIncome]]&lt;10000,"Medium",Table1[[#This Row],[MonthlyIncome]]&gt;10000,"High")</f>
        <v>Low</v>
      </c>
      <c r="AL456" t="str" cm="1">
        <f t="array" ref="AL456">_xlfn.IFS(Table1[[#This Row],[Attrition]]="Yes","Resigned",Table1[[#This Row],[Attrition]]="No","Active")</f>
        <v>Active</v>
      </c>
      <c r="AM456" t="str" cm="1">
        <f t="array" ref="AM456">_xlfn.IFS(Table1[[#This Row],[YearsAtCompany]]&lt;=1,"0-1 Year",Table1[[#This Row],[YearsAtCompany]]&lt;=2,"1-2 Years",Table1[[#This Row],[YearsAtCompany]]&lt;=3,"2-3 Years",Table1[[#This Row],[YearsAtCompany]]&lt;=4,"3-4 Years",Table1[[#This Row],[YearsAtCompany]]&lt;=5,"4-5 Years",Table1[[#This Row],[YearsAtCompany]]&gt;5,"&gt;5 Years")</f>
        <v>2-3 Years</v>
      </c>
    </row>
    <row r="457" spans="1:39" hidden="1" x14ac:dyDescent="0.45">
      <c r="A457">
        <v>33</v>
      </c>
      <c r="B457" t="s">
        <v>43</v>
      </c>
      <c r="C457" t="s">
        <v>64</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_xlfn.IFS(Table1[[#This Row],[Age]]&lt;30,"Young",Table1[[#This Row],[Age]]&lt;=40,"Adult",Table1[[#This Row],[Age]]&gt;40,"Senior")</f>
        <v>Adult</v>
      </c>
      <c r="AK457" t="str" cm="1">
        <f t="array" ref="AK457">_xlfn.IFS(Table1[[#This Row],[MonthlyIncome]]&lt;5000,"Low",Table1[[#This Row],[MonthlyIncome]]&lt;10000,"Medium",Table1[[#This Row],[MonthlyIncome]]&gt;10000,"High")</f>
        <v>High</v>
      </c>
      <c r="AL457" t="str" cm="1">
        <f t="array" ref="AL457">_xlfn.IFS(Table1[[#This Row],[Attrition]]="Yes","Resigned",Table1[[#This Row],[Attrition]]="No","Active")</f>
        <v>Active</v>
      </c>
      <c r="AM457" t="str" cm="1">
        <f t="array" ref="AM457">_xlfn.IFS(Table1[[#This Row],[YearsAtCompany]]&lt;=1,"0-1 Year",Table1[[#This Row],[YearsAtCompany]]&lt;=2,"1-2 Years",Table1[[#This Row],[YearsAtCompany]]&lt;=3,"2-3 Years",Table1[[#This Row],[YearsAtCompany]]&lt;=4,"3-4 Years",Table1[[#This Row],[YearsAtCompany]]&lt;=5,"4-5 Years",Table1[[#This Row],[YearsAtCompany]]&gt;5,"&gt;5 Years")</f>
        <v>&gt;5 Years</v>
      </c>
    </row>
    <row r="458" spans="1:39" x14ac:dyDescent="0.45">
      <c r="A458">
        <v>31</v>
      </c>
      <c r="B458" t="s">
        <v>43</v>
      </c>
      <c r="C458" t="s">
        <v>64</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_xlfn.IFS(Table1[[#This Row],[Age]]&lt;30,"Young",Table1[[#This Row],[Age]]&lt;=40,"Adult",Table1[[#This Row],[Age]]&gt;40,"Senior")</f>
        <v>Adult</v>
      </c>
      <c r="AK458" t="str" cm="1">
        <f t="array" ref="AK458">_xlfn.IFS(Table1[[#This Row],[MonthlyIncome]]&lt;5000,"Low",Table1[[#This Row],[MonthlyIncome]]&lt;10000,"Medium",Table1[[#This Row],[MonthlyIncome]]&gt;10000,"High")</f>
        <v>High</v>
      </c>
      <c r="AL458" t="str" cm="1">
        <f t="array" ref="AL458">_xlfn.IFS(Table1[[#This Row],[Attrition]]="Yes","Resigned",Table1[[#This Row],[Attrition]]="No","Active")</f>
        <v>Active</v>
      </c>
      <c r="AM458" t="str" cm="1">
        <f t="array" ref="AM458">_xlfn.IFS(Table1[[#This Row],[YearsAtCompany]]&lt;=1,"0-1 Year",Table1[[#This Row],[YearsAtCompany]]&lt;=2,"1-2 Years",Table1[[#This Row],[YearsAtCompany]]&lt;=3,"2-3 Years",Table1[[#This Row],[YearsAtCompany]]&lt;=4,"3-4 Years",Table1[[#This Row],[YearsAtCompany]]&lt;=5,"4-5 Years",Table1[[#This Row],[YearsAtCompany]]&gt;5,"&gt;5 Years")</f>
        <v>4-5 Years</v>
      </c>
    </row>
    <row r="459" spans="1:39" x14ac:dyDescent="0.45">
      <c r="A459">
        <v>18</v>
      </c>
      <c r="B459" t="s">
        <v>35</v>
      </c>
      <c r="C459" t="s">
        <v>63</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_xlfn.IFS(Table1[[#This Row],[Age]]&lt;30,"Young",Table1[[#This Row],[Age]]&lt;=40,"Adult",Table1[[#This Row],[Age]]&gt;40,"Senior")</f>
        <v>Young</v>
      </c>
      <c r="AK459" t="str" cm="1">
        <f t="array" ref="AK459">_xlfn.IFS(Table1[[#This Row],[MonthlyIncome]]&lt;5000,"Low",Table1[[#This Row],[MonthlyIncome]]&lt;10000,"Medium",Table1[[#This Row],[MonthlyIncome]]&gt;10000,"High")</f>
        <v>Low</v>
      </c>
      <c r="AL459" t="str" cm="1">
        <f t="array" ref="AL459">_xlfn.IFS(Table1[[#This Row],[Attrition]]="Yes","Resigned",Table1[[#This Row],[Attrition]]="No","Active")</f>
        <v>Resigned</v>
      </c>
      <c r="AM459" t="str" cm="1">
        <f t="array" ref="AM459">_xlfn.IFS(Table1[[#This Row],[YearsAtCompany]]&lt;=1,"0-1 Year",Table1[[#This Row],[YearsAtCompany]]&lt;=2,"1-2 Years",Table1[[#This Row],[YearsAtCompany]]&lt;=3,"2-3 Years",Table1[[#This Row],[YearsAtCompany]]&lt;=4,"3-4 Years",Table1[[#This Row],[YearsAtCompany]]&lt;=5,"4-5 Years",Table1[[#This Row],[YearsAtCompany]]&gt;5,"&gt;5 Years")</f>
        <v>0-1 Year</v>
      </c>
    </row>
    <row r="460" spans="1:39" x14ac:dyDescent="0.45">
      <c r="A460">
        <v>40</v>
      </c>
      <c r="B460" t="s">
        <v>43</v>
      </c>
      <c r="C460" t="s">
        <v>62</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_xlfn.IFS(Table1[[#This Row],[Age]]&lt;30,"Young",Table1[[#This Row],[Age]]&lt;=40,"Adult",Table1[[#This Row],[Age]]&gt;40,"Senior")</f>
        <v>Adult</v>
      </c>
      <c r="AK460" t="str" cm="1">
        <f t="array" ref="AK460">_xlfn.IFS(Table1[[#This Row],[MonthlyIncome]]&lt;5000,"Low",Table1[[#This Row],[MonthlyIncome]]&lt;10000,"Medium",Table1[[#This Row],[MonthlyIncome]]&gt;10000,"High")</f>
        <v>High</v>
      </c>
      <c r="AL460" t="str" cm="1">
        <f t="array" ref="AL460">_xlfn.IFS(Table1[[#This Row],[Attrition]]="Yes","Resigned",Table1[[#This Row],[Attrition]]="No","Active")</f>
        <v>Active</v>
      </c>
      <c r="AM460" t="str" cm="1">
        <f t="array" ref="AM460">_xlfn.IFS(Table1[[#This Row],[YearsAtCompany]]&lt;=1,"0-1 Year",Table1[[#This Row],[YearsAtCompany]]&lt;=2,"1-2 Years",Table1[[#This Row],[YearsAtCompany]]&lt;=3,"2-3 Years",Table1[[#This Row],[YearsAtCompany]]&lt;=4,"3-4 Years",Table1[[#This Row],[YearsAtCompany]]&lt;=5,"4-5 Years",Table1[[#This Row],[YearsAtCompany]]&gt;5,"&gt;5 Years")</f>
        <v>0-1 Year</v>
      </c>
    </row>
    <row r="461" spans="1:39" hidden="1" x14ac:dyDescent="0.45">
      <c r="A461">
        <v>41</v>
      </c>
      <c r="B461" t="s">
        <v>43</v>
      </c>
      <c r="C461" t="s">
        <v>62</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_xlfn.IFS(Table1[[#This Row],[Age]]&lt;30,"Young",Table1[[#This Row],[Age]]&lt;=40,"Adult",Table1[[#This Row],[Age]]&gt;40,"Senior")</f>
        <v>Senior</v>
      </c>
      <c r="AK461" t="str" cm="1">
        <f t="array" ref="AK461">_xlfn.IFS(Table1[[#This Row],[MonthlyIncome]]&lt;5000,"Low",Table1[[#This Row],[MonthlyIncome]]&lt;10000,"Medium",Table1[[#This Row],[MonthlyIncome]]&gt;10000,"High")</f>
        <v>Medium</v>
      </c>
      <c r="AL461" t="str" cm="1">
        <f t="array" ref="AL461">_xlfn.IFS(Table1[[#This Row],[Attrition]]="Yes","Resigned",Table1[[#This Row],[Attrition]]="No","Active")</f>
        <v>Active</v>
      </c>
      <c r="AM461" t="str" cm="1">
        <f t="array" ref="AM461">_xlfn.IFS(Table1[[#This Row],[YearsAtCompany]]&lt;=1,"0-1 Year",Table1[[#This Row],[YearsAtCompany]]&lt;=2,"1-2 Years",Table1[[#This Row],[YearsAtCompany]]&lt;=3,"2-3 Years",Table1[[#This Row],[YearsAtCompany]]&lt;=4,"3-4 Years",Table1[[#This Row],[YearsAtCompany]]&lt;=5,"4-5 Years",Table1[[#This Row],[YearsAtCompany]]&gt;5,"&gt;5 Years")</f>
        <v>&gt;5 Years</v>
      </c>
    </row>
    <row r="462" spans="1:39" x14ac:dyDescent="0.45">
      <c r="A462">
        <v>26</v>
      </c>
      <c r="B462" t="s">
        <v>43</v>
      </c>
      <c r="C462" t="s">
        <v>64</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_xlfn.IFS(Table1[[#This Row],[Age]]&lt;30,"Young",Table1[[#This Row],[Age]]&lt;=40,"Adult",Table1[[#This Row],[Age]]&gt;40,"Senior")</f>
        <v>Young</v>
      </c>
      <c r="AK462" t="str" cm="1">
        <f t="array" ref="AK462">_xlfn.IFS(Table1[[#This Row],[MonthlyIncome]]&lt;5000,"Low",Table1[[#This Row],[MonthlyIncome]]&lt;10000,"Medium",Table1[[#This Row],[MonthlyIncome]]&gt;10000,"High")</f>
        <v>Low</v>
      </c>
      <c r="AL462" t="str" cm="1">
        <f t="array" ref="AL462">_xlfn.IFS(Table1[[#This Row],[Attrition]]="Yes","Resigned",Table1[[#This Row],[Attrition]]="No","Active")</f>
        <v>Active</v>
      </c>
      <c r="AM462" t="str" cm="1">
        <f t="array" ref="AM462">_xlfn.IFS(Table1[[#This Row],[YearsAtCompany]]&lt;=1,"0-1 Year",Table1[[#This Row],[YearsAtCompany]]&lt;=2,"1-2 Years",Table1[[#This Row],[YearsAtCompany]]&lt;=3,"2-3 Years",Table1[[#This Row],[YearsAtCompany]]&lt;=4,"3-4 Years",Table1[[#This Row],[YearsAtCompany]]&lt;=5,"4-5 Years",Table1[[#This Row],[YearsAtCompany]]&gt;5,"&gt;5 Years")</f>
        <v>0-1 Year</v>
      </c>
    </row>
    <row r="463" spans="1:39" x14ac:dyDescent="0.45">
      <c r="A463">
        <v>35</v>
      </c>
      <c r="B463" t="s">
        <v>43</v>
      </c>
      <c r="C463" t="s">
        <v>64</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_xlfn.IFS(Table1[[#This Row],[Age]]&lt;30,"Young",Table1[[#This Row],[Age]]&lt;=40,"Adult",Table1[[#This Row],[Age]]&gt;40,"Senior")</f>
        <v>Adult</v>
      </c>
      <c r="AK463" t="str" cm="1">
        <f t="array" ref="AK463">_xlfn.IFS(Table1[[#This Row],[MonthlyIncome]]&lt;5000,"Low",Table1[[#This Row],[MonthlyIncome]]&lt;10000,"Medium",Table1[[#This Row],[MonthlyIncome]]&gt;10000,"High")</f>
        <v>Low</v>
      </c>
      <c r="AL463" t="str" cm="1">
        <f t="array" ref="AL463">_xlfn.IFS(Table1[[#This Row],[Attrition]]="Yes","Resigned",Table1[[#This Row],[Attrition]]="No","Active")</f>
        <v>Active</v>
      </c>
      <c r="AM463" t="str" cm="1">
        <f t="array" ref="AM463">_xlfn.IFS(Table1[[#This Row],[YearsAtCompany]]&lt;=1,"0-1 Year",Table1[[#This Row],[YearsAtCompany]]&lt;=2,"1-2 Years",Table1[[#This Row],[YearsAtCompany]]&lt;=3,"2-3 Years",Table1[[#This Row],[YearsAtCompany]]&lt;=4,"3-4 Years",Table1[[#This Row],[YearsAtCompany]]&lt;=5,"4-5 Years",Table1[[#This Row],[YearsAtCompany]]&gt;5,"&gt;5 Years")</f>
        <v>4-5 Years</v>
      </c>
    </row>
    <row r="464" spans="1:39" x14ac:dyDescent="0.45">
      <c r="A464">
        <v>34</v>
      </c>
      <c r="B464" t="s">
        <v>43</v>
      </c>
      <c r="C464" t="s">
        <v>64</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_xlfn.IFS(Table1[[#This Row],[Age]]&lt;30,"Young",Table1[[#This Row],[Age]]&lt;=40,"Adult",Table1[[#This Row],[Age]]&gt;40,"Senior")</f>
        <v>Adult</v>
      </c>
      <c r="AK464" t="str" cm="1">
        <f t="array" ref="AK464">_xlfn.IFS(Table1[[#This Row],[MonthlyIncome]]&lt;5000,"Low",Table1[[#This Row],[MonthlyIncome]]&lt;10000,"Medium",Table1[[#This Row],[MonthlyIncome]]&gt;10000,"High")</f>
        <v>Medium</v>
      </c>
      <c r="AL464" t="str" cm="1">
        <f t="array" ref="AL464">_xlfn.IFS(Table1[[#This Row],[Attrition]]="Yes","Resigned",Table1[[#This Row],[Attrition]]="No","Active")</f>
        <v>Active</v>
      </c>
      <c r="AM464" t="str" cm="1">
        <f t="array" ref="AM464">_xlfn.IFS(Table1[[#This Row],[YearsAtCompany]]&lt;=1,"0-1 Year",Table1[[#This Row],[YearsAtCompany]]&lt;=2,"1-2 Years",Table1[[#This Row],[YearsAtCompany]]&lt;=3,"2-3 Years",Table1[[#This Row],[YearsAtCompany]]&lt;=4,"3-4 Years",Table1[[#This Row],[YearsAtCompany]]&lt;=5,"4-5 Years",Table1[[#This Row],[YearsAtCompany]]&gt;5,"&gt;5 Years")</f>
        <v>&gt;5 Years</v>
      </c>
    </row>
    <row r="465" spans="1:39" hidden="1" x14ac:dyDescent="0.45">
      <c r="A465">
        <v>26</v>
      </c>
      <c r="B465" t="s">
        <v>35</v>
      </c>
      <c r="C465" t="s">
        <v>64</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_xlfn.IFS(Table1[[#This Row],[Age]]&lt;30,"Young",Table1[[#This Row],[Age]]&lt;=40,"Adult",Table1[[#This Row],[Age]]&gt;40,"Senior")</f>
        <v>Young</v>
      </c>
      <c r="AK465" t="str" cm="1">
        <f t="array" ref="AK465">_xlfn.IFS(Table1[[#This Row],[MonthlyIncome]]&lt;5000,"Low",Table1[[#This Row],[MonthlyIncome]]&lt;10000,"Medium",Table1[[#This Row],[MonthlyIncome]]&gt;10000,"High")</f>
        <v>Low</v>
      </c>
      <c r="AL465" t="str" cm="1">
        <f t="array" ref="AL465">_xlfn.IFS(Table1[[#This Row],[Attrition]]="Yes","Resigned",Table1[[#This Row],[Attrition]]="No","Active")</f>
        <v>Resigned</v>
      </c>
      <c r="AM465" t="str" cm="1">
        <f t="array" ref="AM465">_xlfn.IFS(Table1[[#This Row],[YearsAtCompany]]&lt;=1,"0-1 Year",Table1[[#This Row],[YearsAtCompany]]&lt;=2,"1-2 Years",Table1[[#This Row],[YearsAtCompany]]&lt;=3,"2-3 Years",Table1[[#This Row],[YearsAtCompany]]&lt;=4,"3-4 Years",Table1[[#This Row],[YearsAtCompany]]&lt;=5,"4-5 Years",Table1[[#This Row],[YearsAtCompany]]&gt;5,"&gt;5 Years")</f>
        <v>0-1 Year</v>
      </c>
    </row>
    <row r="466" spans="1:39" hidden="1" x14ac:dyDescent="0.45">
      <c r="A466">
        <v>37</v>
      </c>
      <c r="B466" t="s">
        <v>43</v>
      </c>
      <c r="C466" t="s">
        <v>64</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_xlfn.IFS(Table1[[#This Row],[Age]]&lt;30,"Young",Table1[[#This Row],[Age]]&lt;=40,"Adult",Table1[[#This Row],[Age]]&gt;40,"Senior")</f>
        <v>Adult</v>
      </c>
      <c r="AK466" t="str" cm="1">
        <f t="array" ref="AK466">_xlfn.IFS(Table1[[#This Row],[MonthlyIncome]]&lt;5000,"Low",Table1[[#This Row],[MonthlyIncome]]&lt;10000,"Medium",Table1[[#This Row],[MonthlyIncome]]&gt;10000,"High")</f>
        <v>Medium</v>
      </c>
      <c r="AL466" t="str" cm="1">
        <f t="array" ref="AL466">_xlfn.IFS(Table1[[#This Row],[Attrition]]="Yes","Resigned",Table1[[#This Row],[Attrition]]="No","Active")</f>
        <v>Active</v>
      </c>
      <c r="AM466" t="str" cm="1">
        <f t="array" ref="AM466">_xlfn.IFS(Table1[[#This Row],[YearsAtCompany]]&lt;=1,"0-1 Year",Table1[[#This Row],[YearsAtCompany]]&lt;=2,"1-2 Years",Table1[[#This Row],[YearsAtCompany]]&lt;=3,"2-3 Years",Table1[[#This Row],[YearsAtCompany]]&lt;=4,"3-4 Years",Table1[[#This Row],[YearsAtCompany]]&lt;=5,"4-5 Years",Table1[[#This Row],[YearsAtCompany]]&gt;5,"&gt;5 Years")</f>
        <v>&gt;5 Years</v>
      </c>
    </row>
    <row r="467" spans="1:39" hidden="1" x14ac:dyDescent="0.45">
      <c r="A467">
        <v>46</v>
      </c>
      <c r="B467" t="s">
        <v>43</v>
      </c>
      <c r="C467" t="s">
        <v>63</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_xlfn.IFS(Table1[[#This Row],[Age]]&lt;30,"Young",Table1[[#This Row],[Age]]&lt;=40,"Adult",Table1[[#This Row],[Age]]&gt;40,"Senior")</f>
        <v>Senior</v>
      </c>
      <c r="AK467" t="str" cm="1">
        <f t="array" ref="AK467">_xlfn.IFS(Table1[[#This Row],[MonthlyIncome]]&lt;5000,"Low",Table1[[#This Row],[MonthlyIncome]]&lt;10000,"Medium",Table1[[#This Row],[MonthlyIncome]]&gt;10000,"High")</f>
        <v>High</v>
      </c>
      <c r="AL467" t="str" cm="1">
        <f t="array" ref="AL467">_xlfn.IFS(Table1[[#This Row],[Attrition]]="Yes","Resigned",Table1[[#This Row],[Attrition]]="No","Active")</f>
        <v>Active</v>
      </c>
      <c r="AM467" t="str" cm="1">
        <f t="array" ref="AM467">_xlfn.IFS(Table1[[#This Row],[YearsAtCompany]]&lt;=1,"0-1 Year",Table1[[#This Row],[YearsAtCompany]]&lt;=2,"1-2 Years",Table1[[#This Row],[YearsAtCompany]]&lt;=3,"2-3 Years",Table1[[#This Row],[YearsAtCompany]]&lt;=4,"3-4 Years",Table1[[#This Row],[YearsAtCompany]]&lt;=5,"4-5 Years",Table1[[#This Row],[YearsAtCompany]]&gt;5,"&gt;5 Years")</f>
        <v>1-2 Years</v>
      </c>
    </row>
    <row r="468" spans="1:39" x14ac:dyDescent="0.45">
      <c r="A468">
        <v>41</v>
      </c>
      <c r="B468" t="s">
        <v>43</v>
      </c>
      <c r="C468" t="s">
        <v>64</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_xlfn.IFS(Table1[[#This Row],[Age]]&lt;30,"Young",Table1[[#This Row],[Age]]&lt;=40,"Adult",Table1[[#This Row],[Age]]&gt;40,"Senior")</f>
        <v>Senior</v>
      </c>
      <c r="AK468" t="str" cm="1">
        <f t="array" ref="AK468">_xlfn.IFS(Table1[[#This Row],[MonthlyIncome]]&lt;5000,"Low",Table1[[#This Row],[MonthlyIncome]]&lt;10000,"Medium",Table1[[#This Row],[MonthlyIncome]]&gt;10000,"High")</f>
        <v>High</v>
      </c>
      <c r="AL468" t="str" cm="1">
        <f t="array" ref="AL468">_xlfn.IFS(Table1[[#This Row],[Attrition]]="Yes","Resigned",Table1[[#This Row],[Attrition]]="No","Active")</f>
        <v>Active</v>
      </c>
      <c r="AM468" t="str" cm="1">
        <f t="array" ref="AM468">_xlfn.IFS(Table1[[#This Row],[YearsAtCompany]]&lt;=1,"0-1 Year",Table1[[#This Row],[YearsAtCompany]]&lt;=2,"1-2 Years",Table1[[#This Row],[YearsAtCompany]]&lt;=3,"2-3 Years",Table1[[#This Row],[YearsAtCompany]]&lt;=4,"3-4 Years",Table1[[#This Row],[YearsAtCompany]]&lt;=5,"4-5 Years",Table1[[#This Row],[YearsAtCompany]]&gt;5,"&gt;5 Years")</f>
        <v>&gt;5 Years</v>
      </c>
    </row>
    <row r="469" spans="1:39" x14ac:dyDescent="0.45">
      <c r="A469">
        <v>37</v>
      </c>
      <c r="B469" t="s">
        <v>43</v>
      </c>
      <c r="C469" t="s">
        <v>62</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_xlfn.IFS(Table1[[#This Row],[Age]]&lt;30,"Young",Table1[[#This Row],[Age]]&lt;=40,"Adult",Table1[[#This Row],[Age]]&gt;40,"Senior")</f>
        <v>Adult</v>
      </c>
      <c r="AK469" t="str" cm="1">
        <f t="array" ref="AK469">_xlfn.IFS(Table1[[#This Row],[MonthlyIncome]]&lt;5000,"Low",Table1[[#This Row],[MonthlyIncome]]&lt;10000,"Medium",Table1[[#This Row],[MonthlyIncome]]&gt;10000,"High")</f>
        <v>Medium</v>
      </c>
      <c r="AL469" t="str" cm="1">
        <f t="array" ref="AL469">_xlfn.IFS(Table1[[#This Row],[Attrition]]="Yes","Resigned",Table1[[#This Row],[Attrition]]="No","Active")</f>
        <v>Active</v>
      </c>
      <c r="AM469" t="str" cm="1">
        <f t="array" ref="AM469">_xlfn.IFS(Table1[[#This Row],[YearsAtCompany]]&lt;=1,"0-1 Year",Table1[[#This Row],[YearsAtCompany]]&lt;=2,"1-2 Years",Table1[[#This Row],[YearsAtCompany]]&lt;=3,"2-3 Years",Table1[[#This Row],[YearsAtCompany]]&lt;=4,"3-4 Years",Table1[[#This Row],[YearsAtCompany]]&lt;=5,"4-5 Years",Table1[[#This Row],[YearsAtCompany]]&gt;5,"&gt;5 Years")</f>
        <v>&gt;5 Years</v>
      </c>
    </row>
    <row r="470" spans="1:39" hidden="1" x14ac:dyDescent="0.45">
      <c r="A470">
        <v>52</v>
      </c>
      <c r="B470" t="s">
        <v>43</v>
      </c>
      <c r="C470" t="s">
        <v>64</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_xlfn.IFS(Table1[[#This Row],[Age]]&lt;30,"Young",Table1[[#This Row],[Age]]&lt;=40,"Adult",Table1[[#This Row],[Age]]&gt;40,"Senior")</f>
        <v>Senior</v>
      </c>
      <c r="AK470" t="str" cm="1">
        <f t="array" ref="AK470">_xlfn.IFS(Table1[[#This Row],[MonthlyIncome]]&lt;5000,"Low",Table1[[#This Row],[MonthlyIncome]]&lt;10000,"Medium",Table1[[#This Row],[MonthlyIncome]]&gt;10000,"High")</f>
        <v>Medium</v>
      </c>
      <c r="AL470" t="str" cm="1">
        <f t="array" ref="AL470">_xlfn.IFS(Table1[[#This Row],[Attrition]]="Yes","Resigned",Table1[[#This Row],[Attrition]]="No","Active")</f>
        <v>Active</v>
      </c>
      <c r="AM470" t="str" cm="1">
        <f t="array" ref="AM470">_xlfn.IFS(Table1[[#This Row],[YearsAtCompany]]&lt;=1,"0-1 Year",Table1[[#This Row],[YearsAtCompany]]&lt;=2,"1-2 Years",Table1[[#This Row],[YearsAtCompany]]&lt;=3,"2-3 Years",Table1[[#This Row],[YearsAtCompany]]&lt;=4,"3-4 Years",Table1[[#This Row],[YearsAtCompany]]&lt;=5,"4-5 Years",Table1[[#This Row],[YearsAtCompany]]&gt;5,"&gt;5 Years")</f>
        <v>&gt;5 Years</v>
      </c>
    </row>
    <row r="471" spans="1:39" x14ac:dyDescent="0.45">
      <c r="A471">
        <v>32</v>
      </c>
      <c r="B471" t="s">
        <v>35</v>
      </c>
      <c r="C471" t="s">
        <v>62</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_xlfn.IFS(Table1[[#This Row],[Age]]&lt;30,"Young",Table1[[#This Row],[Age]]&lt;=40,"Adult",Table1[[#This Row],[Age]]&gt;40,"Senior")</f>
        <v>Adult</v>
      </c>
      <c r="AK471" t="str" cm="1">
        <f t="array" ref="AK471">_xlfn.IFS(Table1[[#This Row],[MonthlyIncome]]&lt;5000,"Low",Table1[[#This Row],[MonthlyIncome]]&lt;10000,"Medium",Table1[[#This Row],[MonthlyIncome]]&gt;10000,"High")</f>
        <v>Low</v>
      </c>
      <c r="AL471" t="str" cm="1">
        <f t="array" ref="AL471">_xlfn.IFS(Table1[[#This Row],[Attrition]]="Yes","Resigned",Table1[[#This Row],[Attrition]]="No","Active")</f>
        <v>Resigned</v>
      </c>
      <c r="AM471" t="str" cm="1">
        <f t="array" ref="AM471">_xlfn.IFS(Table1[[#This Row],[YearsAtCompany]]&lt;=1,"0-1 Year",Table1[[#This Row],[YearsAtCompany]]&lt;=2,"1-2 Years",Table1[[#This Row],[YearsAtCompany]]&lt;=3,"2-3 Years",Table1[[#This Row],[YearsAtCompany]]&lt;=4,"3-4 Years",Table1[[#This Row],[YearsAtCompany]]&lt;=5,"4-5 Years",Table1[[#This Row],[YearsAtCompany]]&gt;5,"&gt;5 Years")</f>
        <v>3-4 Years</v>
      </c>
    </row>
    <row r="472" spans="1:39" x14ac:dyDescent="0.45">
      <c r="A472">
        <v>24</v>
      </c>
      <c r="B472" t="s">
        <v>43</v>
      </c>
      <c r="C472" t="s">
        <v>63</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_xlfn.IFS(Table1[[#This Row],[Age]]&lt;30,"Young",Table1[[#This Row],[Age]]&lt;=40,"Adult",Table1[[#This Row],[Age]]&gt;40,"Senior")</f>
        <v>Young</v>
      </c>
      <c r="AK472" t="str" cm="1">
        <f t="array" ref="AK472">_xlfn.IFS(Table1[[#This Row],[MonthlyIncome]]&lt;5000,"Low",Table1[[#This Row],[MonthlyIncome]]&lt;10000,"Medium",Table1[[#This Row],[MonthlyIncome]]&gt;10000,"High")</f>
        <v>Low</v>
      </c>
      <c r="AL472" t="str" cm="1">
        <f t="array" ref="AL472">_xlfn.IFS(Table1[[#This Row],[Attrition]]="Yes","Resigned",Table1[[#This Row],[Attrition]]="No","Active")</f>
        <v>Active</v>
      </c>
      <c r="AM472" t="str" cm="1">
        <f t="array" ref="AM472">_xlfn.IFS(Table1[[#This Row],[YearsAtCompany]]&lt;=1,"0-1 Year",Table1[[#This Row],[YearsAtCompany]]&lt;=2,"1-2 Years",Table1[[#This Row],[YearsAtCompany]]&lt;=3,"2-3 Years",Table1[[#This Row],[YearsAtCompany]]&lt;=4,"3-4 Years",Table1[[#This Row],[YearsAtCompany]]&lt;=5,"4-5 Years",Table1[[#This Row],[YearsAtCompany]]&gt;5,"&gt;5 Years")</f>
        <v>1-2 Years</v>
      </c>
    </row>
    <row r="473" spans="1:39" hidden="1" x14ac:dyDescent="0.45">
      <c r="A473">
        <v>38</v>
      </c>
      <c r="B473" t="s">
        <v>43</v>
      </c>
      <c r="C473" t="s">
        <v>64</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_xlfn.IFS(Table1[[#This Row],[Age]]&lt;30,"Young",Table1[[#This Row],[Age]]&lt;=40,"Adult",Table1[[#This Row],[Age]]&gt;40,"Senior")</f>
        <v>Adult</v>
      </c>
      <c r="AK473" t="str" cm="1">
        <f t="array" ref="AK473">_xlfn.IFS(Table1[[#This Row],[MonthlyIncome]]&lt;5000,"Low",Table1[[#This Row],[MonthlyIncome]]&lt;10000,"Medium",Table1[[#This Row],[MonthlyIncome]]&gt;10000,"High")</f>
        <v>Medium</v>
      </c>
      <c r="AL473" t="str" cm="1">
        <f t="array" ref="AL473">_xlfn.IFS(Table1[[#This Row],[Attrition]]="Yes","Resigned",Table1[[#This Row],[Attrition]]="No","Active")</f>
        <v>Active</v>
      </c>
      <c r="AM473" t="str" cm="1">
        <f t="array" ref="AM473">_xlfn.IFS(Table1[[#This Row],[YearsAtCompany]]&lt;=1,"0-1 Year",Table1[[#This Row],[YearsAtCompany]]&lt;=2,"1-2 Years",Table1[[#This Row],[YearsAtCompany]]&lt;=3,"2-3 Years",Table1[[#This Row],[YearsAtCompany]]&lt;=4,"3-4 Years",Table1[[#This Row],[YearsAtCompany]]&lt;=5,"4-5 Years",Table1[[#This Row],[YearsAtCompany]]&gt;5,"&gt;5 Years")</f>
        <v>0-1 Year</v>
      </c>
    </row>
    <row r="474" spans="1:39" hidden="1" x14ac:dyDescent="0.45">
      <c r="A474">
        <v>37</v>
      </c>
      <c r="B474" t="s">
        <v>43</v>
      </c>
      <c r="C474" t="s">
        <v>64</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_xlfn.IFS(Table1[[#This Row],[Age]]&lt;30,"Young",Table1[[#This Row],[Age]]&lt;=40,"Adult",Table1[[#This Row],[Age]]&gt;40,"Senior")</f>
        <v>Adult</v>
      </c>
      <c r="AK474" t="str" cm="1">
        <f t="array" ref="AK474">_xlfn.IFS(Table1[[#This Row],[MonthlyIncome]]&lt;5000,"Low",Table1[[#This Row],[MonthlyIncome]]&lt;10000,"Medium",Table1[[#This Row],[MonthlyIncome]]&gt;10000,"High")</f>
        <v>Medium</v>
      </c>
      <c r="AL474" t="str" cm="1">
        <f t="array" ref="AL474">_xlfn.IFS(Table1[[#This Row],[Attrition]]="Yes","Resigned",Table1[[#This Row],[Attrition]]="No","Active")</f>
        <v>Active</v>
      </c>
      <c r="AM474" t="str" cm="1">
        <f t="array" ref="AM474">_xlfn.IFS(Table1[[#This Row],[YearsAtCompany]]&lt;=1,"0-1 Year",Table1[[#This Row],[YearsAtCompany]]&lt;=2,"1-2 Years",Table1[[#This Row],[YearsAtCompany]]&lt;=3,"2-3 Years",Table1[[#This Row],[YearsAtCompany]]&lt;=4,"3-4 Years",Table1[[#This Row],[YearsAtCompany]]&lt;=5,"4-5 Years",Table1[[#This Row],[YearsAtCompany]]&gt;5,"&gt;5 Years")</f>
        <v>&gt;5 Years</v>
      </c>
    </row>
    <row r="475" spans="1:39" hidden="1" x14ac:dyDescent="0.45">
      <c r="A475">
        <v>49</v>
      </c>
      <c r="B475" t="s">
        <v>43</v>
      </c>
      <c r="C475" t="s">
        <v>64</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_xlfn.IFS(Table1[[#This Row],[Age]]&lt;30,"Young",Table1[[#This Row],[Age]]&lt;=40,"Adult",Table1[[#This Row],[Age]]&gt;40,"Senior")</f>
        <v>Senior</v>
      </c>
      <c r="AK475" t="str" cm="1">
        <f t="array" ref="AK475">_xlfn.IFS(Table1[[#This Row],[MonthlyIncome]]&lt;5000,"Low",Table1[[#This Row],[MonthlyIncome]]&lt;10000,"Medium",Table1[[#This Row],[MonthlyIncome]]&gt;10000,"High")</f>
        <v>High</v>
      </c>
      <c r="AL475" t="str" cm="1">
        <f t="array" ref="AL475">_xlfn.IFS(Table1[[#This Row],[Attrition]]="Yes","Resigned",Table1[[#This Row],[Attrition]]="No","Active")</f>
        <v>Active</v>
      </c>
      <c r="AM475" t="str" cm="1">
        <f t="array" ref="AM475">_xlfn.IFS(Table1[[#This Row],[YearsAtCompany]]&lt;=1,"0-1 Year",Table1[[#This Row],[YearsAtCompany]]&lt;=2,"1-2 Years",Table1[[#This Row],[YearsAtCompany]]&lt;=3,"2-3 Years",Table1[[#This Row],[YearsAtCompany]]&lt;=4,"3-4 Years",Table1[[#This Row],[YearsAtCompany]]&lt;=5,"4-5 Years",Table1[[#This Row],[YearsAtCompany]]&gt;5,"&gt;5 Years")</f>
        <v>&gt;5 Years</v>
      </c>
    </row>
    <row r="476" spans="1:39" hidden="1" x14ac:dyDescent="0.45">
      <c r="A476">
        <v>24</v>
      </c>
      <c r="B476" t="s">
        <v>43</v>
      </c>
      <c r="C476" t="s">
        <v>64</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_xlfn.IFS(Table1[[#This Row],[Age]]&lt;30,"Young",Table1[[#This Row],[Age]]&lt;=40,"Adult",Table1[[#This Row],[Age]]&gt;40,"Senior")</f>
        <v>Young</v>
      </c>
      <c r="AK476" t="str" cm="1">
        <f t="array" ref="AK476">_xlfn.IFS(Table1[[#This Row],[MonthlyIncome]]&lt;5000,"Low",Table1[[#This Row],[MonthlyIncome]]&lt;10000,"Medium",Table1[[#This Row],[MonthlyIncome]]&gt;10000,"High")</f>
        <v>Low</v>
      </c>
      <c r="AL476" t="str" cm="1">
        <f t="array" ref="AL476">_xlfn.IFS(Table1[[#This Row],[Attrition]]="Yes","Resigned",Table1[[#This Row],[Attrition]]="No","Active")</f>
        <v>Active</v>
      </c>
      <c r="AM476" t="str" cm="1">
        <f t="array" ref="AM476">_xlfn.IFS(Table1[[#This Row],[YearsAtCompany]]&lt;=1,"0-1 Year",Table1[[#This Row],[YearsAtCompany]]&lt;=2,"1-2 Years",Table1[[#This Row],[YearsAtCompany]]&lt;=3,"2-3 Years",Table1[[#This Row],[YearsAtCompany]]&lt;=4,"3-4 Years",Table1[[#This Row],[YearsAtCompany]]&lt;=5,"4-5 Years",Table1[[#This Row],[YearsAtCompany]]&gt;5,"&gt;5 Years")</f>
        <v>&gt;5 Years</v>
      </c>
    </row>
    <row r="477" spans="1:39" x14ac:dyDescent="0.45">
      <c r="A477">
        <v>26</v>
      </c>
      <c r="B477" t="s">
        <v>43</v>
      </c>
      <c r="C477" t="s">
        <v>64</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_xlfn.IFS(Table1[[#This Row],[Age]]&lt;30,"Young",Table1[[#This Row],[Age]]&lt;=40,"Adult",Table1[[#This Row],[Age]]&gt;40,"Senior")</f>
        <v>Young</v>
      </c>
      <c r="AK477" t="str" cm="1">
        <f t="array" ref="AK477">_xlfn.IFS(Table1[[#This Row],[MonthlyIncome]]&lt;5000,"Low",Table1[[#This Row],[MonthlyIncome]]&lt;10000,"Medium",Table1[[#This Row],[MonthlyIncome]]&gt;10000,"High")</f>
        <v>Medium</v>
      </c>
      <c r="AL477" t="str" cm="1">
        <f t="array" ref="AL477">_xlfn.IFS(Table1[[#This Row],[Attrition]]="Yes","Resigned",Table1[[#This Row],[Attrition]]="No","Active")</f>
        <v>Active</v>
      </c>
      <c r="AM477" t="str" cm="1">
        <f t="array" ref="AM477">_xlfn.IFS(Table1[[#This Row],[YearsAtCompany]]&lt;=1,"0-1 Year",Table1[[#This Row],[YearsAtCompany]]&lt;=2,"1-2 Years",Table1[[#This Row],[YearsAtCompany]]&lt;=3,"2-3 Years",Table1[[#This Row],[YearsAtCompany]]&lt;=4,"3-4 Years",Table1[[#This Row],[YearsAtCompany]]&lt;=5,"4-5 Years",Table1[[#This Row],[YearsAtCompany]]&gt;5,"&gt;5 Years")</f>
        <v>4-5 Years</v>
      </c>
    </row>
    <row r="478" spans="1:39" hidden="1" x14ac:dyDescent="0.45">
      <c r="A478">
        <v>24</v>
      </c>
      <c r="B478" t="s">
        <v>43</v>
      </c>
      <c r="C478" t="s">
        <v>64</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_xlfn.IFS(Table1[[#This Row],[Age]]&lt;30,"Young",Table1[[#This Row],[Age]]&lt;=40,"Adult",Table1[[#This Row],[Age]]&gt;40,"Senior")</f>
        <v>Young</v>
      </c>
      <c r="AK478" t="str" cm="1">
        <f t="array" ref="AK478">_xlfn.IFS(Table1[[#This Row],[MonthlyIncome]]&lt;5000,"Low",Table1[[#This Row],[MonthlyIncome]]&lt;10000,"Medium",Table1[[#This Row],[MonthlyIncome]]&gt;10000,"High")</f>
        <v>Low</v>
      </c>
      <c r="AL478" t="str" cm="1">
        <f t="array" ref="AL478">_xlfn.IFS(Table1[[#This Row],[Attrition]]="Yes","Resigned",Table1[[#This Row],[Attrition]]="No","Active")</f>
        <v>Active</v>
      </c>
      <c r="AM478" t="str" cm="1">
        <f t="array" ref="AM478">_xlfn.IFS(Table1[[#This Row],[YearsAtCompany]]&lt;=1,"0-1 Year",Table1[[#This Row],[YearsAtCompany]]&lt;=2,"1-2 Years",Table1[[#This Row],[YearsAtCompany]]&lt;=3,"2-3 Years",Table1[[#This Row],[YearsAtCompany]]&lt;=4,"3-4 Years",Table1[[#This Row],[YearsAtCompany]]&lt;=5,"4-5 Years",Table1[[#This Row],[YearsAtCompany]]&gt;5,"&gt;5 Years")</f>
        <v>0-1 Year</v>
      </c>
    </row>
    <row r="479" spans="1:39" hidden="1" x14ac:dyDescent="0.45">
      <c r="A479">
        <v>50</v>
      </c>
      <c r="B479" t="s">
        <v>43</v>
      </c>
      <c r="C479" t="s">
        <v>63</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_xlfn.IFS(Table1[[#This Row],[Age]]&lt;30,"Young",Table1[[#This Row],[Age]]&lt;=40,"Adult",Table1[[#This Row],[Age]]&gt;40,"Senior")</f>
        <v>Senior</v>
      </c>
      <c r="AK479" t="str" cm="1">
        <f t="array" ref="AK479">_xlfn.IFS(Table1[[#This Row],[MonthlyIncome]]&lt;5000,"Low",Table1[[#This Row],[MonthlyIncome]]&lt;10000,"Medium",Table1[[#This Row],[MonthlyIncome]]&gt;10000,"High")</f>
        <v>High</v>
      </c>
      <c r="AL479" t="str" cm="1">
        <f t="array" ref="AL479">_xlfn.IFS(Table1[[#This Row],[Attrition]]="Yes","Resigned",Table1[[#This Row],[Attrition]]="No","Active")</f>
        <v>Active</v>
      </c>
      <c r="AM479" t="str" cm="1">
        <f t="array" ref="AM479">_xlfn.IFS(Table1[[#This Row],[YearsAtCompany]]&lt;=1,"0-1 Year",Table1[[#This Row],[YearsAtCompany]]&lt;=2,"1-2 Years",Table1[[#This Row],[YearsAtCompany]]&lt;=3,"2-3 Years",Table1[[#This Row],[YearsAtCompany]]&lt;=4,"3-4 Years",Table1[[#This Row],[YearsAtCompany]]&lt;=5,"4-5 Years",Table1[[#This Row],[YearsAtCompany]]&gt;5,"&gt;5 Years")</f>
        <v>&gt;5 Years</v>
      </c>
    </row>
    <row r="480" spans="1:39" x14ac:dyDescent="0.45">
      <c r="A480">
        <v>25</v>
      </c>
      <c r="B480" t="s">
        <v>43</v>
      </c>
      <c r="C480" t="s">
        <v>64</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_xlfn.IFS(Table1[[#This Row],[Age]]&lt;30,"Young",Table1[[#This Row],[Age]]&lt;=40,"Adult",Table1[[#This Row],[Age]]&gt;40,"Senior")</f>
        <v>Young</v>
      </c>
      <c r="AK480" t="str" cm="1">
        <f t="array" ref="AK480">_xlfn.IFS(Table1[[#This Row],[MonthlyIncome]]&lt;5000,"Low",Table1[[#This Row],[MonthlyIncome]]&lt;10000,"Medium",Table1[[#This Row],[MonthlyIncome]]&gt;10000,"High")</f>
        <v>Low</v>
      </c>
      <c r="AL480" t="str" cm="1">
        <f t="array" ref="AL480">_xlfn.IFS(Table1[[#This Row],[Attrition]]="Yes","Resigned",Table1[[#This Row],[Attrition]]="No","Active")</f>
        <v>Active</v>
      </c>
      <c r="AM480" t="str" cm="1">
        <f t="array" ref="AM480">_xlfn.IFS(Table1[[#This Row],[YearsAtCompany]]&lt;=1,"0-1 Year",Table1[[#This Row],[YearsAtCompany]]&lt;=2,"1-2 Years",Table1[[#This Row],[YearsAtCompany]]&lt;=3,"2-3 Years",Table1[[#This Row],[YearsAtCompany]]&lt;=4,"3-4 Years",Table1[[#This Row],[YearsAtCompany]]&lt;=5,"4-5 Years",Table1[[#This Row],[YearsAtCompany]]&gt;5,"&gt;5 Years")</f>
        <v>&gt;5 Years</v>
      </c>
    </row>
    <row r="481" spans="1:39" hidden="1" x14ac:dyDescent="0.45">
      <c r="A481">
        <v>24</v>
      </c>
      <c r="B481" t="s">
        <v>35</v>
      </c>
      <c r="C481" t="s">
        <v>63</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_xlfn.IFS(Table1[[#This Row],[Age]]&lt;30,"Young",Table1[[#This Row],[Age]]&lt;=40,"Adult",Table1[[#This Row],[Age]]&gt;40,"Senior")</f>
        <v>Young</v>
      </c>
      <c r="AK481" t="str" cm="1">
        <f t="array" ref="AK481">_xlfn.IFS(Table1[[#This Row],[MonthlyIncome]]&lt;5000,"Low",Table1[[#This Row],[MonthlyIncome]]&lt;10000,"Medium",Table1[[#This Row],[MonthlyIncome]]&gt;10000,"High")</f>
        <v>Low</v>
      </c>
      <c r="AL481" t="str" cm="1">
        <f t="array" ref="AL481">_xlfn.IFS(Table1[[#This Row],[Attrition]]="Yes","Resigned",Table1[[#This Row],[Attrition]]="No","Active")</f>
        <v>Resigned</v>
      </c>
      <c r="AM481" t="str" cm="1">
        <f t="array" ref="AM481">_xlfn.IFS(Table1[[#This Row],[YearsAtCompany]]&lt;=1,"0-1 Year",Table1[[#This Row],[YearsAtCompany]]&lt;=2,"1-2 Years",Table1[[#This Row],[YearsAtCompany]]&lt;=3,"2-3 Years",Table1[[#This Row],[YearsAtCompany]]&lt;=4,"3-4 Years",Table1[[#This Row],[YearsAtCompany]]&lt;=5,"4-5 Years",Table1[[#This Row],[YearsAtCompany]]&gt;5,"&gt;5 Years")</f>
        <v>&gt;5 Years</v>
      </c>
    </row>
    <row r="482" spans="1:39" x14ac:dyDescent="0.45">
      <c r="A482">
        <v>30</v>
      </c>
      <c r="B482" t="s">
        <v>35</v>
      </c>
      <c r="C482" t="s">
        <v>63</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_xlfn.IFS(Table1[[#This Row],[Age]]&lt;30,"Young",Table1[[#This Row],[Age]]&lt;=40,"Adult",Table1[[#This Row],[Age]]&gt;40,"Senior")</f>
        <v>Adult</v>
      </c>
      <c r="AK482" t="str" cm="1">
        <f t="array" ref="AK482">_xlfn.IFS(Table1[[#This Row],[MonthlyIncome]]&lt;5000,"Low",Table1[[#This Row],[MonthlyIncome]]&lt;10000,"Medium",Table1[[#This Row],[MonthlyIncome]]&gt;10000,"High")</f>
        <v>Low</v>
      </c>
      <c r="AL482" t="str" cm="1">
        <f t="array" ref="AL482">_xlfn.IFS(Table1[[#This Row],[Attrition]]="Yes","Resigned",Table1[[#This Row],[Attrition]]="No","Active")</f>
        <v>Resigned</v>
      </c>
      <c r="AM482" t="str" cm="1">
        <f t="array" ref="AM482">_xlfn.IFS(Table1[[#This Row],[YearsAtCompany]]&lt;=1,"0-1 Year",Table1[[#This Row],[YearsAtCompany]]&lt;=2,"1-2 Years",Table1[[#This Row],[YearsAtCompany]]&lt;=3,"2-3 Years",Table1[[#This Row],[YearsAtCompany]]&lt;=4,"3-4 Years",Table1[[#This Row],[YearsAtCompany]]&lt;=5,"4-5 Years",Table1[[#This Row],[YearsAtCompany]]&gt;5,"&gt;5 Years")</f>
        <v>0-1 Year</v>
      </c>
    </row>
    <row r="483" spans="1:39" hidden="1" x14ac:dyDescent="0.45">
      <c r="A483">
        <v>34</v>
      </c>
      <c r="B483" t="s">
        <v>43</v>
      </c>
      <c r="C483" t="s">
        <v>64</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_xlfn.IFS(Table1[[#This Row],[Age]]&lt;30,"Young",Table1[[#This Row],[Age]]&lt;=40,"Adult",Table1[[#This Row],[Age]]&gt;40,"Senior")</f>
        <v>Adult</v>
      </c>
      <c r="AK483" t="str" cm="1">
        <f t="array" ref="AK483">_xlfn.IFS(Table1[[#This Row],[MonthlyIncome]]&lt;5000,"Low",Table1[[#This Row],[MonthlyIncome]]&lt;10000,"Medium",Table1[[#This Row],[MonthlyIncome]]&gt;10000,"High")</f>
        <v>Low</v>
      </c>
      <c r="AL483" t="str" cm="1">
        <f t="array" ref="AL483">_xlfn.IFS(Table1[[#This Row],[Attrition]]="Yes","Resigned",Table1[[#This Row],[Attrition]]="No","Active")</f>
        <v>Active</v>
      </c>
      <c r="AM483" t="str" cm="1">
        <f t="array" ref="AM483">_xlfn.IFS(Table1[[#This Row],[YearsAtCompany]]&lt;=1,"0-1 Year",Table1[[#This Row],[YearsAtCompany]]&lt;=2,"1-2 Years",Table1[[#This Row],[YearsAtCompany]]&lt;=3,"2-3 Years",Table1[[#This Row],[YearsAtCompany]]&lt;=4,"3-4 Years",Table1[[#This Row],[YearsAtCompany]]&lt;=5,"4-5 Years",Table1[[#This Row],[YearsAtCompany]]&gt;5,"&gt;5 Years")</f>
        <v>&gt;5 Years</v>
      </c>
    </row>
    <row r="484" spans="1:39" x14ac:dyDescent="0.45">
      <c r="A484">
        <v>31</v>
      </c>
      <c r="B484" t="s">
        <v>35</v>
      </c>
      <c r="C484" t="s">
        <v>64</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_xlfn.IFS(Table1[[#This Row],[Age]]&lt;30,"Young",Table1[[#This Row],[Age]]&lt;=40,"Adult",Table1[[#This Row],[Age]]&gt;40,"Senior")</f>
        <v>Adult</v>
      </c>
      <c r="AK484" t="str" cm="1">
        <f t="array" ref="AK484">_xlfn.IFS(Table1[[#This Row],[MonthlyIncome]]&lt;5000,"Low",Table1[[#This Row],[MonthlyIncome]]&lt;10000,"Medium",Table1[[#This Row],[MonthlyIncome]]&gt;10000,"High")</f>
        <v>Low</v>
      </c>
      <c r="AL484" t="str" cm="1">
        <f t="array" ref="AL484">_xlfn.IFS(Table1[[#This Row],[Attrition]]="Yes","Resigned",Table1[[#This Row],[Attrition]]="No","Active")</f>
        <v>Resigned</v>
      </c>
      <c r="AM484" t="str" cm="1">
        <f t="array" ref="AM484">_xlfn.IFS(Table1[[#This Row],[YearsAtCompany]]&lt;=1,"0-1 Year",Table1[[#This Row],[YearsAtCompany]]&lt;=2,"1-2 Years",Table1[[#This Row],[YearsAtCompany]]&lt;=3,"2-3 Years",Table1[[#This Row],[YearsAtCompany]]&lt;=4,"3-4 Years",Table1[[#This Row],[YearsAtCompany]]&lt;=5,"4-5 Years",Table1[[#This Row],[YearsAtCompany]]&gt;5,"&gt;5 Years")</f>
        <v>2-3 Years</v>
      </c>
    </row>
    <row r="485" spans="1:39" hidden="1" x14ac:dyDescent="0.45">
      <c r="A485">
        <v>35</v>
      </c>
      <c r="B485" t="s">
        <v>43</v>
      </c>
      <c r="C485" t="s">
        <v>64</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_xlfn.IFS(Table1[[#This Row],[Age]]&lt;30,"Young",Table1[[#This Row],[Age]]&lt;=40,"Adult",Table1[[#This Row],[Age]]&gt;40,"Senior")</f>
        <v>Adult</v>
      </c>
      <c r="AK485" t="str" cm="1">
        <f t="array" ref="AK485">_xlfn.IFS(Table1[[#This Row],[MonthlyIncome]]&lt;5000,"Low",Table1[[#This Row],[MonthlyIncome]]&lt;10000,"Medium",Table1[[#This Row],[MonthlyIncome]]&gt;10000,"High")</f>
        <v>Low</v>
      </c>
      <c r="AL485" t="str" cm="1">
        <f t="array" ref="AL485">_xlfn.IFS(Table1[[#This Row],[Attrition]]="Yes","Resigned",Table1[[#This Row],[Attrition]]="No","Active")</f>
        <v>Active</v>
      </c>
      <c r="AM485" t="str" cm="1">
        <f t="array" ref="AM485">_xlfn.IFS(Table1[[#This Row],[YearsAtCompany]]&lt;=1,"0-1 Year",Table1[[#This Row],[YearsAtCompany]]&lt;=2,"1-2 Years",Table1[[#This Row],[YearsAtCompany]]&lt;=3,"2-3 Years",Table1[[#This Row],[YearsAtCompany]]&lt;=4,"3-4 Years",Table1[[#This Row],[YearsAtCompany]]&lt;=5,"4-5 Years",Table1[[#This Row],[YearsAtCompany]]&gt;5,"&gt;5 Years")</f>
        <v>2-3 Years</v>
      </c>
    </row>
    <row r="486" spans="1:39" x14ac:dyDescent="0.45">
      <c r="A486">
        <v>31</v>
      </c>
      <c r="B486" t="s">
        <v>43</v>
      </c>
      <c r="C486" t="s">
        <v>64</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_xlfn.IFS(Table1[[#This Row],[Age]]&lt;30,"Young",Table1[[#This Row],[Age]]&lt;=40,"Adult",Table1[[#This Row],[Age]]&gt;40,"Senior")</f>
        <v>Adult</v>
      </c>
      <c r="AK486" t="str" cm="1">
        <f t="array" ref="AK486">_xlfn.IFS(Table1[[#This Row],[MonthlyIncome]]&lt;5000,"Low",Table1[[#This Row],[MonthlyIncome]]&lt;10000,"Medium",Table1[[#This Row],[MonthlyIncome]]&gt;10000,"High")</f>
        <v>Medium</v>
      </c>
      <c r="AL486" t="str" cm="1">
        <f t="array" ref="AL486">_xlfn.IFS(Table1[[#This Row],[Attrition]]="Yes","Resigned",Table1[[#This Row],[Attrition]]="No","Active")</f>
        <v>Active</v>
      </c>
      <c r="AM486" t="str" cm="1">
        <f t="array" ref="AM486">_xlfn.IFS(Table1[[#This Row],[YearsAtCompany]]&lt;=1,"0-1 Year",Table1[[#This Row],[YearsAtCompany]]&lt;=2,"1-2 Years",Table1[[#This Row],[YearsAtCompany]]&lt;=3,"2-3 Years",Table1[[#This Row],[YearsAtCompany]]&lt;=4,"3-4 Years",Table1[[#This Row],[YearsAtCompany]]&lt;=5,"4-5 Years",Table1[[#This Row],[YearsAtCompany]]&gt;5,"&gt;5 Years")</f>
        <v>&gt;5 Years</v>
      </c>
    </row>
    <row r="487" spans="1:39" hidden="1" x14ac:dyDescent="0.45">
      <c r="A487">
        <v>27</v>
      </c>
      <c r="B487" t="s">
        <v>43</v>
      </c>
      <c r="C487" t="s">
        <v>64</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_xlfn.IFS(Table1[[#This Row],[Age]]&lt;30,"Young",Table1[[#This Row],[Age]]&lt;=40,"Adult",Table1[[#This Row],[Age]]&gt;40,"Senior")</f>
        <v>Young</v>
      </c>
      <c r="AK487" t="str" cm="1">
        <f t="array" ref="AK487">_xlfn.IFS(Table1[[#This Row],[MonthlyIncome]]&lt;5000,"Low",Table1[[#This Row],[MonthlyIncome]]&lt;10000,"Medium",Table1[[#This Row],[MonthlyIncome]]&gt;10000,"High")</f>
        <v>Low</v>
      </c>
      <c r="AL487" t="str" cm="1">
        <f t="array" ref="AL487">_xlfn.IFS(Table1[[#This Row],[Attrition]]="Yes","Resigned",Table1[[#This Row],[Attrition]]="No","Active")</f>
        <v>Active</v>
      </c>
      <c r="AM487" t="str" cm="1">
        <f t="array" ref="AM487">_xlfn.IFS(Table1[[#This Row],[YearsAtCompany]]&lt;=1,"0-1 Year",Table1[[#This Row],[YearsAtCompany]]&lt;=2,"1-2 Years",Table1[[#This Row],[YearsAtCompany]]&lt;=3,"2-3 Years",Table1[[#This Row],[YearsAtCompany]]&lt;=4,"3-4 Years",Table1[[#This Row],[YearsAtCompany]]&lt;=5,"4-5 Years",Table1[[#This Row],[YearsAtCompany]]&gt;5,"&gt;5 Years")</f>
        <v>4-5 Years</v>
      </c>
    </row>
    <row r="488" spans="1:39" x14ac:dyDescent="0.45">
      <c r="A488">
        <v>37</v>
      </c>
      <c r="B488" t="s">
        <v>43</v>
      </c>
      <c r="C488" t="s">
        <v>64</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_xlfn.IFS(Table1[[#This Row],[Age]]&lt;30,"Young",Table1[[#This Row],[Age]]&lt;=40,"Adult",Table1[[#This Row],[Age]]&gt;40,"Senior")</f>
        <v>Adult</v>
      </c>
      <c r="AK488" t="str" cm="1">
        <f t="array" ref="AK488">_xlfn.IFS(Table1[[#This Row],[MonthlyIncome]]&lt;5000,"Low",Table1[[#This Row],[MonthlyIncome]]&lt;10000,"Medium",Table1[[#This Row],[MonthlyIncome]]&gt;10000,"High")</f>
        <v>Medium</v>
      </c>
      <c r="AL488" t="str" cm="1">
        <f t="array" ref="AL488">_xlfn.IFS(Table1[[#This Row],[Attrition]]="Yes","Resigned",Table1[[#This Row],[Attrition]]="No","Active")</f>
        <v>Active</v>
      </c>
      <c r="AM488" t="str" cm="1">
        <f t="array" ref="AM488">_xlfn.IFS(Table1[[#This Row],[YearsAtCompany]]&lt;=1,"0-1 Year",Table1[[#This Row],[YearsAtCompany]]&lt;=2,"1-2 Years",Table1[[#This Row],[YearsAtCompany]]&lt;=3,"2-3 Years",Table1[[#This Row],[YearsAtCompany]]&lt;=4,"3-4 Years",Table1[[#This Row],[YearsAtCompany]]&lt;=5,"4-5 Years",Table1[[#This Row],[YearsAtCompany]]&gt;5,"&gt;5 Years")</f>
        <v>2-3 Years</v>
      </c>
    </row>
    <row r="489" spans="1:39" hidden="1" x14ac:dyDescent="0.45">
      <c r="A489">
        <v>20</v>
      </c>
      <c r="B489" t="s">
        <v>43</v>
      </c>
      <c r="C489" t="s">
        <v>64</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_xlfn.IFS(Table1[[#This Row],[Age]]&lt;30,"Young",Table1[[#This Row],[Age]]&lt;=40,"Adult",Table1[[#This Row],[Age]]&gt;40,"Senior")</f>
        <v>Young</v>
      </c>
      <c r="AK489" t="str" cm="1">
        <f t="array" ref="AK489">_xlfn.IFS(Table1[[#This Row],[MonthlyIncome]]&lt;5000,"Low",Table1[[#This Row],[MonthlyIncome]]&lt;10000,"Medium",Table1[[#This Row],[MonthlyIncome]]&gt;10000,"High")</f>
        <v>Low</v>
      </c>
      <c r="AL489" t="str" cm="1">
        <f t="array" ref="AL489">_xlfn.IFS(Table1[[#This Row],[Attrition]]="Yes","Resigned",Table1[[#This Row],[Attrition]]="No","Active")</f>
        <v>Active</v>
      </c>
      <c r="AM489" t="str" cm="1">
        <f t="array" ref="AM489">_xlfn.IFS(Table1[[#This Row],[YearsAtCompany]]&lt;=1,"0-1 Year",Table1[[#This Row],[YearsAtCompany]]&lt;=2,"1-2 Years",Table1[[#This Row],[YearsAtCompany]]&lt;=3,"2-3 Years",Table1[[#This Row],[YearsAtCompany]]&lt;=4,"3-4 Years",Table1[[#This Row],[YearsAtCompany]]&lt;=5,"4-5 Years",Table1[[#This Row],[YearsAtCompany]]&gt;5,"&gt;5 Years")</f>
        <v>0-1 Year</v>
      </c>
    </row>
    <row r="490" spans="1:39" hidden="1" x14ac:dyDescent="0.45">
      <c r="A490">
        <v>42</v>
      </c>
      <c r="B490" t="s">
        <v>43</v>
      </c>
      <c r="C490" t="s">
        <v>64</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_xlfn.IFS(Table1[[#This Row],[Age]]&lt;30,"Young",Table1[[#This Row],[Age]]&lt;=40,"Adult",Table1[[#This Row],[Age]]&gt;40,"Senior")</f>
        <v>Senior</v>
      </c>
      <c r="AK490" t="str" cm="1">
        <f t="array" ref="AK490">_xlfn.IFS(Table1[[#This Row],[MonthlyIncome]]&lt;5000,"Low",Table1[[#This Row],[MonthlyIncome]]&lt;10000,"Medium",Table1[[#This Row],[MonthlyIncome]]&gt;10000,"High")</f>
        <v>Low</v>
      </c>
      <c r="AL490" t="str" cm="1">
        <f t="array" ref="AL490">_xlfn.IFS(Table1[[#This Row],[Attrition]]="Yes","Resigned",Table1[[#This Row],[Attrition]]="No","Active")</f>
        <v>Active</v>
      </c>
      <c r="AM490" t="str" cm="1">
        <f t="array" ref="AM490">_xlfn.IFS(Table1[[#This Row],[YearsAtCompany]]&lt;=1,"0-1 Year",Table1[[#This Row],[YearsAtCompany]]&lt;=2,"1-2 Years",Table1[[#This Row],[YearsAtCompany]]&lt;=3,"2-3 Years",Table1[[#This Row],[YearsAtCompany]]&lt;=4,"3-4 Years",Table1[[#This Row],[YearsAtCompany]]&lt;=5,"4-5 Years",Table1[[#This Row],[YearsAtCompany]]&gt;5,"&gt;5 Years")</f>
        <v>&gt;5 Years</v>
      </c>
    </row>
    <row r="491" spans="1:39" hidden="1" x14ac:dyDescent="0.45">
      <c r="A491">
        <v>43</v>
      </c>
      <c r="B491" t="s">
        <v>43</v>
      </c>
      <c r="C491" t="s">
        <v>64</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_xlfn.IFS(Table1[[#This Row],[Age]]&lt;30,"Young",Table1[[#This Row],[Age]]&lt;=40,"Adult",Table1[[#This Row],[Age]]&gt;40,"Senior")</f>
        <v>Senior</v>
      </c>
      <c r="AK491" t="str" cm="1">
        <f t="array" ref="AK491">_xlfn.IFS(Table1[[#This Row],[MonthlyIncome]]&lt;5000,"Low",Table1[[#This Row],[MonthlyIncome]]&lt;10000,"Medium",Table1[[#This Row],[MonthlyIncome]]&gt;10000,"High")</f>
        <v>High</v>
      </c>
      <c r="AL491" t="str" cm="1">
        <f t="array" ref="AL491">_xlfn.IFS(Table1[[#This Row],[Attrition]]="Yes","Resigned",Table1[[#This Row],[Attrition]]="No","Active")</f>
        <v>Active</v>
      </c>
      <c r="AM491" t="str" cm="1">
        <f t="array" ref="AM491">_xlfn.IFS(Table1[[#This Row],[YearsAtCompany]]&lt;=1,"0-1 Year",Table1[[#This Row],[YearsAtCompany]]&lt;=2,"1-2 Years",Table1[[#This Row],[YearsAtCompany]]&lt;=3,"2-3 Years",Table1[[#This Row],[YearsAtCompany]]&lt;=4,"3-4 Years",Table1[[#This Row],[YearsAtCompany]]&lt;=5,"4-5 Years",Table1[[#This Row],[YearsAtCompany]]&gt;5,"&gt;5 Years")</f>
        <v>0-1 Year</v>
      </c>
    </row>
    <row r="492" spans="1:39" hidden="1" x14ac:dyDescent="0.45">
      <c r="A492">
        <v>38</v>
      </c>
      <c r="B492" t="s">
        <v>43</v>
      </c>
      <c r="C492" t="s">
        <v>64</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_xlfn.IFS(Table1[[#This Row],[Age]]&lt;30,"Young",Table1[[#This Row],[Age]]&lt;=40,"Adult",Table1[[#This Row],[Age]]&gt;40,"Senior")</f>
        <v>Adult</v>
      </c>
      <c r="AK492" t="str" cm="1">
        <f t="array" ref="AK492">_xlfn.IFS(Table1[[#This Row],[MonthlyIncome]]&lt;5000,"Low",Table1[[#This Row],[MonthlyIncome]]&lt;10000,"Medium",Table1[[#This Row],[MonthlyIncome]]&gt;10000,"High")</f>
        <v>Low</v>
      </c>
      <c r="AL492" t="str" cm="1">
        <f t="array" ref="AL492">_xlfn.IFS(Table1[[#This Row],[Attrition]]="Yes","Resigned",Table1[[#This Row],[Attrition]]="No","Active")</f>
        <v>Active</v>
      </c>
      <c r="AM492" t="str" cm="1">
        <f t="array" ref="AM492">_xlfn.IFS(Table1[[#This Row],[YearsAtCompany]]&lt;=1,"0-1 Year",Table1[[#This Row],[YearsAtCompany]]&lt;=2,"1-2 Years",Table1[[#This Row],[YearsAtCompany]]&lt;=3,"2-3 Years",Table1[[#This Row],[YearsAtCompany]]&lt;=4,"3-4 Years",Table1[[#This Row],[YearsAtCompany]]&lt;=5,"4-5 Years",Table1[[#This Row],[YearsAtCompany]]&gt;5,"&gt;5 Years")</f>
        <v>0-1 Year</v>
      </c>
    </row>
    <row r="493" spans="1:39" hidden="1" x14ac:dyDescent="0.45">
      <c r="A493">
        <v>43</v>
      </c>
      <c r="B493" t="s">
        <v>43</v>
      </c>
      <c r="C493" t="s">
        <v>63</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_xlfn.IFS(Table1[[#This Row],[Age]]&lt;30,"Young",Table1[[#This Row],[Age]]&lt;=40,"Adult",Table1[[#This Row],[Age]]&gt;40,"Senior")</f>
        <v>Senior</v>
      </c>
      <c r="AK493" t="str" cm="1">
        <f t="array" ref="AK493">_xlfn.IFS(Table1[[#This Row],[MonthlyIncome]]&lt;5000,"Low",Table1[[#This Row],[MonthlyIncome]]&lt;10000,"Medium",Table1[[#This Row],[MonthlyIncome]]&gt;10000,"High")</f>
        <v>Medium</v>
      </c>
      <c r="AL493" t="str" cm="1">
        <f t="array" ref="AL493">_xlfn.IFS(Table1[[#This Row],[Attrition]]="Yes","Resigned",Table1[[#This Row],[Attrition]]="No","Active")</f>
        <v>Active</v>
      </c>
      <c r="AM493" t="str" cm="1">
        <f t="array" ref="AM493">_xlfn.IFS(Table1[[#This Row],[YearsAtCompany]]&lt;=1,"0-1 Year",Table1[[#This Row],[YearsAtCompany]]&lt;=2,"1-2 Years",Table1[[#This Row],[YearsAtCompany]]&lt;=3,"2-3 Years",Table1[[#This Row],[YearsAtCompany]]&lt;=4,"3-4 Years",Table1[[#This Row],[YearsAtCompany]]&lt;=5,"4-5 Years",Table1[[#This Row],[YearsAtCompany]]&gt;5,"&gt;5 Years")</f>
        <v>&gt;5 Years</v>
      </c>
    </row>
    <row r="494" spans="1:39" hidden="1" x14ac:dyDescent="0.45">
      <c r="A494">
        <v>48</v>
      </c>
      <c r="B494" t="s">
        <v>43</v>
      </c>
      <c r="C494" t="s">
        <v>64</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_xlfn.IFS(Table1[[#This Row],[Age]]&lt;30,"Young",Table1[[#This Row],[Age]]&lt;=40,"Adult",Table1[[#This Row],[Age]]&gt;40,"Senior")</f>
        <v>Senior</v>
      </c>
      <c r="AK494" t="str" cm="1">
        <f t="array" ref="AK494">_xlfn.IFS(Table1[[#This Row],[MonthlyIncome]]&lt;5000,"Low",Table1[[#This Row],[MonthlyIncome]]&lt;10000,"Medium",Table1[[#This Row],[MonthlyIncome]]&gt;10000,"High")</f>
        <v>High</v>
      </c>
      <c r="AL494" t="str" cm="1">
        <f t="array" ref="AL494">_xlfn.IFS(Table1[[#This Row],[Attrition]]="Yes","Resigned",Table1[[#This Row],[Attrition]]="No","Active")</f>
        <v>Active</v>
      </c>
      <c r="AM494" t="str" cm="1">
        <f t="array" ref="AM494">_xlfn.IFS(Table1[[#This Row],[YearsAtCompany]]&lt;=1,"0-1 Year",Table1[[#This Row],[YearsAtCompany]]&lt;=2,"1-2 Years",Table1[[#This Row],[YearsAtCompany]]&lt;=3,"2-3 Years",Table1[[#This Row],[YearsAtCompany]]&lt;=4,"3-4 Years",Table1[[#This Row],[YearsAtCompany]]&lt;=5,"4-5 Years",Table1[[#This Row],[YearsAtCompany]]&gt;5,"&gt;5 Years")</f>
        <v>2-3 Years</v>
      </c>
    </row>
    <row r="495" spans="1:39" hidden="1" x14ac:dyDescent="0.45">
      <c r="A495">
        <v>44</v>
      </c>
      <c r="B495" t="s">
        <v>43</v>
      </c>
      <c r="C495" t="s">
        <v>64</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_xlfn.IFS(Table1[[#This Row],[Age]]&lt;30,"Young",Table1[[#This Row],[Age]]&lt;=40,"Adult",Table1[[#This Row],[Age]]&gt;40,"Senior")</f>
        <v>Senior</v>
      </c>
      <c r="AK495" t="str" cm="1">
        <f t="array" ref="AK495">_xlfn.IFS(Table1[[#This Row],[MonthlyIncome]]&lt;5000,"Low",Table1[[#This Row],[MonthlyIncome]]&lt;10000,"Medium",Table1[[#This Row],[MonthlyIncome]]&gt;10000,"High")</f>
        <v>Medium</v>
      </c>
      <c r="AL495" t="str" cm="1">
        <f t="array" ref="AL495">_xlfn.IFS(Table1[[#This Row],[Attrition]]="Yes","Resigned",Table1[[#This Row],[Attrition]]="No","Active")</f>
        <v>Active</v>
      </c>
      <c r="AM495" t="str" cm="1">
        <f t="array" ref="AM495">_xlfn.IFS(Table1[[#This Row],[YearsAtCompany]]&lt;=1,"0-1 Year",Table1[[#This Row],[YearsAtCompany]]&lt;=2,"1-2 Years",Table1[[#This Row],[YearsAtCompany]]&lt;=3,"2-3 Years",Table1[[#This Row],[YearsAtCompany]]&lt;=4,"3-4 Years",Table1[[#This Row],[YearsAtCompany]]&lt;=5,"4-5 Years",Table1[[#This Row],[YearsAtCompany]]&gt;5,"&gt;5 Years")</f>
        <v>1-2 Years</v>
      </c>
    </row>
    <row r="496" spans="1:39" x14ac:dyDescent="0.45">
      <c r="A496">
        <v>34</v>
      </c>
      <c r="B496" t="s">
        <v>43</v>
      </c>
      <c r="C496" t="s">
        <v>64</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_xlfn.IFS(Table1[[#This Row],[Age]]&lt;30,"Young",Table1[[#This Row],[Age]]&lt;=40,"Adult",Table1[[#This Row],[Age]]&gt;40,"Senior")</f>
        <v>Adult</v>
      </c>
      <c r="AK496" t="str" cm="1">
        <f t="array" ref="AK496">_xlfn.IFS(Table1[[#This Row],[MonthlyIncome]]&lt;5000,"Low",Table1[[#This Row],[MonthlyIncome]]&lt;10000,"Medium",Table1[[#This Row],[MonthlyIncome]]&gt;10000,"High")</f>
        <v>Low</v>
      </c>
      <c r="AL496" t="str" cm="1">
        <f t="array" ref="AL496">_xlfn.IFS(Table1[[#This Row],[Attrition]]="Yes","Resigned",Table1[[#This Row],[Attrition]]="No","Active")</f>
        <v>Active</v>
      </c>
      <c r="AM496" t="str" cm="1">
        <f t="array" ref="AM496">_xlfn.IFS(Table1[[#This Row],[YearsAtCompany]]&lt;=1,"0-1 Year",Table1[[#This Row],[YearsAtCompany]]&lt;=2,"1-2 Years",Table1[[#This Row],[YearsAtCompany]]&lt;=3,"2-3 Years",Table1[[#This Row],[YearsAtCompany]]&lt;=4,"3-4 Years",Table1[[#This Row],[YearsAtCompany]]&lt;=5,"4-5 Years",Table1[[#This Row],[YearsAtCompany]]&gt;5,"&gt;5 Years")</f>
        <v>&gt;5 Years</v>
      </c>
    </row>
    <row r="497" spans="1:39" x14ac:dyDescent="0.45">
      <c r="A497">
        <v>27</v>
      </c>
      <c r="B497" t="s">
        <v>35</v>
      </c>
      <c r="C497" t="s">
        <v>64</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_xlfn.IFS(Table1[[#This Row],[Age]]&lt;30,"Young",Table1[[#This Row],[Age]]&lt;=40,"Adult",Table1[[#This Row],[Age]]&gt;40,"Senior")</f>
        <v>Young</v>
      </c>
      <c r="AK497" t="str" cm="1">
        <f t="array" ref="AK497">_xlfn.IFS(Table1[[#This Row],[MonthlyIncome]]&lt;5000,"Low",Table1[[#This Row],[MonthlyIncome]]&lt;10000,"Medium",Table1[[#This Row],[MonthlyIncome]]&gt;10000,"High")</f>
        <v>Low</v>
      </c>
      <c r="AL497" t="str" cm="1">
        <f t="array" ref="AL497">_xlfn.IFS(Table1[[#This Row],[Attrition]]="Yes","Resigned",Table1[[#This Row],[Attrition]]="No","Active")</f>
        <v>Resigned</v>
      </c>
      <c r="AM497" t="str" cm="1">
        <f t="array" ref="AM497">_xlfn.IFS(Table1[[#This Row],[YearsAtCompany]]&lt;=1,"0-1 Year",Table1[[#This Row],[YearsAtCompany]]&lt;=2,"1-2 Years",Table1[[#This Row],[YearsAtCompany]]&lt;=3,"2-3 Years",Table1[[#This Row],[YearsAtCompany]]&lt;=4,"3-4 Years",Table1[[#This Row],[YearsAtCompany]]&lt;=5,"4-5 Years",Table1[[#This Row],[YearsAtCompany]]&gt;5,"&gt;5 Years")</f>
        <v>3-4 Years</v>
      </c>
    </row>
    <row r="498" spans="1:39" x14ac:dyDescent="0.45">
      <c r="A498">
        <v>21</v>
      </c>
      <c r="B498" t="s">
        <v>43</v>
      </c>
      <c r="C498" t="s">
        <v>64</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_xlfn.IFS(Table1[[#This Row],[Age]]&lt;30,"Young",Table1[[#This Row],[Age]]&lt;=40,"Adult",Table1[[#This Row],[Age]]&gt;40,"Senior")</f>
        <v>Young</v>
      </c>
      <c r="AK498" t="str" cm="1">
        <f t="array" ref="AK498">_xlfn.IFS(Table1[[#This Row],[MonthlyIncome]]&lt;5000,"Low",Table1[[#This Row],[MonthlyIncome]]&lt;10000,"Medium",Table1[[#This Row],[MonthlyIncome]]&gt;10000,"High")</f>
        <v>Low</v>
      </c>
      <c r="AL498" t="str" cm="1">
        <f t="array" ref="AL498">_xlfn.IFS(Table1[[#This Row],[Attrition]]="Yes","Resigned",Table1[[#This Row],[Attrition]]="No","Active")</f>
        <v>Active</v>
      </c>
      <c r="AM498" t="str" cm="1">
        <f t="array" ref="AM498">_xlfn.IFS(Table1[[#This Row],[YearsAtCompany]]&lt;=1,"0-1 Year",Table1[[#This Row],[YearsAtCompany]]&lt;=2,"1-2 Years",Table1[[#This Row],[YearsAtCompany]]&lt;=3,"2-3 Years",Table1[[#This Row],[YearsAtCompany]]&lt;=4,"3-4 Years",Table1[[#This Row],[YearsAtCompany]]&lt;=5,"4-5 Years",Table1[[#This Row],[YearsAtCompany]]&gt;5,"&gt;5 Years")</f>
        <v>2-3 Years</v>
      </c>
    </row>
    <row r="499" spans="1:39" hidden="1" x14ac:dyDescent="0.45">
      <c r="A499">
        <v>44</v>
      </c>
      <c r="B499" t="s">
        <v>43</v>
      </c>
      <c r="C499" t="s">
        <v>64</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_xlfn.IFS(Table1[[#This Row],[Age]]&lt;30,"Young",Table1[[#This Row],[Age]]&lt;=40,"Adult",Table1[[#This Row],[Age]]&gt;40,"Senior")</f>
        <v>Senior</v>
      </c>
      <c r="AK499" t="str" cm="1">
        <f t="array" ref="AK499">_xlfn.IFS(Table1[[#This Row],[MonthlyIncome]]&lt;5000,"Low",Table1[[#This Row],[MonthlyIncome]]&lt;10000,"Medium",Table1[[#This Row],[MonthlyIncome]]&gt;10000,"High")</f>
        <v>High</v>
      </c>
      <c r="AL499" t="str" cm="1">
        <f t="array" ref="AL499">_xlfn.IFS(Table1[[#This Row],[Attrition]]="Yes","Resigned",Table1[[#This Row],[Attrition]]="No","Active")</f>
        <v>Active</v>
      </c>
      <c r="AM499" t="str" cm="1">
        <f t="array" ref="AM499">_xlfn.IFS(Table1[[#This Row],[YearsAtCompany]]&lt;=1,"0-1 Year",Table1[[#This Row],[YearsAtCompany]]&lt;=2,"1-2 Years",Table1[[#This Row],[YearsAtCompany]]&lt;=3,"2-3 Years",Table1[[#This Row],[YearsAtCompany]]&lt;=4,"3-4 Years",Table1[[#This Row],[YearsAtCompany]]&lt;=5,"4-5 Years",Table1[[#This Row],[YearsAtCompany]]&gt;5,"&gt;5 Years")</f>
        <v>1-2 Years</v>
      </c>
    </row>
    <row r="500" spans="1:39" hidden="1" x14ac:dyDescent="0.45">
      <c r="A500">
        <v>22</v>
      </c>
      <c r="B500" t="s">
        <v>43</v>
      </c>
      <c r="C500" t="s">
        <v>64</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_xlfn.IFS(Table1[[#This Row],[Age]]&lt;30,"Young",Table1[[#This Row],[Age]]&lt;=40,"Adult",Table1[[#This Row],[Age]]&gt;40,"Senior")</f>
        <v>Young</v>
      </c>
      <c r="AK500" t="str" cm="1">
        <f t="array" ref="AK500">_xlfn.IFS(Table1[[#This Row],[MonthlyIncome]]&lt;5000,"Low",Table1[[#This Row],[MonthlyIncome]]&lt;10000,"Medium",Table1[[#This Row],[MonthlyIncome]]&gt;10000,"High")</f>
        <v>Low</v>
      </c>
      <c r="AL500" t="str" cm="1">
        <f t="array" ref="AL500">_xlfn.IFS(Table1[[#This Row],[Attrition]]="Yes","Resigned",Table1[[#This Row],[Attrition]]="No","Active")</f>
        <v>Active</v>
      </c>
      <c r="AM500" t="str" cm="1">
        <f t="array" ref="AM500">_xlfn.IFS(Table1[[#This Row],[YearsAtCompany]]&lt;=1,"0-1 Year",Table1[[#This Row],[YearsAtCompany]]&lt;=2,"1-2 Years",Table1[[#This Row],[YearsAtCompany]]&lt;=3,"2-3 Years",Table1[[#This Row],[YearsAtCompany]]&lt;=4,"3-4 Years",Table1[[#This Row],[YearsAtCompany]]&lt;=5,"4-5 Years",Table1[[#This Row],[YearsAtCompany]]&gt;5,"&gt;5 Years")</f>
        <v>1-2 Years</v>
      </c>
    </row>
    <row r="501" spans="1:39" x14ac:dyDescent="0.45">
      <c r="A501">
        <v>33</v>
      </c>
      <c r="B501" t="s">
        <v>43</v>
      </c>
      <c r="C501" t="s">
        <v>64</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_xlfn.IFS(Table1[[#This Row],[Age]]&lt;30,"Young",Table1[[#This Row],[Age]]&lt;=40,"Adult",Table1[[#This Row],[Age]]&gt;40,"Senior")</f>
        <v>Adult</v>
      </c>
      <c r="AK501" t="str" cm="1">
        <f t="array" ref="AK501">_xlfn.IFS(Table1[[#This Row],[MonthlyIncome]]&lt;5000,"Low",Table1[[#This Row],[MonthlyIncome]]&lt;10000,"Medium",Table1[[#This Row],[MonthlyIncome]]&gt;10000,"High")</f>
        <v>Medium</v>
      </c>
      <c r="AL501" t="str" cm="1">
        <f t="array" ref="AL501">_xlfn.IFS(Table1[[#This Row],[Attrition]]="Yes","Resigned",Table1[[#This Row],[Attrition]]="No","Active")</f>
        <v>Active</v>
      </c>
      <c r="AM501" t="str" cm="1">
        <f t="array" ref="AM501">_xlfn.IFS(Table1[[#This Row],[YearsAtCompany]]&lt;=1,"0-1 Year",Table1[[#This Row],[YearsAtCompany]]&lt;=2,"1-2 Years",Table1[[#This Row],[YearsAtCompany]]&lt;=3,"2-3 Years",Table1[[#This Row],[YearsAtCompany]]&lt;=4,"3-4 Years",Table1[[#This Row],[YearsAtCompany]]&lt;=5,"4-5 Years",Table1[[#This Row],[YearsAtCompany]]&gt;5,"&gt;5 Years")</f>
        <v>4-5 Years</v>
      </c>
    </row>
    <row r="502" spans="1:39" hidden="1" x14ac:dyDescent="0.45">
      <c r="A502">
        <v>32</v>
      </c>
      <c r="B502" t="s">
        <v>43</v>
      </c>
      <c r="C502" t="s">
        <v>64</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_xlfn.IFS(Table1[[#This Row],[Age]]&lt;30,"Young",Table1[[#This Row],[Age]]&lt;=40,"Adult",Table1[[#This Row],[Age]]&gt;40,"Senior")</f>
        <v>Adult</v>
      </c>
      <c r="AK502" t="str" cm="1">
        <f t="array" ref="AK502">_xlfn.IFS(Table1[[#This Row],[MonthlyIncome]]&lt;5000,"Low",Table1[[#This Row],[MonthlyIncome]]&lt;10000,"Medium",Table1[[#This Row],[MonthlyIncome]]&gt;10000,"High")</f>
        <v>Medium</v>
      </c>
      <c r="AL502" t="str" cm="1">
        <f t="array" ref="AL502">_xlfn.IFS(Table1[[#This Row],[Attrition]]="Yes","Resigned",Table1[[#This Row],[Attrition]]="No","Active")</f>
        <v>Active</v>
      </c>
      <c r="AM502" t="str" cm="1">
        <f t="array" ref="AM502">_xlfn.IFS(Table1[[#This Row],[YearsAtCompany]]&lt;=1,"0-1 Year",Table1[[#This Row],[YearsAtCompany]]&lt;=2,"1-2 Years",Table1[[#This Row],[YearsAtCompany]]&lt;=3,"2-3 Years",Table1[[#This Row],[YearsAtCompany]]&lt;=4,"3-4 Years",Table1[[#This Row],[YearsAtCompany]]&lt;=5,"4-5 Years",Table1[[#This Row],[YearsAtCompany]]&gt;5,"&gt;5 Years")</f>
        <v>&gt;5 Years</v>
      </c>
    </row>
    <row r="503" spans="1:39" hidden="1" x14ac:dyDescent="0.45">
      <c r="A503">
        <v>30</v>
      </c>
      <c r="B503" t="s">
        <v>43</v>
      </c>
      <c r="C503" t="s">
        <v>63</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_xlfn.IFS(Table1[[#This Row],[Age]]&lt;30,"Young",Table1[[#This Row],[Age]]&lt;=40,"Adult",Table1[[#This Row],[Age]]&gt;40,"Senior")</f>
        <v>Adult</v>
      </c>
      <c r="AK503" t="str" cm="1">
        <f t="array" ref="AK503">_xlfn.IFS(Table1[[#This Row],[MonthlyIncome]]&lt;5000,"Low",Table1[[#This Row],[MonthlyIncome]]&lt;10000,"Medium",Table1[[#This Row],[MonthlyIncome]]&gt;10000,"High")</f>
        <v>Low</v>
      </c>
      <c r="AL503" t="str" cm="1">
        <f t="array" ref="AL503">_xlfn.IFS(Table1[[#This Row],[Attrition]]="Yes","Resigned",Table1[[#This Row],[Attrition]]="No","Active")</f>
        <v>Active</v>
      </c>
      <c r="AM503" t="str" cm="1">
        <f t="array" ref="AM503">_xlfn.IFS(Table1[[#This Row],[YearsAtCompany]]&lt;=1,"0-1 Year",Table1[[#This Row],[YearsAtCompany]]&lt;=2,"1-2 Years",Table1[[#This Row],[YearsAtCompany]]&lt;=3,"2-3 Years",Table1[[#This Row],[YearsAtCompany]]&lt;=4,"3-4 Years",Table1[[#This Row],[YearsAtCompany]]&lt;=5,"4-5 Years",Table1[[#This Row],[YearsAtCompany]]&gt;5,"&gt;5 Years")</f>
        <v>0-1 Year</v>
      </c>
    </row>
    <row r="504" spans="1:39" x14ac:dyDescent="0.45">
      <c r="A504">
        <v>53</v>
      </c>
      <c r="B504" t="s">
        <v>43</v>
      </c>
      <c r="C504" t="s">
        <v>64</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_xlfn.IFS(Table1[[#This Row],[Age]]&lt;30,"Young",Table1[[#This Row],[Age]]&lt;=40,"Adult",Table1[[#This Row],[Age]]&gt;40,"Senior")</f>
        <v>Senior</v>
      </c>
      <c r="AK504" t="str" cm="1">
        <f t="array" ref="AK504">_xlfn.IFS(Table1[[#This Row],[MonthlyIncome]]&lt;5000,"Low",Table1[[#This Row],[MonthlyIncome]]&lt;10000,"Medium",Table1[[#This Row],[MonthlyIncome]]&gt;10000,"High")</f>
        <v>Medium</v>
      </c>
      <c r="AL504" t="str" cm="1">
        <f t="array" ref="AL504">_xlfn.IFS(Table1[[#This Row],[Attrition]]="Yes","Resigned",Table1[[#This Row],[Attrition]]="No","Active")</f>
        <v>Active</v>
      </c>
      <c r="AM504" t="str" cm="1">
        <f t="array" ref="AM504">_xlfn.IFS(Table1[[#This Row],[YearsAtCompany]]&lt;=1,"0-1 Year",Table1[[#This Row],[YearsAtCompany]]&lt;=2,"1-2 Years",Table1[[#This Row],[YearsAtCompany]]&lt;=3,"2-3 Years",Table1[[#This Row],[YearsAtCompany]]&lt;=4,"3-4 Years",Table1[[#This Row],[YearsAtCompany]]&lt;=5,"4-5 Years",Table1[[#This Row],[YearsAtCompany]]&gt;5,"&gt;5 Years")</f>
        <v>&gt;5 Years</v>
      </c>
    </row>
    <row r="505" spans="1:39" hidden="1" x14ac:dyDescent="0.45">
      <c r="A505">
        <v>34</v>
      </c>
      <c r="B505" t="s">
        <v>43</v>
      </c>
      <c r="C505" t="s">
        <v>64</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_xlfn.IFS(Table1[[#This Row],[Age]]&lt;30,"Young",Table1[[#This Row],[Age]]&lt;=40,"Adult",Table1[[#This Row],[Age]]&gt;40,"Senior")</f>
        <v>Adult</v>
      </c>
      <c r="AK505" t="str" cm="1">
        <f t="array" ref="AK505">_xlfn.IFS(Table1[[#This Row],[MonthlyIncome]]&lt;5000,"Low",Table1[[#This Row],[MonthlyIncome]]&lt;10000,"Medium",Table1[[#This Row],[MonthlyIncome]]&gt;10000,"High")</f>
        <v>Low</v>
      </c>
      <c r="AL505" t="str" cm="1">
        <f t="array" ref="AL505">_xlfn.IFS(Table1[[#This Row],[Attrition]]="Yes","Resigned",Table1[[#This Row],[Attrition]]="No","Active")</f>
        <v>Active</v>
      </c>
      <c r="AM505" t="str" cm="1">
        <f t="array" ref="AM505">_xlfn.IFS(Table1[[#This Row],[YearsAtCompany]]&lt;=1,"0-1 Year",Table1[[#This Row],[YearsAtCompany]]&lt;=2,"1-2 Years",Table1[[#This Row],[YearsAtCompany]]&lt;=3,"2-3 Years",Table1[[#This Row],[YearsAtCompany]]&lt;=4,"3-4 Years",Table1[[#This Row],[YearsAtCompany]]&lt;=5,"4-5 Years",Table1[[#This Row],[YearsAtCompany]]&gt;5,"&gt;5 Years")</f>
        <v>&gt;5 Years</v>
      </c>
    </row>
    <row r="506" spans="1:39" x14ac:dyDescent="0.45">
      <c r="A506">
        <v>45</v>
      </c>
      <c r="B506" t="s">
        <v>35</v>
      </c>
      <c r="C506" t="s">
        <v>63</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_xlfn.IFS(Table1[[#This Row],[Age]]&lt;30,"Young",Table1[[#This Row],[Age]]&lt;=40,"Adult",Table1[[#This Row],[Age]]&gt;40,"Senior")</f>
        <v>Senior</v>
      </c>
      <c r="AK506" t="str" cm="1">
        <f t="array" ref="AK506">_xlfn.IFS(Table1[[#This Row],[MonthlyIncome]]&lt;5000,"Low",Table1[[#This Row],[MonthlyIncome]]&lt;10000,"Medium",Table1[[#This Row],[MonthlyIncome]]&gt;10000,"High")</f>
        <v>Low</v>
      </c>
      <c r="AL506" t="str" cm="1">
        <f t="array" ref="AL506">_xlfn.IFS(Table1[[#This Row],[Attrition]]="Yes","Resigned",Table1[[#This Row],[Attrition]]="No","Active")</f>
        <v>Resigned</v>
      </c>
      <c r="AM506" t="str" cm="1">
        <f t="array" ref="AM506">_xlfn.IFS(Table1[[#This Row],[YearsAtCompany]]&lt;=1,"0-1 Year",Table1[[#This Row],[YearsAtCompany]]&lt;=2,"1-2 Years",Table1[[#This Row],[YearsAtCompany]]&lt;=3,"2-3 Years",Table1[[#This Row],[YearsAtCompany]]&lt;=4,"3-4 Years",Table1[[#This Row],[YearsAtCompany]]&lt;=5,"4-5 Years",Table1[[#This Row],[YearsAtCompany]]&gt;5,"&gt;5 Years")</f>
        <v>0-1 Year</v>
      </c>
    </row>
    <row r="507" spans="1:39" hidden="1" x14ac:dyDescent="0.45">
      <c r="A507">
        <v>26</v>
      </c>
      <c r="B507" t="s">
        <v>43</v>
      </c>
      <c r="C507" t="s">
        <v>64</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_xlfn.IFS(Table1[[#This Row],[Age]]&lt;30,"Young",Table1[[#This Row],[Age]]&lt;=40,"Adult",Table1[[#This Row],[Age]]&gt;40,"Senior")</f>
        <v>Young</v>
      </c>
      <c r="AK507" t="str" cm="1">
        <f t="array" ref="AK507">_xlfn.IFS(Table1[[#This Row],[MonthlyIncome]]&lt;5000,"Low",Table1[[#This Row],[MonthlyIncome]]&lt;10000,"Medium",Table1[[#This Row],[MonthlyIncome]]&gt;10000,"High")</f>
        <v>Low</v>
      </c>
      <c r="AL507" t="str" cm="1">
        <f t="array" ref="AL507">_xlfn.IFS(Table1[[#This Row],[Attrition]]="Yes","Resigned",Table1[[#This Row],[Attrition]]="No","Active")</f>
        <v>Active</v>
      </c>
      <c r="AM507" t="str" cm="1">
        <f t="array" ref="AM507">_xlfn.IFS(Table1[[#This Row],[YearsAtCompany]]&lt;=1,"0-1 Year",Table1[[#This Row],[YearsAtCompany]]&lt;=2,"1-2 Years",Table1[[#This Row],[YearsAtCompany]]&lt;=3,"2-3 Years",Table1[[#This Row],[YearsAtCompany]]&lt;=4,"3-4 Years",Table1[[#This Row],[YearsAtCompany]]&lt;=5,"4-5 Years",Table1[[#This Row],[YearsAtCompany]]&gt;5,"&gt;5 Years")</f>
        <v>2-3 Years</v>
      </c>
    </row>
    <row r="508" spans="1:39" hidden="1" x14ac:dyDescent="0.45">
      <c r="A508">
        <v>37</v>
      </c>
      <c r="B508" t="s">
        <v>43</v>
      </c>
      <c r="C508" t="s">
        <v>64</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_xlfn.IFS(Table1[[#This Row],[Age]]&lt;30,"Young",Table1[[#This Row],[Age]]&lt;=40,"Adult",Table1[[#This Row],[Age]]&gt;40,"Senior")</f>
        <v>Adult</v>
      </c>
      <c r="AK508" t="str" cm="1">
        <f t="array" ref="AK508">_xlfn.IFS(Table1[[#This Row],[MonthlyIncome]]&lt;5000,"Low",Table1[[#This Row],[MonthlyIncome]]&lt;10000,"Medium",Table1[[#This Row],[MonthlyIncome]]&gt;10000,"High")</f>
        <v>Medium</v>
      </c>
      <c r="AL508" t="str" cm="1">
        <f t="array" ref="AL508">_xlfn.IFS(Table1[[#This Row],[Attrition]]="Yes","Resigned",Table1[[#This Row],[Attrition]]="No","Active")</f>
        <v>Active</v>
      </c>
      <c r="AM508" t="str" cm="1">
        <f t="array" ref="AM508">_xlfn.IFS(Table1[[#This Row],[YearsAtCompany]]&lt;=1,"0-1 Year",Table1[[#This Row],[YearsAtCompany]]&lt;=2,"1-2 Years",Table1[[#This Row],[YearsAtCompany]]&lt;=3,"2-3 Years",Table1[[#This Row],[YearsAtCompany]]&lt;=4,"3-4 Years",Table1[[#This Row],[YearsAtCompany]]&lt;=5,"4-5 Years",Table1[[#This Row],[YearsAtCompany]]&gt;5,"&gt;5 Years")</f>
        <v>&gt;5 Years</v>
      </c>
    </row>
    <row r="509" spans="1:39" x14ac:dyDescent="0.45">
      <c r="A509">
        <v>29</v>
      </c>
      <c r="B509" t="s">
        <v>43</v>
      </c>
      <c r="C509" t="s">
        <v>64</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_xlfn.IFS(Table1[[#This Row],[Age]]&lt;30,"Young",Table1[[#This Row],[Age]]&lt;=40,"Adult",Table1[[#This Row],[Age]]&gt;40,"Senior")</f>
        <v>Young</v>
      </c>
      <c r="AK509" t="str" cm="1">
        <f t="array" ref="AK509">_xlfn.IFS(Table1[[#This Row],[MonthlyIncome]]&lt;5000,"Low",Table1[[#This Row],[MonthlyIncome]]&lt;10000,"Medium",Table1[[#This Row],[MonthlyIncome]]&gt;10000,"High")</f>
        <v>Medium</v>
      </c>
      <c r="AL509" t="str" cm="1">
        <f t="array" ref="AL509">_xlfn.IFS(Table1[[#This Row],[Attrition]]="Yes","Resigned",Table1[[#This Row],[Attrition]]="No","Active")</f>
        <v>Active</v>
      </c>
      <c r="AM509" t="str" cm="1">
        <f t="array" ref="AM509">_xlfn.IFS(Table1[[#This Row],[YearsAtCompany]]&lt;=1,"0-1 Year",Table1[[#This Row],[YearsAtCompany]]&lt;=2,"1-2 Years",Table1[[#This Row],[YearsAtCompany]]&lt;=3,"2-3 Years",Table1[[#This Row],[YearsAtCompany]]&lt;=4,"3-4 Years",Table1[[#This Row],[YearsAtCompany]]&lt;=5,"4-5 Years",Table1[[#This Row],[YearsAtCompany]]&gt;5,"&gt;5 Years")</f>
        <v>&gt;5 Years</v>
      </c>
    </row>
    <row r="510" spans="1:39" hidden="1" x14ac:dyDescent="0.45">
      <c r="A510">
        <v>35</v>
      </c>
      <c r="B510" t="s">
        <v>43</v>
      </c>
      <c r="C510" t="s">
        <v>64</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_xlfn.IFS(Table1[[#This Row],[Age]]&lt;30,"Young",Table1[[#This Row],[Age]]&lt;=40,"Adult",Table1[[#This Row],[Age]]&gt;40,"Senior")</f>
        <v>Adult</v>
      </c>
      <c r="AK510" t="str" cm="1">
        <f t="array" ref="AK510">_xlfn.IFS(Table1[[#This Row],[MonthlyIncome]]&lt;5000,"Low",Table1[[#This Row],[MonthlyIncome]]&lt;10000,"Medium",Table1[[#This Row],[MonthlyIncome]]&gt;10000,"High")</f>
        <v>Medium</v>
      </c>
      <c r="AL510" t="str" cm="1">
        <f t="array" ref="AL510">_xlfn.IFS(Table1[[#This Row],[Attrition]]="Yes","Resigned",Table1[[#This Row],[Attrition]]="No","Active")</f>
        <v>Active</v>
      </c>
      <c r="AM510" t="str" cm="1">
        <f t="array" ref="AM510">_xlfn.IFS(Table1[[#This Row],[YearsAtCompany]]&lt;=1,"0-1 Year",Table1[[#This Row],[YearsAtCompany]]&lt;=2,"1-2 Years",Table1[[#This Row],[YearsAtCompany]]&lt;=3,"2-3 Years",Table1[[#This Row],[YearsAtCompany]]&lt;=4,"3-4 Years",Table1[[#This Row],[YearsAtCompany]]&lt;=5,"4-5 Years",Table1[[#This Row],[YearsAtCompany]]&gt;5,"&gt;5 Years")</f>
        <v>&gt;5 Years</v>
      </c>
    </row>
    <row r="511" spans="1:39" hidden="1" x14ac:dyDescent="0.45">
      <c r="A511">
        <v>33</v>
      </c>
      <c r="B511" t="s">
        <v>43</v>
      </c>
      <c r="C511" t="s">
        <v>63</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_xlfn.IFS(Table1[[#This Row],[Age]]&lt;30,"Young",Table1[[#This Row],[Age]]&lt;=40,"Adult",Table1[[#This Row],[Age]]&gt;40,"Senior")</f>
        <v>Adult</v>
      </c>
      <c r="AK511" t="str" cm="1">
        <f t="array" ref="AK511">_xlfn.IFS(Table1[[#This Row],[MonthlyIncome]]&lt;5000,"Low",Table1[[#This Row],[MonthlyIncome]]&lt;10000,"Medium",Table1[[#This Row],[MonthlyIncome]]&gt;10000,"High")</f>
        <v>Medium</v>
      </c>
      <c r="AL511" t="str" cm="1">
        <f t="array" ref="AL511">_xlfn.IFS(Table1[[#This Row],[Attrition]]="Yes","Resigned",Table1[[#This Row],[Attrition]]="No","Active")</f>
        <v>Active</v>
      </c>
      <c r="AM511" t="str" cm="1">
        <f t="array" ref="AM511">_xlfn.IFS(Table1[[#This Row],[YearsAtCompany]]&lt;=1,"0-1 Year",Table1[[#This Row],[YearsAtCompany]]&lt;=2,"1-2 Years",Table1[[#This Row],[YearsAtCompany]]&lt;=3,"2-3 Years",Table1[[#This Row],[YearsAtCompany]]&lt;=4,"3-4 Years",Table1[[#This Row],[YearsAtCompany]]&lt;=5,"4-5 Years",Table1[[#This Row],[YearsAtCompany]]&gt;5,"&gt;5 Years")</f>
        <v>&gt;5 Years</v>
      </c>
    </row>
    <row r="512" spans="1:39" hidden="1" x14ac:dyDescent="0.45">
      <c r="A512">
        <v>54</v>
      </c>
      <c r="B512" t="s">
        <v>43</v>
      </c>
      <c r="C512" t="s">
        <v>64</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_xlfn.IFS(Table1[[#This Row],[Age]]&lt;30,"Young",Table1[[#This Row],[Age]]&lt;=40,"Adult",Table1[[#This Row],[Age]]&gt;40,"Senior")</f>
        <v>Senior</v>
      </c>
      <c r="AK512" t="str" cm="1">
        <f t="array" ref="AK512">_xlfn.IFS(Table1[[#This Row],[MonthlyIncome]]&lt;5000,"Low",Table1[[#This Row],[MonthlyIncome]]&lt;10000,"Medium",Table1[[#This Row],[MonthlyIncome]]&gt;10000,"High")</f>
        <v>High</v>
      </c>
      <c r="AL512" t="str" cm="1">
        <f t="array" ref="AL512">_xlfn.IFS(Table1[[#This Row],[Attrition]]="Yes","Resigned",Table1[[#This Row],[Attrition]]="No","Active")</f>
        <v>Active</v>
      </c>
      <c r="AM512" t="str" cm="1">
        <f t="array" ref="AM512">_xlfn.IFS(Table1[[#This Row],[YearsAtCompany]]&lt;=1,"0-1 Year",Table1[[#This Row],[YearsAtCompany]]&lt;=2,"1-2 Years",Table1[[#This Row],[YearsAtCompany]]&lt;=3,"2-3 Years",Table1[[#This Row],[YearsAtCompany]]&lt;=4,"3-4 Years",Table1[[#This Row],[YearsAtCompany]]&lt;=5,"4-5 Years",Table1[[#This Row],[YearsAtCompany]]&gt;5,"&gt;5 Years")</f>
        <v>&gt;5 Years</v>
      </c>
    </row>
    <row r="513" spans="1:39" hidden="1" x14ac:dyDescent="0.45">
      <c r="A513">
        <v>36</v>
      </c>
      <c r="B513" t="s">
        <v>43</v>
      </c>
      <c r="C513" t="s">
        <v>64</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_xlfn.IFS(Table1[[#This Row],[Age]]&lt;30,"Young",Table1[[#This Row],[Age]]&lt;=40,"Adult",Table1[[#This Row],[Age]]&gt;40,"Senior")</f>
        <v>Adult</v>
      </c>
      <c r="AK513" t="str" cm="1">
        <f t="array" ref="AK513">_xlfn.IFS(Table1[[#This Row],[MonthlyIncome]]&lt;5000,"Low",Table1[[#This Row],[MonthlyIncome]]&lt;10000,"Medium",Table1[[#This Row],[MonthlyIncome]]&gt;10000,"High")</f>
        <v>Medium</v>
      </c>
      <c r="AL513" t="str" cm="1">
        <f t="array" ref="AL513">_xlfn.IFS(Table1[[#This Row],[Attrition]]="Yes","Resigned",Table1[[#This Row],[Attrition]]="No","Active")</f>
        <v>Active</v>
      </c>
      <c r="AM513" t="str" cm="1">
        <f t="array" ref="AM513">_xlfn.IFS(Table1[[#This Row],[YearsAtCompany]]&lt;=1,"0-1 Year",Table1[[#This Row],[YearsAtCompany]]&lt;=2,"1-2 Years",Table1[[#This Row],[YearsAtCompany]]&lt;=3,"2-3 Years",Table1[[#This Row],[YearsAtCompany]]&lt;=4,"3-4 Years",Table1[[#This Row],[YearsAtCompany]]&lt;=5,"4-5 Years",Table1[[#This Row],[YearsAtCompany]]&gt;5,"&gt;5 Years")</f>
        <v>2-3 Years</v>
      </c>
    </row>
    <row r="514" spans="1:39" hidden="1" x14ac:dyDescent="0.45">
      <c r="A514">
        <v>27</v>
      </c>
      <c r="B514" t="s">
        <v>43</v>
      </c>
      <c r="C514" t="s">
        <v>64</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_xlfn.IFS(Table1[[#This Row],[Age]]&lt;30,"Young",Table1[[#This Row],[Age]]&lt;=40,"Adult",Table1[[#This Row],[Age]]&gt;40,"Senior")</f>
        <v>Young</v>
      </c>
      <c r="AK514" t="str" cm="1">
        <f t="array" ref="AK514">_xlfn.IFS(Table1[[#This Row],[MonthlyIncome]]&lt;5000,"Low",Table1[[#This Row],[MonthlyIncome]]&lt;10000,"Medium",Table1[[#This Row],[MonthlyIncome]]&gt;10000,"High")</f>
        <v>Low</v>
      </c>
      <c r="AL514" t="str" cm="1">
        <f t="array" ref="AL514">_xlfn.IFS(Table1[[#This Row],[Attrition]]="Yes","Resigned",Table1[[#This Row],[Attrition]]="No","Active")</f>
        <v>Active</v>
      </c>
      <c r="AM514" t="str" cm="1">
        <f t="array" ref="AM514">_xlfn.IFS(Table1[[#This Row],[YearsAtCompany]]&lt;=1,"0-1 Year",Table1[[#This Row],[YearsAtCompany]]&lt;=2,"1-2 Years",Table1[[#This Row],[YearsAtCompany]]&lt;=3,"2-3 Years",Table1[[#This Row],[YearsAtCompany]]&lt;=4,"3-4 Years",Table1[[#This Row],[YearsAtCompany]]&lt;=5,"4-5 Years",Table1[[#This Row],[YearsAtCompany]]&gt;5,"&gt;5 Years")</f>
        <v>3-4 Years</v>
      </c>
    </row>
    <row r="515" spans="1:39" hidden="1" x14ac:dyDescent="0.45">
      <c r="A515">
        <v>20</v>
      </c>
      <c r="B515" t="s">
        <v>35</v>
      </c>
      <c r="C515" t="s">
        <v>64</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_xlfn.IFS(Table1[[#This Row],[Age]]&lt;30,"Young",Table1[[#This Row],[Age]]&lt;=40,"Adult",Table1[[#This Row],[Age]]&gt;40,"Senior")</f>
        <v>Young</v>
      </c>
      <c r="AK515" t="str" cm="1">
        <f t="array" ref="AK515">_xlfn.IFS(Table1[[#This Row],[MonthlyIncome]]&lt;5000,"Low",Table1[[#This Row],[MonthlyIncome]]&lt;10000,"Medium",Table1[[#This Row],[MonthlyIncome]]&gt;10000,"High")</f>
        <v>Low</v>
      </c>
      <c r="AL515" t="str" cm="1">
        <f t="array" ref="AL515">_xlfn.IFS(Table1[[#This Row],[Attrition]]="Yes","Resigned",Table1[[#This Row],[Attrition]]="No","Active")</f>
        <v>Resigned</v>
      </c>
      <c r="AM515" t="str" cm="1">
        <f t="array" ref="AM515">_xlfn.IFS(Table1[[#This Row],[YearsAtCompany]]&lt;=1,"0-1 Year",Table1[[#This Row],[YearsAtCompany]]&lt;=2,"1-2 Years",Table1[[#This Row],[YearsAtCompany]]&lt;=3,"2-3 Years",Table1[[#This Row],[YearsAtCompany]]&lt;=4,"3-4 Years",Table1[[#This Row],[YearsAtCompany]]&lt;=5,"4-5 Years",Table1[[#This Row],[YearsAtCompany]]&gt;5,"&gt;5 Years")</f>
        <v>0-1 Year</v>
      </c>
    </row>
    <row r="516" spans="1:39" hidden="1" x14ac:dyDescent="0.45">
      <c r="A516">
        <v>33</v>
      </c>
      <c r="B516" t="s">
        <v>35</v>
      </c>
      <c r="C516" t="s">
        <v>63</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_xlfn.IFS(Table1[[#This Row],[Age]]&lt;30,"Young",Table1[[#This Row],[Age]]&lt;=40,"Adult",Table1[[#This Row],[Age]]&gt;40,"Senior")</f>
        <v>Adult</v>
      </c>
      <c r="AK516" t="str" cm="1">
        <f t="array" ref="AK516">_xlfn.IFS(Table1[[#This Row],[MonthlyIncome]]&lt;5000,"Low",Table1[[#This Row],[MonthlyIncome]]&lt;10000,"Medium",Table1[[#This Row],[MonthlyIncome]]&gt;10000,"High")</f>
        <v>Low</v>
      </c>
      <c r="AL516" t="str" cm="1">
        <f t="array" ref="AL516">_xlfn.IFS(Table1[[#This Row],[Attrition]]="Yes","Resigned",Table1[[#This Row],[Attrition]]="No","Active")</f>
        <v>Resigned</v>
      </c>
      <c r="AM516" t="str" cm="1">
        <f t="array" ref="AM516">_xlfn.IFS(Table1[[#This Row],[YearsAtCompany]]&lt;=1,"0-1 Year",Table1[[#This Row],[YearsAtCompany]]&lt;=2,"1-2 Years",Table1[[#This Row],[YearsAtCompany]]&lt;=3,"2-3 Years",Table1[[#This Row],[YearsAtCompany]]&lt;=4,"3-4 Years",Table1[[#This Row],[YearsAtCompany]]&lt;=5,"4-5 Years",Table1[[#This Row],[YearsAtCompany]]&gt;5,"&gt;5 Years")</f>
        <v>&gt;5 Years</v>
      </c>
    </row>
    <row r="517" spans="1:39" hidden="1" x14ac:dyDescent="0.45">
      <c r="A517">
        <v>35</v>
      </c>
      <c r="B517" t="s">
        <v>43</v>
      </c>
      <c r="C517" t="s">
        <v>62</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_xlfn.IFS(Table1[[#This Row],[Age]]&lt;30,"Young",Table1[[#This Row],[Age]]&lt;=40,"Adult",Table1[[#This Row],[Age]]&gt;40,"Senior")</f>
        <v>Adult</v>
      </c>
      <c r="AK517" t="str" cm="1">
        <f t="array" ref="AK517">_xlfn.IFS(Table1[[#This Row],[MonthlyIncome]]&lt;5000,"Low",Table1[[#This Row],[MonthlyIncome]]&lt;10000,"Medium",Table1[[#This Row],[MonthlyIncome]]&gt;10000,"High")</f>
        <v>Low</v>
      </c>
      <c r="AL517" t="str" cm="1">
        <f t="array" ref="AL517">_xlfn.IFS(Table1[[#This Row],[Attrition]]="Yes","Resigned",Table1[[#This Row],[Attrition]]="No","Active")</f>
        <v>Active</v>
      </c>
      <c r="AM517" t="str" cm="1">
        <f t="array" ref="AM517">_xlfn.IFS(Table1[[#This Row],[YearsAtCompany]]&lt;=1,"0-1 Year",Table1[[#This Row],[YearsAtCompany]]&lt;=2,"1-2 Years",Table1[[#This Row],[YearsAtCompany]]&lt;=3,"2-3 Years",Table1[[#This Row],[YearsAtCompany]]&lt;=4,"3-4 Years",Table1[[#This Row],[YearsAtCompany]]&lt;=5,"4-5 Years",Table1[[#This Row],[YearsAtCompany]]&gt;5,"&gt;5 Years")</f>
        <v>0-1 Year</v>
      </c>
    </row>
    <row r="518" spans="1:39" hidden="1" x14ac:dyDescent="0.45">
      <c r="A518">
        <v>23</v>
      </c>
      <c r="B518" t="s">
        <v>43</v>
      </c>
      <c r="C518" t="s">
        <v>64</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_xlfn.IFS(Table1[[#This Row],[Age]]&lt;30,"Young",Table1[[#This Row],[Age]]&lt;=40,"Adult",Table1[[#This Row],[Age]]&gt;40,"Senior")</f>
        <v>Young</v>
      </c>
      <c r="AK518" t="str" cm="1">
        <f t="array" ref="AK518">_xlfn.IFS(Table1[[#This Row],[MonthlyIncome]]&lt;5000,"Low",Table1[[#This Row],[MonthlyIncome]]&lt;10000,"Medium",Table1[[#This Row],[MonthlyIncome]]&gt;10000,"High")</f>
        <v>Low</v>
      </c>
      <c r="AL518" t="str" cm="1">
        <f t="array" ref="AL518">_xlfn.IFS(Table1[[#This Row],[Attrition]]="Yes","Resigned",Table1[[#This Row],[Attrition]]="No","Active")</f>
        <v>Active</v>
      </c>
      <c r="AM518" t="str" cm="1">
        <f t="array" ref="AM518">_xlfn.IFS(Table1[[#This Row],[YearsAtCompany]]&lt;=1,"0-1 Year",Table1[[#This Row],[YearsAtCompany]]&lt;=2,"1-2 Years",Table1[[#This Row],[YearsAtCompany]]&lt;=3,"2-3 Years",Table1[[#This Row],[YearsAtCompany]]&lt;=4,"3-4 Years",Table1[[#This Row],[YearsAtCompany]]&lt;=5,"4-5 Years",Table1[[#This Row],[YearsAtCompany]]&gt;5,"&gt;5 Years")</f>
        <v>2-3 Years</v>
      </c>
    </row>
    <row r="519" spans="1:39" x14ac:dyDescent="0.45">
      <c r="A519">
        <v>25</v>
      </c>
      <c r="B519" t="s">
        <v>43</v>
      </c>
      <c r="C519" t="s">
        <v>64</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_xlfn.IFS(Table1[[#This Row],[Age]]&lt;30,"Young",Table1[[#This Row],[Age]]&lt;=40,"Adult",Table1[[#This Row],[Age]]&gt;40,"Senior")</f>
        <v>Young</v>
      </c>
      <c r="AK519" t="str" cm="1">
        <f t="array" ref="AK519">_xlfn.IFS(Table1[[#This Row],[MonthlyIncome]]&lt;5000,"Low",Table1[[#This Row],[MonthlyIncome]]&lt;10000,"Medium",Table1[[#This Row],[MonthlyIncome]]&gt;10000,"High")</f>
        <v>Low</v>
      </c>
      <c r="AL519" t="str" cm="1">
        <f t="array" ref="AL519">_xlfn.IFS(Table1[[#This Row],[Attrition]]="Yes","Resigned",Table1[[#This Row],[Attrition]]="No","Active")</f>
        <v>Active</v>
      </c>
      <c r="AM519" t="str" cm="1">
        <f t="array" ref="AM519">_xlfn.IFS(Table1[[#This Row],[YearsAtCompany]]&lt;=1,"0-1 Year",Table1[[#This Row],[YearsAtCompany]]&lt;=2,"1-2 Years",Table1[[#This Row],[YearsAtCompany]]&lt;=3,"2-3 Years",Table1[[#This Row],[YearsAtCompany]]&lt;=4,"3-4 Years",Table1[[#This Row],[YearsAtCompany]]&lt;=5,"4-5 Years",Table1[[#This Row],[YearsAtCompany]]&gt;5,"&gt;5 Years")</f>
        <v>2-3 Years</v>
      </c>
    </row>
    <row r="520" spans="1:39" x14ac:dyDescent="0.45">
      <c r="A520">
        <v>38</v>
      </c>
      <c r="B520" t="s">
        <v>43</v>
      </c>
      <c r="C520" t="s">
        <v>64</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_xlfn.IFS(Table1[[#This Row],[Age]]&lt;30,"Young",Table1[[#This Row],[Age]]&lt;=40,"Adult",Table1[[#This Row],[Age]]&gt;40,"Senior")</f>
        <v>Adult</v>
      </c>
      <c r="AK520" t="str" cm="1">
        <f t="array" ref="AK520">_xlfn.IFS(Table1[[#This Row],[MonthlyIncome]]&lt;5000,"Low",Table1[[#This Row],[MonthlyIncome]]&lt;10000,"Medium",Table1[[#This Row],[MonthlyIncome]]&gt;10000,"High")</f>
        <v>Low</v>
      </c>
      <c r="AL520" t="str" cm="1">
        <f t="array" ref="AL520">_xlfn.IFS(Table1[[#This Row],[Attrition]]="Yes","Resigned",Table1[[#This Row],[Attrition]]="No","Active")</f>
        <v>Active</v>
      </c>
      <c r="AM520" t="str" cm="1">
        <f t="array" ref="AM520">_xlfn.IFS(Table1[[#This Row],[YearsAtCompany]]&lt;=1,"0-1 Year",Table1[[#This Row],[YearsAtCompany]]&lt;=2,"1-2 Years",Table1[[#This Row],[YearsAtCompany]]&lt;=3,"2-3 Years",Table1[[#This Row],[YearsAtCompany]]&lt;=4,"3-4 Years",Table1[[#This Row],[YearsAtCompany]]&lt;=5,"4-5 Years",Table1[[#This Row],[YearsAtCompany]]&gt;5,"&gt;5 Years")</f>
        <v>&gt;5 Years</v>
      </c>
    </row>
    <row r="521" spans="1:39" hidden="1" x14ac:dyDescent="0.45">
      <c r="A521">
        <v>29</v>
      </c>
      <c r="B521" t="s">
        <v>43</v>
      </c>
      <c r="C521" t="s">
        <v>63</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_xlfn.IFS(Table1[[#This Row],[Age]]&lt;30,"Young",Table1[[#This Row],[Age]]&lt;=40,"Adult",Table1[[#This Row],[Age]]&gt;40,"Senior")</f>
        <v>Young</v>
      </c>
      <c r="AK521" t="str" cm="1">
        <f t="array" ref="AK521">_xlfn.IFS(Table1[[#This Row],[MonthlyIncome]]&lt;5000,"Low",Table1[[#This Row],[MonthlyIncome]]&lt;10000,"Medium",Table1[[#This Row],[MonthlyIncome]]&gt;10000,"High")</f>
        <v>Low</v>
      </c>
      <c r="AL521" t="str" cm="1">
        <f t="array" ref="AL521">_xlfn.IFS(Table1[[#This Row],[Attrition]]="Yes","Resigned",Table1[[#This Row],[Attrition]]="No","Active")</f>
        <v>Active</v>
      </c>
      <c r="AM521" t="str" cm="1">
        <f t="array" ref="AM521">_xlfn.IFS(Table1[[#This Row],[YearsAtCompany]]&lt;=1,"0-1 Year",Table1[[#This Row],[YearsAtCompany]]&lt;=2,"1-2 Years",Table1[[#This Row],[YearsAtCompany]]&lt;=3,"2-3 Years",Table1[[#This Row],[YearsAtCompany]]&lt;=4,"3-4 Years",Table1[[#This Row],[YearsAtCompany]]&lt;=5,"4-5 Years",Table1[[#This Row],[YearsAtCompany]]&gt;5,"&gt;5 Years")</f>
        <v>&gt;5 Years</v>
      </c>
    </row>
    <row r="522" spans="1:39" x14ac:dyDescent="0.45">
      <c r="A522">
        <v>48</v>
      </c>
      <c r="B522" t="s">
        <v>43</v>
      </c>
      <c r="C522" t="s">
        <v>64</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_xlfn.IFS(Table1[[#This Row],[Age]]&lt;30,"Young",Table1[[#This Row],[Age]]&lt;=40,"Adult",Table1[[#This Row],[Age]]&gt;40,"Senior")</f>
        <v>Senior</v>
      </c>
      <c r="AK522" t="str" cm="1">
        <f t="array" ref="AK522">_xlfn.IFS(Table1[[#This Row],[MonthlyIncome]]&lt;5000,"Low",Table1[[#This Row],[MonthlyIncome]]&lt;10000,"Medium",Table1[[#This Row],[MonthlyIncome]]&gt;10000,"High")</f>
        <v>Medium</v>
      </c>
      <c r="AL522" t="str" cm="1">
        <f t="array" ref="AL522">_xlfn.IFS(Table1[[#This Row],[Attrition]]="Yes","Resigned",Table1[[#This Row],[Attrition]]="No","Active")</f>
        <v>Active</v>
      </c>
      <c r="AM522" t="str" cm="1">
        <f t="array" ref="AM522">_xlfn.IFS(Table1[[#This Row],[YearsAtCompany]]&lt;=1,"0-1 Year",Table1[[#This Row],[YearsAtCompany]]&lt;=2,"1-2 Years",Table1[[#This Row],[YearsAtCompany]]&lt;=3,"2-3 Years",Table1[[#This Row],[YearsAtCompany]]&lt;=4,"3-4 Years",Table1[[#This Row],[YearsAtCompany]]&lt;=5,"4-5 Years",Table1[[#This Row],[YearsAtCompany]]&gt;5,"&gt;5 Years")</f>
        <v>1-2 Years</v>
      </c>
    </row>
    <row r="523" spans="1:39" x14ac:dyDescent="0.45">
      <c r="A523">
        <v>27</v>
      </c>
      <c r="B523" t="s">
        <v>43</v>
      </c>
      <c r="C523" t="s">
        <v>63</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_xlfn.IFS(Table1[[#This Row],[Age]]&lt;30,"Young",Table1[[#This Row],[Age]]&lt;=40,"Adult",Table1[[#This Row],[Age]]&gt;40,"Senior")</f>
        <v>Young</v>
      </c>
      <c r="AK523" t="str" cm="1">
        <f t="array" ref="AK523">_xlfn.IFS(Table1[[#This Row],[MonthlyIncome]]&lt;5000,"Low",Table1[[#This Row],[MonthlyIncome]]&lt;10000,"Medium",Table1[[#This Row],[MonthlyIncome]]&gt;10000,"High")</f>
        <v>Low</v>
      </c>
      <c r="AL523" t="str" cm="1">
        <f t="array" ref="AL523">_xlfn.IFS(Table1[[#This Row],[Attrition]]="Yes","Resigned",Table1[[#This Row],[Attrition]]="No","Active")</f>
        <v>Active</v>
      </c>
      <c r="AM523" t="str" cm="1">
        <f t="array" ref="AM523">_xlfn.IFS(Table1[[#This Row],[YearsAtCompany]]&lt;=1,"0-1 Year",Table1[[#This Row],[YearsAtCompany]]&lt;=2,"1-2 Years",Table1[[#This Row],[YearsAtCompany]]&lt;=3,"2-3 Years",Table1[[#This Row],[YearsAtCompany]]&lt;=4,"3-4 Years",Table1[[#This Row],[YearsAtCompany]]&lt;=5,"4-5 Years",Table1[[#This Row],[YearsAtCompany]]&gt;5,"&gt;5 Years")</f>
        <v>&gt;5 Years</v>
      </c>
    </row>
    <row r="524" spans="1:39" hidden="1" x14ac:dyDescent="0.45">
      <c r="A524">
        <v>37</v>
      </c>
      <c r="B524" t="s">
        <v>43</v>
      </c>
      <c r="C524" t="s">
        <v>64</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_xlfn.IFS(Table1[[#This Row],[Age]]&lt;30,"Young",Table1[[#This Row],[Age]]&lt;=40,"Adult",Table1[[#This Row],[Age]]&gt;40,"Senior")</f>
        <v>Adult</v>
      </c>
      <c r="AK524" t="str" cm="1">
        <f t="array" ref="AK524">_xlfn.IFS(Table1[[#This Row],[MonthlyIncome]]&lt;5000,"Low",Table1[[#This Row],[MonthlyIncome]]&lt;10000,"Medium",Table1[[#This Row],[MonthlyIncome]]&gt;10000,"High")</f>
        <v>Low</v>
      </c>
      <c r="AL524" t="str" cm="1">
        <f t="array" ref="AL524">_xlfn.IFS(Table1[[#This Row],[Attrition]]="Yes","Resigned",Table1[[#This Row],[Attrition]]="No","Active")</f>
        <v>Active</v>
      </c>
      <c r="AM524" t="str" cm="1">
        <f t="array" ref="AM524">_xlfn.IFS(Table1[[#This Row],[YearsAtCompany]]&lt;=1,"0-1 Year",Table1[[#This Row],[YearsAtCompany]]&lt;=2,"1-2 Years",Table1[[#This Row],[YearsAtCompany]]&lt;=3,"2-3 Years",Table1[[#This Row],[YearsAtCompany]]&lt;=4,"3-4 Years",Table1[[#This Row],[YearsAtCompany]]&lt;=5,"4-5 Years",Table1[[#This Row],[YearsAtCompany]]&gt;5,"&gt;5 Years")</f>
        <v>0-1 Year</v>
      </c>
    </row>
    <row r="525" spans="1:39" hidden="1" x14ac:dyDescent="0.45">
      <c r="A525">
        <v>50</v>
      </c>
      <c r="B525" t="s">
        <v>43</v>
      </c>
      <c r="C525" t="s">
        <v>64</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_xlfn.IFS(Table1[[#This Row],[Age]]&lt;30,"Young",Table1[[#This Row],[Age]]&lt;=40,"Adult",Table1[[#This Row],[Age]]&gt;40,"Senior")</f>
        <v>Senior</v>
      </c>
      <c r="AK525" t="str" cm="1">
        <f t="array" ref="AK525">_xlfn.IFS(Table1[[#This Row],[MonthlyIncome]]&lt;5000,"Low",Table1[[#This Row],[MonthlyIncome]]&lt;10000,"Medium",Table1[[#This Row],[MonthlyIncome]]&gt;10000,"High")</f>
        <v>Low</v>
      </c>
      <c r="AL525" t="str" cm="1">
        <f t="array" ref="AL525">_xlfn.IFS(Table1[[#This Row],[Attrition]]="Yes","Resigned",Table1[[#This Row],[Attrition]]="No","Active")</f>
        <v>Active</v>
      </c>
      <c r="AM525" t="str" cm="1">
        <f t="array" ref="AM525">_xlfn.IFS(Table1[[#This Row],[YearsAtCompany]]&lt;=1,"0-1 Year",Table1[[#This Row],[YearsAtCompany]]&lt;=2,"1-2 Years",Table1[[#This Row],[YearsAtCompany]]&lt;=3,"2-3 Years",Table1[[#This Row],[YearsAtCompany]]&lt;=4,"3-4 Years",Table1[[#This Row],[YearsAtCompany]]&lt;=5,"4-5 Years",Table1[[#This Row],[YearsAtCompany]]&gt;5,"&gt;5 Years")</f>
        <v>&gt;5 Years</v>
      </c>
    </row>
    <row r="526" spans="1:39" hidden="1" x14ac:dyDescent="0.45">
      <c r="A526">
        <v>34</v>
      </c>
      <c r="B526" t="s">
        <v>43</v>
      </c>
      <c r="C526" t="s">
        <v>64</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_xlfn.IFS(Table1[[#This Row],[Age]]&lt;30,"Young",Table1[[#This Row],[Age]]&lt;=40,"Adult",Table1[[#This Row],[Age]]&gt;40,"Senior")</f>
        <v>Adult</v>
      </c>
      <c r="AK526" t="str" cm="1">
        <f t="array" ref="AK526">_xlfn.IFS(Table1[[#This Row],[MonthlyIncome]]&lt;5000,"Low",Table1[[#This Row],[MonthlyIncome]]&lt;10000,"Medium",Table1[[#This Row],[MonthlyIncome]]&gt;10000,"High")</f>
        <v>Medium</v>
      </c>
      <c r="AL526" t="str" cm="1">
        <f t="array" ref="AL526">_xlfn.IFS(Table1[[#This Row],[Attrition]]="Yes","Resigned",Table1[[#This Row],[Attrition]]="No","Active")</f>
        <v>Active</v>
      </c>
      <c r="AM526" t="str" cm="1">
        <f t="array" ref="AM526">_xlfn.IFS(Table1[[#This Row],[YearsAtCompany]]&lt;=1,"0-1 Year",Table1[[#This Row],[YearsAtCompany]]&lt;=2,"1-2 Years",Table1[[#This Row],[YearsAtCompany]]&lt;=3,"2-3 Years",Table1[[#This Row],[YearsAtCompany]]&lt;=4,"3-4 Years",Table1[[#This Row],[YearsAtCompany]]&lt;=5,"4-5 Years",Table1[[#This Row],[YearsAtCompany]]&gt;5,"&gt;5 Years")</f>
        <v>&gt;5 Years</v>
      </c>
    </row>
    <row r="527" spans="1:39" x14ac:dyDescent="0.45">
      <c r="A527">
        <v>24</v>
      </c>
      <c r="B527" t="s">
        <v>35</v>
      </c>
      <c r="C527" t="s">
        <v>64</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_xlfn.IFS(Table1[[#This Row],[Age]]&lt;30,"Young",Table1[[#This Row],[Age]]&lt;=40,"Adult",Table1[[#This Row],[Age]]&gt;40,"Senior")</f>
        <v>Young</v>
      </c>
      <c r="AK527" t="str" cm="1">
        <f t="array" ref="AK527">_xlfn.IFS(Table1[[#This Row],[MonthlyIncome]]&lt;5000,"Low",Table1[[#This Row],[MonthlyIncome]]&lt;10000,"Medium",Table1[[#This Row],[MonthlyIncome]]&gt;10000,"High")</f>
        <v>Low</v>
      </c>
      <c r="AL527" t="str" cm="1">
        <f t="array" ref="AL527">_xlfn.IFS(Table1[[#This Row],[Attrition]]="Yes","Resigned",Table1[[#This Row],[Attrition]]="No","Active")</f>
        <v>Resigned</v>
      </c>
      <c r="AM527" t="str" cm="1">
        <f t="array" ref="AM527">_xlfn.IFS(Table1[[#This Row],[YearsAtCompany]]&lt;=1,"0-1 Year",Table1[[#This Row],[YearsAtCompany]]&lt;=2,"1-2 Years",Table1[[#This Row],[YearsAtCompany]]&lt;=3,"2-3 Years",Table1[[#This Row],[YearsAtCompany]]&lt;=4,"3-4 Years",Table1[[#This Row],[YearsAtCompany]]&lt;=5,"4-5 Years",Table1[[#This Row],[YearsAtCompany]]&gt;5,"&gt;5 Years")</f>
        <v>1-2 Years</v>
      </c>
    </row>
    <row r="528" spans="1:39" hidden="1" x14ac:dyDescent="0.45">
      <c r="A528">
        <v>39</v>
      </c>
      <c r="B528" t="s">
        <v>43</v>
      </c>
      <c r="C528" t="s">
        <v>64</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_xlfn.IFS(Table1[[#This Row],[Age]]&lt;30,"Young",Table1[[#This Row],[Age]]&lt;=40,"Adult",Table1[[#This Row],[Age]]&gt;40,"Senior")</f>
        <v>Adult</v>
      </c>
      <c r="AK528" t="str" cm="1">
        <f t="array" ref="AK528">_xlfn.IFS(Table1[[#This Row],[MonthlyIncome]]&lt;5000,"Low",Table1[[#This Row],[MonthlyIncome]]&lt;10000,"Medium",Table1[[#This Row],[MonthlyIncome]]&gt;10000,"High")</f>
        <v>Low</v>
      </c>
      <c r="AL528" t="str" cm="1">
        <f t="array" ref="AL528">_xlfn.IFS(Table1[[#This Row],[Attrition]]="Yes","Resigned",Table1[[#This Row],[Attrition]]="No","Active")</f>
        <v>Active</v>
      </c>
      <c r="AM528" t="str" cm="1">
        <f t="array" ref="AM528">_xlfn.IFS(Table1[[#This Row],[YearsAtCompany]]&lt;=1,"0-1 Year",Table1[[#This Row],[YearsAtCompany]]&lt;=2,"1-2 Years",Table1[[#This Row],[YearsAtCompany]]&lt;=3,"2-3 Years",Table1[[#This Row],[YearsAtCompany]]&lt;=4,"3-4 Years",Table1[[#This Row],[YearsAtCompany]]&lt;=5,"4-5 Years",Table1[[#This Row],[YearsAtCompany]]&gt;5,"&gt;5 Years")</f>
        <v>&gt;5 Years</v>
      </c>
    </row>
    <row r="529" spans="1:39" x14ac:dyDescent="0.45">
      <c r="A529">
        <v>32</v>
      </c>
      <c r="B529" t="s">
        <v>43</v>
      </c>
      <c r="C529" t="s">
        <v>64</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_xlfn.IFS(Table1[[#This Row],[Age]]&lt;30,"Young",Table1[[#This Row],[Age]]&lt;=40,"Adult",Table1[[#This Row],[Age]]&gt;40,"Senior")</f>
        <v>Adult</v>
      </c>
      <c r="AK529" t="str" cm="1">
        <f t="array" ref="AK529">_xlfn.IFS(Table1[[#This Row],[MonthlyIncome]]&lt;5000,"Low",Table1[[#This Row],[MonthlyIncome]]&lt;10000,"Medium",Table1[[#This Row],[MonthlyIncome]]&gt;10000,"High")</f>
        <v>Medium</v>
      </c>
      <c r="AL529" t="str" cm="1">
        <f t="array" ref="AL529">_xlfn.IFS(Table1[[#This Row],[Attrition]]="Yes","Resigned",Table1[[#This Row],[Attrition]]="No","Active")</f>
        <v>Active</v>
      </c>
      <c r="AM529" t="str" cm="1">
        <f t="array" ref="AM529">_xlfn.IFS(Table1[[#This Row],[YearsAtCompany]]&lt;=1,"0-1 Year",Table1[[#This Row],[YearsAtCompany]]&lt;=2,"1-2 Years",Table1[[#This Row],[YearsAtCompany]]&lt;=3,"2-3 Years",Table1[[#This Row],[YearsAtCompany]]&lt;=4,"3-4 Years",Table1[[#This Row],[YearsAtCompany]]&lt;=5,"4-5 Years",Table1[[#This Row],[YearsAtCompany]]&gt;5,"&gt;5 Years")</f>
        <v>&gt;5 Years</v>
      </c>
    </row>
    <row r="530" spans="1:39" x14ac:dyDescent="0.45">
      <c r="A530">
        <v>50</v>
      </c>
      <c r="B530" t="s">
        <v>35</v>
      </c>
      <c r="C530" t="s">
        <v>63</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_xlfn.IFS(Table1[[#This Row],[Age]]&lt;30,"Young",Table1[[#This Row],[Age]]&lt;=40,"Adult",Table1[[#This Row],[Age]]&gt;40,"Senior")</f>
        <v>Senior</v>
      </c>
      <c r="AK530" t="str" cm="1">
        <f t="array" ref="AK530">_xlfn.IFS(Table1[[#This Row],[MonthlyIncome]]&lt;5000,"Low",Table1[[#This Row],[MonthlyIncome]]&lt;10000,"Medium",Table1[[#This Row],[MonthlyIncome]]&gt;10000,"High")</f>
        <v>Medium</v>
      </c>
      <c r="AL530" t="str" cm="1">
        <f t="array" ref="AL530">_xlfn.IFS(Table1[[#This Row],[Attrition]]="Yes","Resigned",Table1[[#This Row],[Attrition]]="No","Active")</f>
        <v>Resigned</v>
      </c>
      <c r="AM530" t="str" cm="1">
        <f t="array" ref="AM530">_xlfn.IFS(Table1[[#This Row],[YearsAtCompany]]&lt;=1,"0-1 Year",Table1[[#This Row],[YearsAtCompany]]&lt;=2,"1-2 Years",Table1[[#This Row],[YearsAtCompany]]&lt;=3,"2-3 Years",Table1[[#This Row],[YearsAtCompany]]&lt;=4,"3-4 Years",Table1[[#This Row],[YearsAtCompany]]&lt;=5,"4-5 Years",Table1[[#This Row],[YearsAtCompany]]&gt;5,"&gt;5 Years")</f>
        <v>3-4 Years</v>
      </c>
    </row>
    <row r="531" spans="1:39" hidden="1" x14ac:dyDescent="0.45">
      <c r="A531">
        <v>38</v>
      </c>
      <c r="B531" t="s">
        <v>43</v>
      </c>
      <c r="C531" t="s">
        <v>64</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_xlfn.IFS(Table1[[#This Row],[Age]]&lt;30,"Young",Table1[[#This Row],[Age]]&lt;=40,"Adult",Table1[[#This Row],[Age]]&gt;40,"Senior")</f>
        <v>Adult</v>
      </c>
      <c r="AK531" t="str" cm="1">
        <f t="array" ref="AK531">_xlfn.IFS(Table1[[#This Row],[MonthlyIncome]]&lt;5000,"Low",Table1[[#This Row],[MonthlyIncome]]&lt;10000,"Medium",Table1[[#This Row],[MonthlyIncome]]&gt;10000,"High")</f>
        <v>Medium</v>
      </c>
      <c r="AL531" t="str" cm="1">
        <f t="array" ref="AL531">_xlfn.IFS(Table1[[#This Row],[Attrition]]="Yes","Resigned",Table1[[#This Row],[Attrition]]="No","Active")</f>
        <v>Active</v>
      </c>
      <c r="AM531" t="str" cm="1">
        <f t="array" ref="AM531">_xlfn.IFS(Table1[[#This Row],[YearsAtCompany]]&lt;=1,"0-1 Year",Table1[[#This Row],[YearsAtCompany]]&lt;=2,"1-2 Years",Table1[[#This Row],[YearsAtCompany]]&lt;=3,"2-3 Years",Table1[[#This Row],[YearsAtCompany]]&lt;=4,"3-4 Years",Table1[[#This Row],[YearsAtCompany]]&lt;=5,"4-5 Years",Table1[[#This Row],[YearsAtCompany]]&gt;5,"&gt;5 Years")</f>
        <v>&gt;5 Years</v>
      </c>
    </row>
    <row r="532" spans="1:39" hidden="1" x14ac:dyDescent="0.45">
      <c r="A532">
        <v>27</v>
      </c>
      <c r="B532" t="s">
        <v>43</v>
      </c>
      <c r="C532" t="s">
        <v>64</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_xlfn.IFS(Table1[[#This Row],[Age]]&lt;30,"Young",Table1[[#This Row],[Age]]&lt;=40,"Adult",Table1[[#This Row],[Age]]&gt;40,"Senior")</f>
        <v>Young</v>
      </c>
      <c r="AK532" t="str" cm="1">
        <f t="array" ref="AK532">_xlfn.IFS(Table1[[#This Row],[MonthlyIncome]]&lt;5000,"Low",Table1[[#This Row],[MonthlyIncome]]&lt;10000,"Medium",Table1[[#This Row],[MonthlyIncome]]&gt;10000,"High")</f>
        <v>Medium</v>
      </c>
      <c r="AL532" t="str" cm="1">
        <f t="array" ref="AL532">_xlfn.IFS(Table1[[#This Row],[Attrition]]="Yes","Resigned",Table1[[#This Row],[Attrition]]="No","Active")</f>
        <v>Active</v>
      </c>
      <c r="AM532" t="str" cm="1">
        <f t="array" ref="AM532">_xlfn.IFS(Table1[[#This Row],[YearsAtCompany]]&lt;=1,"0-1 Year",Table1[[#This Row],[YearsAtCompany]]&lt;=2,"1-2 Years",Table1[[#This Row],[YearsAtCompany]]&lt;=3,"2-3 Years",Table1[[#This Row],[YearsAtCompany]]&lt;=4,"3-4 Years",Table1[[#This Row],[YearsAtCompany]]&lt;=5,"4-5 Years",Table1[[#This Row],[YearsAtCompany]]&gt;5,"&gt;5 Years")</f>
        <v>&gt;5 Years</v>
      </c>
    </row>
    <row r="533" spans="1:39" hidden="1" x14ac:dyDescent="0.45">
      <c r="A533">
        <v>32</v>
      </c>
      <c r="B533" t="s">
        <v>43</v>
      </c>
      <c r="C533" t="s">
        <v>64</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_xlfn.IFS(Table1[[#This Row],[Age]]&lt;30,"Young",Table1[[#This Row],[Age]]&lt;=40,"Adult",Table1[[#This Row],[Age]]&gt;40,"Senior")</f>
        <v>Adult</v>
      </c>
      <c r="AK533" t="str" cm="1">
        <f t="array" ref="AK533">_xlfn.IFS(Table1[[#This Row],[MonthlyIncome]]&lt;5000,"Low",Table1[[#This Row],[MonthlyIncome]]&lt;10000,"Medium",Table1[[#This Row],[MonthlyIncome]]&gt;10000,"High")</f>
        <v>High</v>
      </c>
      <c r="AL533" t="str" cm="1">
        <f t="array" ref="AL533">_xlfn.IFS(Table1[[#This Row],[Attrition]]="Yes","Resigned",Table1[[#This Row],[Attrition]]="No","Active")</f>
        <v>Active</v>
      </c>
      <c r="AM533" t="str" cm="1">
        <f t="array" ref="AM533">_xlfn.IFS(Table1[[#This Row],[YearsAtCompany]]&lt;=1,"0-1 Year",Table1[[#This Row],[YearsAtCompany]]&lt;=2,"1-2 Years",Table1[[#This Row],[YearsAtCompany]]&lt;=3,"2-3 Years",Table1[[#This Row],[YearsAtCompany]]&lt;=4,"3-4 Years",Table1[[#This Row],[YearsAtCompany]]&lt;=5,"4-5 Years",Table1[[#This Row],[YearsAtCompany]]&gt;5,"&gt;5 Years")</f>
        <v>&gt;5 Years</v>
      </c>
    </row>
    <row r="534" spans="1:39" x14ac:dyDescent="0.45">
      <c r="A534">
        <v>47</v>
      </c>
      <c r="B534" t="s">
        <v>43</v>
      </c>
      <c r="C534" t="s">
        <v>64</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_xlfn.IFS(Table1[[#This Row],[Age]]&lt;30,"Young",Table1[[#This Row],[Age]]&lt;=40,"Adult",Table1[[#This Row],[Age]]&gt;40,"Senior")</f>
        <v>Senior</v>
      </c>
      <c r="AK534" t="str" cm="1">
        <f t="array" ref="AK534">_xlfn.IFS(Table1[[#This Row],[MonthlyIncome]]&lt;5000,"Low",Table1[[#This Row],[MonthlyIncome]]&lt;10000,"Medium",Table1[[#This Row],[MonthlyIncome]]&gt;10000,"High")</f>
        <v>Low</v>
      </c>
      <c r="AL534" t="str" cm="1">
        <f t="array" ref="AL534">_xlfn.IFS(Table1[[#This Row],[Attrition]]="Yes","Resigned",Table1[[#This Row],[Attrition]]="No","Active")</f>
        <v>Active</v>
      </c>
      <c r="AM534" t="str" cm="1">
        <f t="array" ref="AM534">_xlfn.IFS(Table1[[#This Row],[YearsAtCompany]]&lt;=1,"0-1 Year",Table1[[#This Row],[YearsAtCompany]]&lt;=2,"1-2 Years",Table1[[#This Row],[YearsAtCompany]]&lt;=3,"2-3 Years",Table1[[#This Row],[YearsAtCompany]]&lt;=4,"3-4 Years",Table1[[#This Row],[YearsAtCompany]]&lt;=5,"4-5 Years",Table1[[#This Row],[YearsAtCompany]]&gt;5,"&gt;5 Years")</f>
        <v>&gt;5 Years</v>
      </c>
    </row>
    <row r="535" spans="1:39" x14ac:dyDescent="0.45">
      <c r="A535">
        <v>40</v>
      </c>
      <c r="B535" t="s">
        <v>43</v>
      </c>
      <c r="C535" t="s">
        <v>63</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_xlfn.IFS(Table1[[#This Row],[Age]]&lt;30,"Young",Table1[[#This Row],[Age]]&lt;=40,"Adult",Table1[[#This Row],[Age]]&gt;40,"Senior")</f>
        <v>Adult</v>
      </c>
      <c r="AK535" t="str" cm="1">
        <f t="array" ref="AK535">_xlfn.IFS(Table1[[#This Row],[MonthlyIncome]]&lt;5000,"Low",Table1[[#This Row],[MonthlyIncome]]&lt;10000,"Medium",Table1[[#This Row],[MonthlyIncome]]&gt;10000,"High")</f>
        <v>High</v>
      </c>
      <c r="AL535" t="str" cm="1">
        <f t="array" ref="AL535">_xlfn.IFS(Table1[[#This Row],[Attrition]]="Yes","Resigned",Table1[[#This Row],[Attrition]]="No","Active")</f>
        <v>Active</v>
      </c>
      <c r="AM535" t="str" cm="1">
        <f t="array" ref="AM535">_xlfn.IFS(Table1[[#This Row],[YearsAtCompany]]&lt;=1,"0-1 Year",Table1[[#This Row],[YearsAtCompany]]&lt;=2,"1-2 Years",Table1[[#This Row],[YearsAtCompany]]&lt;=3,"2-3 Years",Table1[[#This Row],[YearsAtCompany]]&lt;=4,"3-4 Years",Table1[[#This Row],[YearsAtCompany]]&lt;=5,"4-5 Years",Table1[[#This Row],[YearsAtCompany]]&gt;5,"&gt;5 Years")</f>
        <v>&gt;5 Years</v>
      </c>
    </row>
    <row r="536" spans="1:39" hidden="1" x14ac:dyDescent="0.45">
      <c r="A536">
        <v>53</v>
      </c>
      <c r="B536" t="s">
        <v>43</v>
      </c>
      <c r="C536" t="s">
        <v>64</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_xlfn.IFS(Table1[[#This Row],[Age]]&lt;30,"Young",Table1[[#This Row],[Age]]&lt;=40,"Adult",Table1[[#This Row],[Age]]&gt;40,"Senior")</f>
        <v>Senior</v>
      </c>
      <c r="AK536" t="str" cm="1">
        <f t="array" ref="AK536">_xlfn.IFS(Table1[[#This Row],[MonthlyIncome]]&lt;5000,"Low",Table1[[#This Row],[MonthlyIncome]]&lt;10000,"Medium",Table1[[#This Row],[MonthlyIncome]]&gt;10000,"High")</f>
        <v>High</v>
      </c>
      <c r="AL536" t="str" cm="1">
        <f t="array" ref="AL536">_xlfn.IFS(Table1[[#This Row],[Attrition]]="Yes","Resigned",Table1[[#This Row],[Attrition]]="No","Active")</f>
        <v>Active</v>
      </c>
      <c r="AM536" t="str" cm="1">
        <f t="array" ref="AM536">_xlfn.IFS(Table1[[#This Row],[YearsAtCompany]]&lt;=1,"0-1 Year",Table1[[#This Row],[YearsAtCompany]]&lt;=2,"1-2 Years",Table1[[#This Row],[YearsAtCompany]]&lt;=3,"2-3 Years",Table1[[#This Row],[YearsAtCompany]]&lt;=4,"3-4 Years",Table1[[#This Row],[YearsAtCompany]]&lt;=5,"4-5 Years",Table1[[#This Row],[YearsAtCompany]]&gt;5,"&gt;5 Years")</f>
        <v>4-5 Years</v>
      </c>
    </row>
    <row r="537" spans="1:39" hidden="1" x14ac:dyDescent="0.45">
      <c r="A537">
        <v>41</v>
      </c>
      <c r="B537" t="s">
        <v>43</v>
      </c>
      <c r="C537" t="s">
        <v>64</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_xlfn.IFS(Table1[[#This Row],[Age]]&lt;30,"Young",Table1[[#This Row],[Age]]&lt;=40,"Adult",Table1[[#This Row],[Age]]&gt;40,"Senior")</f>
        <v>Senior</v>
      </c>
      <c r="AK537" t="str" cm="1">
        <f t="array" ref="AK537">_xlfn.IFS(Table1[[#This Row],[MonthlyIncome]]&lt;5000,"Low",Table1[[#This Row],[MonthlyIncome]]&lt;10000,"Medium",Table1[[#This Row],[MonthlyIncome]]&gt;10000,"High")</f>
        <v>High</v>
      </c>
      <c r="AL537" t="str" cm="1">
        <f t="array" ref="AL537">_xlfn.IFS(Table1[[#This Row],[Attrition]]="Yes","Resigned",Table1[[#This Row],[Attrition]]="No","Active")</f>
        <v>Active</v>
      </c>
      <c r="AM537" t="str" cm="1">
        <f t="array" ref="AM537">_xlfn.IFS(Table1[[#This Row],[YearsAtCompany]]&lt;=1,"0-1 Year",Table1[[#This Row],[YearsAtCompany]]&lt;=2,"1-2 Years",Table1[[#This Row],[YearsAtCompany]]&lt;=3,"2-3 Years",Table1[[#This Row],[YearsAtCompany]]&lt;=4,"3-4 Years",Table1[[#This Row],[YearsAtCompany]]&lt;=5,"4-5 Years",Table1[[#This Row],[YearsAtCompany]]&gt;5,"&gt;5 Years")</f>
        <v>&gt;5 Years</v>
      </c>
    </row>
    <row r="538" spans="1:39" x14ac:dyDescent="0.45">
      <c r="A538">
        <v>60</v>
      </c>
      <c r="B538" t="s">
        <v>43</v>
      </c>
      <c r="C538" t="s">
        <v>64</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_xlfn.IFS(Table1[[#This Row],[Age]]&lt;30,"Young",Table1[[#This Row],[Age]]&lt;=40,"Adult",Table1[[#This Row],[Age]]&gt;40,"Senior")</f>
        <v>Senior</v>
      </c>
      <c r="AK538" t="str" cm="1">
        <f t="array" ref="AK538">_xlfn.IFS(Table1[[#This Row],[MonthlyIncome]]&lt;5000,"Low",Table1[[#This Row],[MonthlyIncome]]&lt;10000,"Medium",Table1[[#This Row],[MonthlyIncome]]&gt;10000,"High")</f>
        <v>Medium</v>
      </c>
      <c r="AL538" t="str" cm="1">
        <f t="array" ref="AL538">_xlfn.IFS(Table1[[#This Row],[Attrition]]="Yes","Resigned",Table1[[#This Row],[Attrition]]="No","Active")</f>
        <v>Active</v>
      </c>
      <c r="AM538" t="str" cm="1">
        <f t="array" ref="AM538">_xlfn.IFS(Table1[[#This Row],[YearsAtCompany]]&lt;=1,"0-1 Year",Table1[[#This Row],[YearsAtCompany]]&lt;=2,"1-2 Years",Table1[[#This Row],[YearsAtCompany]]&lt;=3,"2-3 Years",Table1[[#This Row],[YearsAtCompany]]&lt;=4,"3-4 Years",Table1[[#This Row],[YearsAtCompany]]&lt;=5,"4-5 Years",Table1[[#This Row],[YearsAtCompany]]&gt;5,"&gt;5 Years")</f>
        <v>1-2 Years</v>
      </c>
    </row>
    <row r="539" spans="1:39" hidden="1" x14ac:dyDescent="0.45">
      <c r="A539">
        <v>27</v>
      </c>
      <c r="B539" t="s">
        <v>43</v>
      </c>
      <c r="C539" t="s">
        <v>63</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_xlfn.IFS(Table1[[#This Row],[Age]]&lt;30,"Young",Table1[[#This Row],[Age]]&lt;=40,"Adult",Table1[[#This Row],[Age]]&gt;40,"Senior")</f>
        <v>Young</v>
      </c>
      <c r="AK539" t="str" cm="1">
        <f t="array" ref="AK539">_xlfn.IFS(Table1[[#This Row],[MonthlyIncome]]&lt;5000,"Low",Table1[[#This Row],[MonthlyIncome]]&lt;10000,"Medium",Table1[[#This Row],[MonthlyIncome]]&gt;10000,"High")</f>
        <v>Medium</v>
      </c>
      <c r="AL539" t="str" cm="1">
        <f t="array" ref="AL539">_xlfn.IFS(Table1[[#This Row],[Attrition]]="Yes","Resigned",Table1[[#This Row],[Attrition]]="No","Active")</f>
        <v>Active</v>
      </c>
      <c r="AM539" t="str" cm="1">
        <f t="array" ref="AM539">_xlfn.IFS(Table1[[#This Row],[YearsAtCompany]]&lt;=1,"0-1 Year",Table1[[#This Row],[YearsAtCompany]]&lt;=2,"1-2 Years",Table1[[#This Row],[YearsAtCompany]]&lt;=3,"2-3 Years",Table1[[#This Row],[YearsAtCompany]]&lt;=4,"3-4 Years",Table1[[#This Row],[YearsAtCompany]]&lt;=5,"4-5 Years",Table1[[#This Row],[YearsAtCompany]]&gt;5,"&gt;5 Years")</f>
        <v>&gt;5 Years</v>
      </c>
    </row>
    <row r="540" spans="1:39" hidden="1" x14ac:dyDescent="0.45">
      <c r="A540">
        <v>41</v>
      </c>
      <c r="B540" t="s">
        <v>43</v>
      </c>
      <c r="C540" t="s">
        <v>64</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_xlfn.IFS(Table1[[#This Row],[Age]]&lt;30,"Young",Table1[[#This Row],[Age]]&lt;=40,"Adult",Table1[[#This Row],[Age]]&gt;40,"Senior")</f>
        <v>Senior</v>
      </c>
      <c r="AK540" t="str" cm="1">
        <f t="array" ref="AK540">_xlfn.IFS(Table1[[#This Row],[MonthlyIncome]]&lt;5000,"Low",Table1[[#This Row],[MonthlyIncome]]&lt;10000,"Medium",Table1[[#This Row],[MonthlyIncome]]&gt;10000,"High")</f>
        <v>High</v>
      </c>
      <c r="AL540" t="str" cm="1">
        <f t="array" ref="AL540">_xlfn.IFS(Table1[[#This Row],[Attrition]]="Yes","Resigned",Table1[[#This Row],[Attrition]]="No","Active")</f>
        <v>Active</v>
      </c>
      <c r="AM540" t="str" cm="1">
        <f t="array" ref="AM540">_xlfn.IFS(Table1[[#This Row],[YearsAtCompany]]&lt;=1,"0-1 Year",Table1[[#This Row],[YearsAtCompany]]&lt;=2,"1-2 Years",Table1[[#This Row],[YearsAtCompany]]&lt;=3,"2-3 Years",Table1[[#This Row],[YearsAtCompany]]&lt;=4,"3-4 Years",Table1[[#This Row],[YearsAtCompany]]&lt;=5,"4-5 Years",Table1[[#This Row],[YearsAtCompany]]&gt;5,"&gt;5 Years")</f>
        <v>&gt;5 Years</v>
      </c>
    </row>
    <row r="541" spans="1:39" x14ac:dyDescent="0.45">
      <c r="A541">
        <v>50</v>
      </c>
      <c r="B541" t="s">
        <v>43</v>
      </c>
      <c r="C541" t="s">
        <v>64</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_xlfn.IFS(Table1[[#This Row],[Age]]&lt;30,"Young",Table1[[#This Row],[Age]]&lt;=40,"Adult",Table1[[#This Row],[Age]]&gt;40,"Senior")</f>
        <v>Senior</v>
      </c>
      <c r="AK541" t="str" cm="1">
        <f t="array" ref="AK541">_xlfn.IFS(Table1[[#This Row],[MonthlyIncome]]&lt;5000,"Low",Table1[[#This Row],[MonthlyIncome]]&lt;10000,"Medium",Table1[[#This Row],[MonthlyIncome]]&gt;10000,"High")</f>
        <v>Low</v>
      </c>
      <c r="AL541" t="str" cm="1">
        <f t="array" ref="AL541">_xlfn.IFS(Table1[[#This Row],[Attrition]]="Yes","Resigned",Table1[[#This Row],[Attrition]]="No","Active")</f>
        <v>Active</v>
      </c>
      <c r="AM541" t="str" cm="1">
        <f t="array" ref="AM541">_xlfn.IFS(Table1[[#This Row],[YearsAtCompany]]&lt;=1,"0-1 Year",Table1[[#This Row],[YearsAtCompany]]&lt;=2,"1-2 Years",Table1[[#This Row],[YearsAtCompany]]&lt;=3,"2-3 Years",Table1[[#This Row],[YearsAtCompany]]&lt;=4,"3-4 Years",Table1[[#This Row],[YearsAtCompany]]&lt;=5,"4-5 Years",Table1[[#This Row],[YearsAtCompany]]&gt;5,"&gt;5 Years")</f>
        <v>1-2 Years</v>
      </c>
    </row>
    <row r="542" spans="1:39" hidden="1" x14ac:dyDescent="0.45">
      <c r="A542">
        <v>28</v>
      </c>
      <c r="B542" t="s">
        <v>35</v>
      </c>
      <c r="C542" t="s">
        <v>64</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_xlfn.IFS(Table1[[#This Row],[Age]]&lt;30,"Young",Table1[[#This Row],[Age]]&lt;=40,"Adult",Table1[[#This Row],[Age]]&gt;40,"Senior")</f>
        <v>Young</v>
      </c>
      <c r="AK542" t="str" cm="1">
        <f t="array" ref="AK542">_xlfn.IFS(Table1[[#This Row],[MonthlyIncome]]&lt;5000,"Low",Table1[[#This Row],[MonthlyIncome]]&lt;10000,"Medium",Table1[[#This Row],[MonthlyIncome]]&gt;10000,"High")</f>
        <v>Low</v>
      </c>
      <c r="AL542" t="str" cm="1">
        <f t="array" ref="AL542">_xlfn.IFS(Table1[[#This Row],[Attrition]]="Yes","Resigned",Table1[[#This Row],[Attrition]]="No","Active")</f>
        <v>Resigned</v>
      </c>
      <c r="AM542" t="str" cm="1">
        <f t="array" ref="AM542">_xlfn.IFS(Table1[[#This Row],[YearsAtCompany]]&lt;=1,"0-1 Year",Table1[[#This Row],[YearsAtCompany]]&lt;=2,"1-2 Years",Table1[[#This Row],[YearsAtCompany]]&lt;=3,"2-3 Years",Table1[[#This Row],[YearsAtCompany]]&lt;=4,"3-4 Years",Table1[[#This Row],[YearsAtCompany]]&lt;=5,"4-5 Years",Table1[[#This Row],[YearsAtCompany]]&gt;5,"&gt;5 Years")</f>
        <v>&gt;5 Years</v>
      </c>
    </row>
    <row r="543" spans="1:39" hidden="1" x14ac:dyDescent="0.45">
      <c r="A543">
        <v>36</v>
      </c>
      <c r="B543" t="s">
        <v>43</v>
      </c>
      <c r="C543" t="s">
        <v>62</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_xlfn.IFS(Table1[[#This Row],[Age]]&lt;30,"Young",Table1[[#This Row],[Age]]&lt;=40,"Adult",Table1[[#This Row],[Age]]&gt;40,"Senior")</f>
        <v>Adult</v>
      </c>
      <c r="AK543" t="str" cm="1">
        <f t="array" ref="AK543">_xlfn.IFS(Table1[[#This Row],[MonthlyIncome]]&lt;5000,"Low",Table1[[#This Row],[MonthlyIncome]]&lt;10000,"Medium",Table1[[#This Row],[MonthlyIncome]]&gt;10000,"High")</f>
        <v>High</v>
      </c>
      <c r="AL543" t="str" cm="1">
        <f t="array" ref="AL543">_xlfn.IFS(Table1[[#This Row],[Attrition]]="Yes","Resigned",Table1[[#This Row],[Attrition]]="No","Active")</f>
        <v>Active</v>
      </c>
      <c r="AM543" t="str" cm="1">
        <f t="array" ref="AM543">_xlfn.IFS(Table1[[#This Row],[YearsAtCompany]]&lt;=1,"0-1 Year",Table1[[#This Row],[YearsAtCompany]]&lt;=2,"1-2 Years",Table1[[#This Row],[YearsAtCompany]]&lt;=3,"2-3 Years",Table1[[#This Row],[YearsAtCompany]]&lt;=4,"3-4 Years",Table1[[#This Row],[YearsAtCompany]]&lt;=5,"4-5 Years",Table1[[#This Row],[YearsAtCompany]]&gt;5,"&gt;5 Years")</f>
        <v>&gt;5 Years</v>
      </c>
    </row>
    <row r="544" spans="1:39" hidden="1" x14ac:dyDescent="0.45">
      <c r="A544">
        <v>38</v>
      </c>
      <c r="B544" t="s">
        <v>43</v>
      </c>
      <c r="C544" t="s">
        <v>64</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_xlfn.IFS(Table1[[#This Row],[Age]]&lt;30,"Young",Table1[[#This Row],[Age]]&lt;=40,"Adult",Table1[[#This Row],[Age]]&gt;40,"Senior")</f>
        <v>Adult</v>
      </c>
      <c r="AK544" t="str" cm="1">
        <f t="array" ref="AK544">_xlfn.IFS(Table1[[#This Row],[MonthlyIncome]]&lt;5000,"Low",Table1[[#This Row],[MonthlyIncome]]&lt;10000,"Medium",Table1[[#This Row],[MonthlyIncome]]&gt;10000,"High")</f>
        <v>Medium</v>
      </c>
      <c r="AL544" t="str" cm="1">
        <f t="array" ref="AL544">_xlfn.IFS(Table1[[#This Row],[Attrition]]="Yes","Resigned",Table1[[#This Row],[Attrition]]="No","Active")</f>
        <v>Active</v>
      </c>
      <c r="AM544" t="str" cm="1">
        <f t="array" ref="AM544">_xlfn.IFS(Table1[[#This Row],[YearsAtCompany]]&lt;=1,"0-1 Year",Table1[[#This Row],[YearsAtCompany]]&lt;=2,"1-2 Years",Table1[[#This Row],[YearsAtCompany]]&lt;=3,"2-3 Years",Table1[[#This Row],[YearsAtCompany]]&lt;=4,"3-4 Years",Table1[[#This Row],[YearsAtCompany]]&lt;=5,"4-5 Years",Table1[[#This Row],[YearsAtCompany]]&gt;5,"&gt;5 Years")</f>
        <v>0-1 Year</v>
      </c>
    </row>
    <row r="545" spans="1:39" hidden="1" x14ac:dyDescent="0.45">
      <c r="A545">
        <v>44</v>
      </c>
      <c r="B545" t="s">
        <v>43</v>
      </c>
      <c r="C545" t="s">
        <v>62</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_xlfn.IFS(Table1[[#This Row],[Age]]&lt;30,"Young",Table1[[#This Row],[Age]]&lt;=40,"Adult",Table1[[#This Row],[Age]]&gt;40,"Senior")</f>
        <v>Senior</v>
      </c>
      <c r="AK545" t="str" cm="1">
        <f t="array" ref="AK545">_xlfn.IFS(Table1[[#This Row],[MonthlyIncome]]&lt;5000,"Low",Table1[[#This Row],[MonthlyIncome]]&lt;10000,"Medium",Table1[[#This Row],[MonthlyIncome]]&gt;10000,"High")</f>
        <v>Low</v>
      </c>
      <c r="AL545" t="str" cm="1">
        <f t="array" ref="AL545">_xlfn.IFS(Table1[[#This Row],[Attrition]]="Yes","Resigned",Table1[[#This Row],[Attrition]]="No","Active")</f>
        <v>Active</v>
      </c>
      <c r="AM545" t="str" cm="1">
        <f t="array" ref="AM545">_xlfn.IFS(Table1[[#This Row],[YearsAtCompany]]&lt;=1,"0-1 Year",Table1[[#This Row],[YearsAtCompany]]&lt;=2,"1-2 Years",Table1[[#This Row],[YearsAtCompany]]&lt;=3,"2-3 Years",Table1[[#This Row],[YearsAtCompany]]&lt;=4,"3-4 Years",Table1[[#This Row],[YearsAtCompany]]&lt;=5,"4-5 Years",Table1[[#This Row],[YearsAtCompany]]&gt;5,"&gt;5 Years")</f>
        <v>4-5 Years</v>
      </c>
    </row>
    <row r="546" spans="1:39" x14ac:dyDescent="0.45">
      <c r="A546">
        <v>47</v>
      </c>
      <c r="B546" t="s">
        <v>43</v>
      </c>
      <c r="C546" t="s">
        <v>63</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_xlfn.IFS(Table1[[#This Row],[Age]]&lt;30,"Young",Table1[[#This Row],[Age]]&lt;=40,"Adult",Table1[[#This Row],[Age]]&gt;40,"Senior")</f>
        <v>Senior</v>
      </c>
      <c r="AK546" t="str" cm="1">
        <f t="array" ref="AK546">_xlfn.IFS(Table1[[#This Row],[MonthlyIncome]]&lt;5000,"Low",Table1[[#This Row],[MonthlyIncome]]&lt;10000,"Medium",Table1[[#This Row],[MonthlyIncome]]&gt;10000,"High")</f>
        <v>High</v>
      </c>
      <c r="AL546" t="str" cm="1">
        <f t="array" ref="AL546">_xlfn.IFS(Table1[[#This Row],[Attrition]]="Yes","Resigned",Table1[[#This Row],[Attrition]]="No","Active")</f>
        <v>Active</v>
      </c>
      <c r="AM546" t="str" cm="1">
        <f t="array" ref="AM546">_xlfn.IFS(Table1[[#This Row],[YearsAtCompany]]&lt;=1,"0-1 Year",Table1[[#This Row],[YearsAtCompany]]&lt;=2,"1-2 Years",Table1[[#This Row],[YearsAtCompany]]&lt;=3,"2-3 Years",Table1[[#This Row],[YearsAtCompany]]&lt;=4,"3-4 Years",Table1[[#This Row],[YearsAtCompany]]&lt;=5,"4-5 Years",Table1[[#This Row],[YearsAtCompany]]&gt;5,"&gt;5 Years")</f>
        <v>&gt;5 Years</v>
      </c>
    </row>
    <row r="547" spans="1:39" x14ac:dyDescent="0.45">
      <c r="A547">
        <v>30</v>
      </c>
      <c r="B547" t="s">
        <v>43</v>
      </c>
      <c r="C547" t="s">
        <v>64</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_xlfn.IFS(Table1[[#This Row],[Age]]&lt;30,"Young",Table1[[#This Row],[Age]]&lt;=40,"Adult",Table1[[#This Row],[Age]]&gt;40,"Senior")</f>
        <v>Adult</v>
      </c>
      <c r="AK547" t="str" cm="1">
        <f t="array" ref="AK547">_xlfn.IFS(Table1[[#This Row],[MonthlyIncome]]&lt;5000,"Low",Table1[[#This Row],[MonthlyIncome]]&lt;10000,"Medium",Table1[[#This Row],[MonthlyIncome]]&gt;10000,"High")</f>
        <v>Medium</v>
      </c>
      <c r="AL547" t="str" cm="1">
        <f t="array" ref="AL547">_xlfn.IFS(Table1[[#This Row],[Attrition]]="Yes","Resigned",Table1[[#This Row],[Attrition]]="No","Active")</f>
        <v>Active</v>
      </c>
      <c r="AM547" t="str" cm="1">
        <f t="array" ref="AM547">_xlfn.IFS(Table1[[#This Row],[YearsAtCompany]]&lt;=1,"0-1 Year",Table1[[#This Row],[YearsAtCompany]]&lt;=2,"1-2 Years",Table1[[#This Row],[YearsAtCompany]]&lt;=3,"2-3 Years",Table1[[#This Row],[YearsAtCompany]]&lt;=4,"3-4 Years",Table1[[#This Row],[YearsAtCompany]]&lt;=5,"4-5 Years",Table1[[#This Row],[YearsAtCompany]]&gt;5,"&gt;5 Years")</f>
        <v>&gt;5 Years</v>
      </c>
    </row>
    <row r="548" spans="1:39" x14ac:dyDescent="0.45">
      <c r="A548">
        <v>29</v>
      </c>
      <c r="B548" t="s">
        <v>43</v>
      </c>
      <c r="C548" t="s">
        <v>64</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_xlfn.IFS(Table1[[#This Row],[Age]]&lt;30,"Young",Table1[[#This Row],[Age]]&lt;=40,"Adult",Table1[[#This Row],[Age]]&gt;40,"Senior")</f>
        <v>Young</v>
      </c>
      <c r="AK548" t="str" cm="1">
        <f t="array" ref="AK548">_xlfn.IFS(Table1[[#This Row],[MonthlyIncome]]&lt;5000,"Low",Table1[[#This Row],[MonthlyIncome]]&lt;10000,"Medium",Table1[[#This Row],[MonthlyIncome]]&gt;10000,"High")</f>
        <v>Low</v>
      </c>
      <c r="AL548" t="str" cm="1">
        <f t="array" ref="AL548">_xlfn.IFS(Table1[[#This Row],[Attrition]]="Yes","Resigned",Table1[[#This Row],[Attrition]]="No","Active")</f>
        <v>Active</v>
      </c>
      <c r="AM548" t="str" cm="1">
        <f t="array" ref="AM548">_xlfn.IFS(Table1[[#This Row],[YearsAtCompany]]&lt;=1,"0-1 Year",Table1[[#This Row],[YearsAtCompany]]&lt;=2,"1-2 Years",Table1[[#This Row],[YearsAtCompany]]&lt;=3,"2-3 Years",Table1[[#This Row],[YearsAtCompany]]&lt;=4,"3-4 Years",Table1[[#This Row],[YearsAtCompany]]&lt;=5,"4-5 Years",Table1[[#This Row],[YearsAtCompany]]&gt;5,"&gt;5 Years")</f>
        <v>0-1 Year</v>
      </c>
    </row>
    <row r="549" spans="1:39" hidden="1" x14ac:dyDescent="0.45">
      <c r="A549">
        <v>42</v>
      </c>
      <c r="B549" t="s">
        <v>35</v>
      </c>
      <c r="C549" t="s">
        <v>63</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_xlfn.IFS(Table1[[#This Row],[Age]]&lt;30,"Young",Table1[[#This Row],[Age]]&lt;=40,"Adult",Table1[[#This Row],[Age]]&gt;40,"Senior")</f>
        <v>Senior</v>
      </c>
      <c r="AK549" t="str" cm="1">
        <f t="array" ref="AK549">_xlfn.IFS(Table1[[#This Row],[MonthlyIncome]]&lt;5000,"Low",Table1[[#This Row],[MonthlyIncome]]&lt;10000,"Medium",Table1[[#This Row],[MonthlyIncome]]&gt;10000,"High")</f>
        <v>Low</v>
      </c>
      <c r="AL549" t="str" cm="1">
        <f t="array" ref="AL549">_xlfn.IFS(Table1[[#This Row],[Attrition]]="Yes","Resigned",Table1[[#This Row],[Attrition]]="No","Active")</f>
        <v>Resigned</v>
      </c>
      <c r="AM549" t="str" cm="1">
        <f t="array" ref="AM549">_xlfn.IFS(Table1[[#This Row],[YearsAtCompany]]&lt;=1,"0-1 Year",Table1[[#This Row],[YearsAtCompany]]&lt;=2,"1-2 Years",Table1[[#This Row],[YearsAtCompany]]&lt;=3,"2-3 Years",Table1[[#This Row],[YearsAtCompany]]&lt;=4,"3-4 Years",Table1[[#This Row],[YearsAtCompany]]&lt;=5,"4-5 Years",Table1[[#This Row],[YearsAtCompany]]&gt;5,"&gt;5 Years")</f>
        <v>1-2 Years</v>
      </c>
    </row>
    <row r="550" spans="1:39" x14ac:dyDescent="0.45">
      <c r="A550">
        <v>43</v>
      </c>
      <c r="B550" t="s">
        <v>43</v>
      </c>
      <c r="C550" t="s">
        <v>63</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_xlfn.IFS(Table1[[#This Row],[Age]]&lt;30,"Young",Table1[[#This Row],[Age]]&lt;=40,"Adult",Table1[[#This Row],[Age]]&gt;40,"Senior")</f>
        <v>Senior</v>
      </c>
      <c r="AK550" t="str" cm="1">
        <f t="array" ref="AK550">_xlfn.IFS(Table1[[#This Row],[MonthlyIncome]]&lt;5000,"Low",Table1[[#This Row],[MonthlyIncome]]&lt;10000,"Medium",Table1[[#This Row],[MonthlyIncome]]&gt;10000,"High")</f>
        <v>Medium</v>
      </c>
      <c r="AL550" t="str" cm="1">
        <f t="array" ref="AL550">_xlfn.IFS(Table1[[#This Row],[Attrition]]="Yes","Resigned",Table1[[#This Row],[Attrition]]="No","Active")</f>
        <v>Active</v>
      </c>
      <c r="AM550" t="str" cm="1">
        <f t="array" ref="AM550">_xlfn.IFS(Table1[[#This Row],[YearsAtCompany]]&lt;=1,"0-1 Year",Table1[[#This Row],[YearsAtCompany]]&lt;=2,"1-2 Years",Table1[[#This Row],[YearsAtCompany]]&lt;=3,"2-3 Years",Table1[[#This Row],[YearsAtCompany]]&lt;=4,"3-4 Years",Table1[[#This Row],[YearsAtCompany]]&lt;=5,"4-5 Years",Table1[[#This Row],[YearsAtCompany]]&gt;5,"&gt;5 Years")</f>
        <v>1-2 Years</v>
      </c>
    </row>
    <row r="551" spans="1:39" hidden="1" x14ac:dyDescent="0.45">
      <c r="A551">
        <v>34</v>
      </c>
      <c r="B551" t="s">
        <v>43</v>
      </c>
      <c r="C551" t="s">
        <v>64</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_xlfn.IFS(Table1[[#This Row],[Age]]&lt;30,"Young",Table1[[#This Row],[Age]]&lt;=40,"Adult",Table1[[#This Row],[Age]]&gt;40,"Senior")</f>
        <v>Adult</v>
      </c>
      <c r="AK551" t="str" cm="1">
        <f t="array" ref="AK551">_xlfn.IFS(Table1[[#This Row],[MonthlyIncome]]&lt;5000,"Low",Table1[[#This Row],[MonthlyIncome]]&lt;10000,"Medium",Table1[[#This Row],[MonthlyIncome]]&gt;10000,"High")</f>
        <v>Medium</v>
      </c>
      <c r="AL551" t="str" cm="1">
        <f t="array" ref="AL551">_xlfn.IFS(Table1[[#This Row],[Attrition]]="Yes","Resigned",Table1[[#This Row],[Attrition]]="No","Active")</f>
        <v>Active</v>
      </c>
      <c r="AM551" t="str" cm="1">
        <f t="array" ref="AM551">_xlfn.IFS(Table1[[#This Row],[YearsAtCompany]]&lt;=1,"0-1 Year",Table1[[#This Row],[YearsAtCompany]]&lt;=2,"1-2 Years",Table1[[#This Row],[YearsAtCompany]]&lt;=3,"2-3 Years",Table1[[#This Row],[YearsAtCompany]]&lt;=4,"3-4 Years",Table1[[#This Row],[YearsAtCompany]]&lt;=5,"4-5 Years",Table1[[#This Row],[YearsAtCompany]]&gt;5,"&gt;5 Years")</f>
        <v>4-5 Years</v>
      </c>
    </row>
    <row r="552" spans="1:39" hidden="1" x14ac:dyDescent="0.45">
      <c r="A552">
        <v>23</v>
      </c>
      <c r="B552" t="s">
        <v>43</v>
      </c>
      <c r="C552" t="s">
        <v>64</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_xlfn.IFS(Table1[[#This Row],[Age]]&lt;30,"Young",Table1[[#This Row],[Age]]&lt;=40,"Adult",Table1[[#This Row],[Age]]&gt;40,"Senior")</f>
        <v>Young</v>
      </c>
      <c r="AK552" t="str" cm="1">
        <f t="array" ref="AK552">_xlfn.IFS(Table1[[#This Row],[MonthlyIncome]]&lt;5000,"Low",Table1[[#This Row],[MonthlyIncome]]&lt;10000,"Medium",Table1[[#This Row],[MonthlyIncome]]&gt;10000,"High")</f>
        <v>Low</v>
      </c>
      <c r="AL552" t="str" cm="1">
        <f t="array" ref="AL552">_xlfn.IFS(Table1[[#This Row],[Attrition]]="Yes","Resigned",Table1[[#This Row],[Attrition]]="No","Active")</f>
        <v>Active</v>
      </c>
      <c r="AM552" t="str" cm="1">
        <f t="array" ref="AM552">_xlfn.IFS(Table1[[#This Row],[YearsAtCompany]]&lt;=1,"0-1 Year",Table1[[#This Row],[YearsAtCompany]]&lt;=2,"1-2 Years",Table1[[#This Row],[YearsAtCompany]]&lt;=3,"2-3 Years",Table1[[#This Row],[YearsAtCompany]]&lt;=4,"3-4 Years",Table1[[#This Row],[YearsAtCompany]]&lt;=5,"4-5 Years",Table1[[#This Row],[YearsAtCompany]]&gt;5,"&gt;5 Years")</f>
        <v>3-4 Years</v>
      </c>
    </row>
    <row r="553" spans="1:39" hidden="1" x14ac:dyDescent="0.45">
      <c r="A553">
        <v>39</v>
      </c>
      <c r="B553" t="s">
        <v>43</v>
      </c>
      <c r="C553" t="s">
        <v>64</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_xlfn.IFS(Table1[[#This Row],[Age]]&lt;30,"Young",Table1[[#This Row],[Age]]&lt;=40,"Adult",Table1[[#This Row],[Age]]&gt;40,"Senior")</f>
        <v>Adult</v>
      </c>
      <c r="AK553" t="str" cm="1">
        <f t="array" ref="AK553">_xlfn.IFS(Table1[[#This Row],[MonthlyIncome]]&lt;5000,"Low",Table1[[#This Row],[MonthlyIncome]]&lt;10000,"Medium",Table1[[#This Row],[MonthlyIncome]]&gt;10000,"High")</f>
        <v>Medium</v>
      </c>
      <c r="AL553" t="str" cm="1">
        <f t="array" ref="AL553">_xlfn.IFS(Table1[[#This Row],[Attrition]]="Yes","Resigned",Table1[[#This Row],[Attrition]]="No","Active")</f>
        <v>Active</v>
      </c>
      <c r="AM553" t="str" cm="1">
        <f t="array" ref="AM553">_xlfn.IFS(Table1[[#This Row],[YearsAtCompany]]&lt;=1,"0-1 Year",Table1[[#This Row],[YearsAtCompany]]&lt;=2,"1-2 Years",Table1[[#This Row],[YearsAtCompany]]&lt;=3,"2-3 Years",Table1[[#This Row],[YearsAtCompany]]&lt;=4,"3-4 Years",Table1[[#This Row],[YearsAtCompany]]&lt;=5,"4-5 Years",Table1[[#This Row],[YearsAtCompany]]&gt;5,"&gt;5 Years")</f>
        <v>&gt;5 Years</v>
      </c>
    </row>
    <row r="554" spans="1:39" hidden="1" x14ac:dyDescent="0.45">
      <c r="A554">
        <v>56</v>
      </c>
      <c r="B554" t="s">
        <v>43</v>
      </c>
      <c r="C554" t="s">
        <v>64</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_xlfn.IFS(Table1[[#This Row],[Age]]&lt;30,"Young",Table1[[#This Row],[Age]]&lt;=40,"Adult",Table1[[#This Row],[Age]]&gt;40,"Senior")</f>
        <v>Senior</v>
      </c>
      <c r="AK554" t="str" cm="1">
        <f t="array" ref="AK554">_xlfn.IFS(Table1[[#This Row],[MonthlyIncome]]&lt;5000,"Low",Table1[[#This Row],[MonthlyIncome]]&lt;10000,"Medium",Table1[[#This Row],[MonthlyIncome]]&gt;10000,"High")</f>
        <v>High</v>
      </c>
      <c r="AL554" t="str" cm="1">
        <f t="array" ref="AL554">_xlfn.IFS(Table1[[#This Row],[Attrition]]="Yes","Resigned",Table1[[#This Row],[Attrition]]="No","Active")</f>
        <v>Active</v>
      </c>
      <c r="AM554" t="str" cm="1">
        <f t="array" ref="AM554">_xlfn.IFS(Table1[[#This Row],[YearsAtCompany]]&lt;=1,"0-1 Year",Table1[[#This Row],[YearsAtCompany]]&lt;=2,"1-2 Years",Table1[[#This Row],[YearsAtCompany]]&lt;=3,"2-3 Years",Table1[[#This Row],[YearsAtCompany]]&lt;=4,"3-4 Years",Table1[[#This Row],[YearsAtCompany]]&lt;=5,"4-5 Years",Table1[[#This Row],[YearsAtCompany]]&gt;5,"&gt;5 Years")</f>
        <v>&gt;5 Years</v>
      </c>
    </row>
    <row r="555" spans="1:39" hidden="1" x14ac:dyDescent="0.45">
      <c r="A555">
        <v>40</v>
      </c>
      <c r="B555" t="s">
        <v>43</v>
      </c>
      <c r="C555" t="s">
        <v>64</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_xlfn.IFS(Table1[[#This Row],[Age]]&lt;30,"Young",Table1[[#This Row],[Age]]&lt;=40,"Adult",Table1[[#This Row],[Age]]&gt;40,"Senior")</f>
        <v>Adult</v>
      </c>
      <c r="AK555" t="str" cm="1">
        <f t="array" ref="AK555">_xlfn.IFS(Table1[[#This Row],[MonthlyIncome]]&lt;5000,"Low",Table1[[#This Row],[MonthlyIncome]]&lt;10000,"Medium",Table1[[#This Row],[MonthlyIncome]]&gt;10000,"High")</f>
        <v>Low</v>
      </c>
      <c r="AL555" t="str" cm="1">
        <f t="array" ref="AL555">_xlfn.IFS(Table1[[#This Row],[Attrition]]="Yes","Resigned",Table1[[#This Row],[Attrition]]="No","Active")</f>
        <v>Active</v>
      </c>
      <c r="AM555" t="str" cm="1">
        <f t="array" ref="AM555">_xlfn.IFS(Table1[[#This Row],[YearsAtCompany]]&lt;=1,"0-1 Year",Table1[[#This Row],[YearsAtCompany]]&lt;=2,"1-2 Years",Table1[[#This Row],[YearsAtCompany]]&lt;=3,"2-3 Years",Table1[[#This Row],[YearsAtCompany]]&lt;=4,"3-4 Years",Table1[[#This Row],[YearsAtCompany]]&lt;=5,"4-5 Years",Table1[[#This Row],[YearsAtCompany]]&gt;5,"&gt;5 Years")</f>
        <v>3-4 Years</v>
      </c>
    </row>
    <row r="556" spans="1:39" hidden="1" x14ac:dyDescent="0.45">
      <c r="A556">
        <v>27</v>
      </c>
      <c r="B556" t="s">
        <v>43</v>
      </c>
      <c r="C556" t="s">
        <v>64</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_xlfn.IFS(Table1[[#This Row],[Age]]&lt;30,"Young",Table1[[#This Row],[Age]]&lt;=40,"Adult",Table1[[#This Row],[Age]]&gt;40,"Senior")</f>
        <v>Young</v>
      </c>
      <c r="AK556" t="str" cm="1">
        <f t="array" ref="AK556">_xlfn.IFS(Table1[[#This Row],[MonthlyIncome]]&lt;5000,"Low",Table1[[#This Row],[MonthlyIncome]]&lt;10000,"Medium",Table1[[#This Row],[MonthlyIncome]]&gt;10000,"High")</f>
        <v>Medium</v>
      </c>
      <c r="AL556" t="str" cm="1">
        <f t="array" ref="AL556">_xlfn.IFS(Table1[[#This Row],[Attrition]]="Yes","Resigned",Table1[[#This Row],[Attrition]]="No","Active")</f>
        <v>Active</v>
      </c>
      <c r="AM556" t="str" cm="1">
        <f t="array" ref="AM556">_xlfn.IFS(Table1[[#This Row],[YearsAtCompany]]&lt;=1,"0-1 Year",Table1[[#This Row],[YearsAtCompany]]&lt;=2,"1-2 Years",Table1[[#This Row],[YearsAtCompany]]&lt;=3,"2-3 Years",Table1[[#This Row],[YearsAtCompany]]&lt;=4,"3-4 Years",Table1[[#This Row],[YearsAtCompany]]&lt;=5,"4-5 Years",Table1[[#This Row],[YearsAtCompany]]&gt;5,"&gt;5 Years")</f>
        <v>&gt;5 Years</v>
      </c>
    </row>
    <row r="557" spans="1:39" x14ac:dyDescent="0.45">
      <c r="A557">
        <v>29</v>
      </c>
      <c r="B557" t="s">
        <v>43</v>
      </c>
      <c r="C557" t="s">
        <v>64</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_xlfn.IFS(Table1[[#This Row],[Age]]&lt;30,"Young",Table1[[#This Row],[Age]]&lt;=40,"Adult",Table1[[#This Row],[Age]]&gt;40,"Senior")</f>
        <v>Young</v>
      </c>
      <c r="AK557" t="str" cm="1">
        <f t="array" ref="AK557">_xlfn.IFS(Table1[[#This Row],[MonthlyIncome]]&lt;5000,"Low",Table1[[#This Row],[MonthlyIncome]]&lt;10000,"Medium",Table1[[#This Row],[MonthlyIncome]]&gt;10000,"High")</f>
        <v>Low</v>
      </c>
      <c r="AL557" t="str" cm="1">
        <f t="array" ref="AL557">_xlfn.IFS(Table1[[#This Row],[Attrition]]="Yes","Resigned",Table1[[#This Row],[Attrition]]="No","Active")</f>
        <v>Active</v>
      </c>
      <c r="AM557" t="str" cm="1">
        <f t="array" ref="AM557">_xlfn.IFS(Table1[[#This Row],[YearsAtCompany]]&lt;=1,"0-1 Year",Table1[[#This Row],[YearsAtCompany]]&lt;=2,"1-2 Years",Table1[[#This Row],[YearsAtCompany]]&lt;=3,"2-3 Years",Table1[[#This Row],[YearsAtCompany]]&lt;=4,"3-4 Years",Table1[[#This Row],[YearsAtCompany]]&lt;=5,"4-5 Years",Table1[[#This Row],[YearsAtCompany]]&gt;5,"&gt;5 Years")</f>
        <v>1-2 Years</v>
      </c>
    </row>
    <row r="558" spans="1:39" hidden="1" x14ac:dyDescent="0.45">
      <c r="A558">
        <v>53</v>
      </c>
      <c r="B558" t="s">
        <v>43</v>
      </c>
      <c r="C558" t="s">
        <v>64</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_xlfn.IFS(Table1[[#This Row],[Age]]&lt;30,"Young",Table1[[#This Row],[Age]]&lt;=40,"Adult",Table1[[#This Row],[Age]]&gt;40,"Senior")</f>
        <v>Senior</v>
      </c>
      <c r="AK558" t="str" cm="1">
        <f t="array" ref="AK558">_xlfn.IFS(Table1[[#This Row],[MonthlyIncome]]&lt;5000,"Low",Table1[[#This Row],[MonthlyIncome]]&lt;10000,"Medium",Table1[[#This Row],[MonthlyIncome]]&gt;10000,"High")</f>
        <v>Low</v>
      </c>
      <c r="AL558" t="str" cm="1">
        <f t="array" ref="AL558">_xlfn.IFS(Table1[[#This Row],[Attrition]]="Yes","Resigned",Table1[[#This Row],[Attrition]]="No","Active")</f>
        <v>Active</v>
      </c>
      <c r="AM558" t="str" cm="1">
        <f t="array" ref="AM558">_xlfn.IFS(Table1[[#This Row],[YearsAtCompany]]&lt;=1,"0-1 Year",Table1[[#This Row],[YearsAtCompany]]&lt;=2,"1-2 Years",Table1[[#This Row],[YearsAtCompany]]&lt;=3,"2-3 Years",Table1[[#This Row],[YearsAtCompany]]&lt;=4,"3-4 Years",Table1[[#This Row],[YearsAtCompany]]&lt;=5,"4-5 Years",Table1[[#This Row],[YearsAtCompany]]&gt;5,"&gt;5 Years")</f>
        <v>1-2 Years</v>
      </c>
    </row>
    <row r="559" spans="1:39" hidden="1" x14ac:dyDescent="0.45">
      <c r="A559">
        <v>35</v>
      </c>
      <c r="B559" t="s">
        <v>43</v>
      </c>
      <c r="C559" t="s">
        <v>62</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_xlfn.IFS(Table1[[#This Row],[Age]]&lt;30,"Young",Table1[[#This Row],[Age]]&lt;=40,"Adult",Table1[[#This Row],[Age]]&gt;40,"Senior")</f>
        <v>Adult</v>
      </c>
      <c r="AK559" t="str" cm="1">
        <f t="array" ref="AK559">_xlfn.IFS(Table1[[#This Row],[MonthlyIncome]]&lt;5000,"Low",Table1[[#This Row],[MonthlyIncome]]&lt;10000,"Medium",Table1[[#This Row],[MonthlyIncome]]&gt;10000,"High")</f>
        <v>Medium</v>
      </c>
      <c r="AL559" t="str" cm="1">
        <f t="array" ref="AL559">_xlfn.IFS(Table1[[#This Row],[Attrition]]="Yes","Resigned",Table1[[#This Row],[Attrition]]="No","Active")</f>
        <v>Active</v>
      </c>
      <c r="AM559" t="str" cm="1">
        <f t="array" ref="AM559">_xlfn.IFS(Table1[[#This Row],[YearsAtCompany]]&lt;=1,"0-1 Year",Table1[[#This Row],[YearsAtCompany]]&lt;=2,"1-2 Years",Table1[[#This Row],[YearsAtCompany]]&lt;=3,"2-3 Years",Table1[[#This Row],[YearsAtCompany]]&lt;=4,"3-4 Years",Table1[[#This Row],[YearsAtCompany]]&lt;=5,"4-5 Years",Table1[[#This Row],[YearsAtCompany]]&gt;5,"&gt;5 Years")</f>
        <v>0-1 Year</v>
      </c>
    </row>
    <row r="560" spans="1:39" hidden="1" x14ac:dyDescent="0.45">
      <c r="A560">
        <v>32</v>
      </c>
      <c r="B560" t="s">
        <v>43</v>
      </c>
      <c r="C560" t="s">
        <v>63</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_xlfn.IFS(Table1[[#This Row],[Age]]&lt;30,"Young",Table1[[#This Row],[Age]]&lt;=40,"Adult",Table1[[#This Row],[Age]]&gt;40,"Senior")</f>
        <v>Adult</v>
      </c>
      <c r="AK560" t="str" cm="1">
        <f t="array" ref="AK560">_xlfn.IFS(Table1[[#This Row],[MonthlyIncome]]&lt;5000,"Low",Table1[[#This Row],[MonthlyIncome]]&lt;10000,"Medium",Table1[[#This Row],[MonthlyIncome]]&gt;10000,"High")</f>
        <v>Medium</v>
      </c>
      <c r="AL560" t="str" cm="1">
        <f t="array" ref="AL560">_xlfn.IFS(Table1[[#This Row],[Attrition]]="Yes","Resigned",Table1[[#This Row],[Attrition]]="No","Active")</f>
        <v>Active</v>
      </c>
      <c r="AM560" t="str" cm="1">
        <f t="array" ref="AM560">_xlfn.IFS(Table1[[#This Row],[YearsAtCompany]]&lt;=1,"0-1 Year",Table1[[#This Row],[YearsAtCompany]]&lt;=2,"1-2 Years",Table1[[#This Row],[YearsAtCompany]]&lt;=3,"2-3 Years",Table1[[#This Row],[YearsAtCompany]]&lt;=4,"3-4 Years",Table1[[#This Row],[YearsAtCompany]]&lt;=5,"4-5 Years",Table1[[#This Row],[YearsAtCompany]]&gt;5,"&gt;5 Years")</f>
        <v>&gt;5 Years</v>
      </c>
    </row>
    <row r="561" spans="1:39" hidden="1" x14ac:dyDescent="0.45">
      <c r="A561">
        <v>38</v>
      </c>
      <c r="B561" t="s">
        <v>43</v>
      </c>
      <c r="C561" t="s">
        <v>64</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_xlfn.IFS(Table1[[#This Row],[Age]]&lt;30,"Young",Table1[[#This Row],[Age]]&lt;=40,"Adult",Table1[[#This Row],[Age]]&gt;40,"Senior")</f>
        <v>Adult</v>
      </c>
      <c r="AK561" t="str" cm="1">
        <f t="array" ref="AK561">_xlfn.IFS(Table1[[#This Row],[MonthlyIncome]]&lt;5000,"Low",Table1[[#This Row],[MonthlyIncome]]&lt;10000,"Medium",Table1[[#This Row],[MonthlyIncome]]&gt;10000,"High")</f>
        <v>Low</v>
      </c>
      <c r="AL561" t="str" cm="1">
        <f t="array" ref="AL561">_xlfn.IFS(Table1[[#This Row],[Attrition]]="Yes","Resigned",Table1[[#This Row],[Attrition]]="No","Active")</f>
        <v>Active</v>
      </c>
      <c r="AM561" t="str" cm="1">
        <f t="array" ref="AM561">_xlfn.IFS(Table1[[#This Row],[YearsAtCompany]]&lt;=1,"0-1 Year",Table1[[#This Row],[YearsAtCompany]]&lt;=2,"1-2 Years",Table1[[#This Row],[YearsAtCompany]]&lt;=3,"2-3 Years",Table1[[#This Row],[YearsAtCompany]]&lt;=4,"3-4 Years",Table1[[#This Row],[YearsAtCompany]]&lt;=5,"4-5 Years",Table1[[#This Row],[YearsAtCompany]]&gt;5,"&gt;5 Years")</f>
        <v>0-1 Year</v>
      </c>
    </row>
    <row r="562" spans="1:39" hidden="1" x14ac:dyDescent="0.45">
      <c r="A562">
        <v>34</v>
      </c>
      <c r="B562" t="s">
        <v>43</v>
      </c>
      <c r="C562" t="s">
        <v>64</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_xlfn.IFS(Table1[[#This Row],[Age]]&lt;30,"Young",Table1[[#This Row],[Age]]&lt;=40,"Adult",Table1[[#This Row],[Age]]&gt;40,"Senior")</f>
        <v>Adult</v>
      </c>
      <c r="AK562" t="str" cm="1">
        <f t="array" ref="AK562">_xlfn.IFS(Table1[[#This Row],[MonthlyIncome]]&lt;5000,"Low",Table1[[#This Row],[MonthlyIncome]]&lt;10000,"Medium",Table1[[#This Row],[MonthlyIncome]]&gt;10000,"High")</f>
        <v>Medium</v>
      </c>
      <c r="AL562" t="str" cm="1">
        <f t="array" ref="AL562">_xlfn.IFS(Table1[[#This Row],[Attrition]]="Yes","Resigned",Table1[[#This Row],[Attrition]]="No","Active")</f>
        <v>Active</v>
      </c>
      <c r="AM562" t="str" cm="1">
        <f t="array" ref="AM562">_xlfn.IFS(Table1[[#This Row],[YearsAtCompany]]&lt;=1,"0-1 Year",Table1[[#This Row],[YearsAtCompany]]&lt;=2,"1-2 Years",Table1[[#This Row],[YearsAtCompany]]&lt;=3,"2-3 Years",Table1[[#This Row],[YearsAtCompany]]&lt;=4,"3-4 Years",Table1[[#This Row],[YearsAtCompany]]&lt;=5,"4-5 Years",Table1[[#This Row],[YearsAtCompany]]&gt;5,"&gt;5 Years")</f>
        <v>0-1 Year</v>
      </c>
    </row>
    <row r="563" spans="1:39" x14ac:dyDescent="0.45">
      <c r="A563">
        <v>52</v>
      </c>
      <c r="B563" t="s">
        <v>43</v>
      </c>
      <c r="C563" t="s">
        <v>64</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_xlfn.IFS(Table1[[#This Row],[Age]]&lt;30,"Young",Table1[[#This Row],[Age]]&lt;=40,"Adult",Table1[[#This Row],[Age]]&gt;40,"Senior")</f>
        <v>Senior</v>
      </c>
      <c r="AK563" t="str" cm="1">
        <f t="array" ref="AK563">_xlfn.IFS(Table1[[#This Row],[MonthlyIncome]]&lt;5000,"Low",Table1[[#This Row],[MonthlyIncome]]&lt;10000,"Medium",Table1[[#This Row],[MonthlyIncome]]&gt;10000,"High")</f>
        <v>High</v>
      </c>
      <c r="AL563" t="str" cm="1">
        <f t="array" ref="AL563">_xlfn.IFS(Table1[[#This Row],[Attrition]]="Yes","Resigned",Table1[[#This Row],[Attrition]]="No","Active")</f>
        <v>Active</v>
      </c>
      <c r="AM563" t="str" cm="1">
        <f t="array" ref="AM563">_xlfn.IFS(Table1[[#This Row],[YearsAtCompany]]&lt;=1,"0-1 Year",Table1[[#This Row],[YearsAtCompany]]&lt;=2,"1-2 Years",Table1[[#This Row],[YearsAtCompany]]&lt;=3,"2-3 Years",Table1[[#This Row],[YearsAtCompany]]&lt;=4,"3-4 Years",Table1[[#This Row],[YearsAtCompany]]&lt;=5,"4-5 Years",Table1[[#This Row],[YearsAtCompany]]&gt;5,"&gt;5 Years")</f>
        <v>&gt;5 Years</v>
      </c>
    </row>
    <row r="564" spans="1:39" hidden="1" x14ac:dyDescent="0.45">
      <c r="A564">
        <v>33</v>
      </c>
      <c r="B564" t="s">
        <v>35</v>
      </c>
      <c r="C564" t="s">
        <v>64</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_xlfn.IFS(Table1[[#This Row],[Age]]&lt;30,"Young",Table1[[#This Row],[Age]]&lt;=40,"Adult",Table1[[#This Row],[Age]]&gt;40,"Senior")</f>
        <v>Adult</v>
      </c>
      <c r="AK564" t="str" cm="1">
        <f t="array" ref="AK564">_xlfn.IFS(Table1[[#This Row],[MonthlyIncome]]&lt;5000,"Low",Table1[[#This Row],[MonthlyIncome]]&lt;10000,"Medium",Table1[[#This Row],[MonthlyIncome]]&gt;10000,"High")</f>
        <v>Low</v>
      </c>
      <c r="AL564" t="str" cm="1">
        <f t="array" ref="AL564">_xlfn.IFS(Table1[[#This Row],[Attrition]]="Yes","Resigned",Table1[[#This Row],[Attrition]]="No","Active")</f>
        <v>Resigned</v>
      </c>
      <c r="AM564" t="str" cm="1">
        <f t="array" ref="AM564">_xlfn.IFS(Table1[[#This Row],[YearsAtCompany]]&lt;=1,"0-1 Year",Table1[[#This Row],[YearsAtCompany]]&lt;=2,"1-2 Years",Table1[[#This Row],[YearsAtCompany]]&lt;=3,"2-3 Years",Table1[[#This Row],[YearsAtCompany]]&lt;=4,"3-4 Years",Table1[[#This Row],[YearsAtCompany]]&lt;=5,"4-5 Years",Table1[[#This Row],[YearsAtCompany]]&gt;5,"&gt;5 Years")</f>
        <v>&gt;5 Years</v>
      </c>
    </row>
    <row r="565" spans="1:39" x14ac:dyDescent="0.45">
      <c r="A565">
        <v>25</v>
      </c>
      <c r="B565" t="s">
        <v>43</v>
      </c>
      <c r="C565" t="s">
        <v>64</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_xlfn.IFS(Table1[[#This Row],[Age]]&lt;30,"Young",Table1[[#This Row],[Age]]&lt;=40,"Adult",Table1[[#This Row],[Age]]&gt;40,"Senior")</f>
        <v>Young</v>
      </c>
      <c r="AK565" t="str" cm="1">
        <f t="array" ref="AK565">_xlfn.IFS(Table1[[#This Row],[MonthlyIncome]]&lt;5000,"Low",Table1[[#This Row],[MonthlyIncome]]&lt;10000,"Medium",Table1[[#This Row],[MonthlyIncome]]&gt;10000,"High")</f>
        <v>Medium</v>
      </c>
      <c r="AL565" t="str" cm="1">
        <f t="array" ref="AL565">_xlfn.IFS(Table1[[#This Row],[Attrition]]="Yes","Resigned",Table1[[#This Row],[Attrition]]="No","Active")</f>
        <v>Active</v>
      </c>
      <c r="AM565" t="str" cm="1">
        <f t="array" ref="AM565">_xlfn.IFS(Table1[[#This Row],[YearsAtCompany]]&lt;=1,"0-1 Year",Table1[[#This Row],[YearsAtCompany]]&lt;=2,"1-2 Years",Table1[[#This Row],[YearsAtCompany]]&lt;=3,"2-3 Years",Table1[[#This Row],[YearsAtCompany]]&lt;=4,"3-4 Years",Table1[[#This Row],[YearsAtCompany]]&lt;=5,"4-5 Years",Table1[[#This Row],[YearsAtCompany]]&gt;5,"&gt;5 Years")</f>
        <v>&gt;5 Years</v>
      </c>
    </row>
    <row r="566" spans="1:39" x14ac:dyDescent="0.45">
      <c r="A566">
        <v>45</v>
      </c>
      <c r="B566" t="s">
        <v>43</v>
      </c>
      <c r="C566" t="s">
        <v>64</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_xlfn.IFS(Table1[[#This Row],[Age]]&lt;30,"Young",Table1[[#This Row],[Age]]&lt;=40,"Adult",Table1[[#This Row],[Age]]&gt;40,"Senior")</f>
        <v>Senior</v>
      </c>
      <c r="AK566" t="str" cm="1">
        <f t="array" ref="AK566">_xlfn.IFS(Table1[[#This Row],[MonthlyIncome]]&lt;5000,"Low",Table1[[#This Row],[MonthlyIncome]]&lt;10000,"Medium",Table1[[#This Row],[MonthlyIncome]]&gt;10000,"High")</f>
        <v>Medium</v>
      </c>
      <c r="AL566" t="str" cm="1">
        <f t="array" ref="AL566">_xlfn.IFS(Table1[[#This Row],[Attrition]]="Yes","Resigned",Table1[[#This Row],[Attrition]]="No","Active")</f>
        <v>Active</v>
      </c>
      <c r="AM566" t="str" cm="1">
        <f t="array" ref="AM566">_xlfn.IFS(Table1[[#This Row],[YearsAtCompany]]&lt;=1,"0-1 Year",Table1[[#This Row],[YearsAtCompany]]&lt;=2,"1-2 Years",Table1[[#This Row],[YearsAtCompany]]&lt;=3,"2-3 Years",Table1[[#This Row],[YearsAtCompany]]&lt;=4,"3-4 Years",Table1[[#This Row],[YearsAtCompany]]&lt;=5,"4-5 Years",Table1[[#This Row],[YearsAtCompany]]&gt;5,"&gt;5 Years")</f>
        <v>&gt;5 Years</v>
      </c>
    </row>
    <row r="567" spans="1:39" hidden="1" x14ac:dyDescent="0.45">
      <c r="A567">
        <v>23</v>
      </c>
      <c r="B567" t="s">
        <v>43</v>
      </c>
      <c r="C567" t="s">
        <v>64</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_xlfn.IFS(Table1[[#This Row],[Age]]&lt;30,"Young",Table1[[#This Row],[Age]]&lt;=40,"Adult",Table1[[#This Row],[Age]]&gt;40,"Senior")</f>
        <v>Young</v>
      </c>
      <c r="AK567" t="str" cm="1">
        <f t="array" ref="AK567">_xlfn.IFS(Table1[[#This Row],[MonthlyIncome]]&lt;5000,"Low",Table1[[#This Row],[MonthlyIncome]]&lt;10000,"Medium",Table1[[#This Row],[MonthlyIncome]]&gt;10000,"High")</f>
        <v>Low</v>
      </c>
      <c r="AL567" t="str" cm="1">
        <f t="array" ref="AL567">_xlfn.IFS(Table1[[#This Row],[Attrition]]="Yes","Resigned",Table1[[#This Row],[Attrition]]="No","Active")</f>
        <v>Active</v>
      </c>
      <c r="AM567" t="str" cm="1">
        <f t="array" ref="AM567">_xlfn.IFS(Table1[[#This Row],[YearsAtCompany]]&lt;=1,"0-1 Year",Table1[[#This Row],[YearsAtCompany]]&lt;=2,"1-2 Years",Table1[[#This Row],[YearsAtCompany]]&lt;=3,"2-3 Years",Table1[[#This Row],[YearsAtCompany]]&lt;=4,"3-4 Years",Table1[[#This Row],[YearsAtCompany]]&lt;=5,"4-5 Years",Table1[[#This Row],[YearsAtCompany]]&gt;5,"&gt;5 Years")</f>
        <v>1-2 Years</v>
      </c>
    </row>
    <row r="568" spans="1:39" x14ac:dyDescent="0.45">
      <c r="A568">
        <v>47</v>
      </c>
      <c r="B568" t="s">
        <v>35</v>
      </c>
      <c r="C568" t="s">
        <v>63</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_xlfn.IFS(Table1[[#This Row],[Age]]&lt;30,"Young",Table1[[#This Row],[Age]]&lt;=40,"Adult",Table1[[#This Row],[Age]]&gt;40,"Senior")</f>
        <v>Senior</v>
      </c>
      <c r="AK568" t="str" cm="1">
        <f t="array" ref="AK568">_xlfn.IFS(Table1[[#This Row],[MonthlyIncome]]&lt;5000,"Low",Table1[[#This Row],[MonthlyIncome]]&lt;10000,"Medium",Table1[[#This Row],[MonthlyIncome]]&gt;10000,"High")</f>
        <v>Medium</v>
      </c>
      <c r="AL568" t="str" cm="1">
        <f t="array" ref="AL568">_xlfn.IFS(Table1[[#This Row],[Attrition]]="Yes","Resigned",Table1[[#This Row],[Attrition]]="No","Active")</f>
        <v>Resigned</v>
      </c>
      <c r="AM568" t="str" cm="1">
        <f t="array" ref="AM568">_xlfn.IFS(Table1[[#This Row],[YearsAtCompany]]&lt;=1,"0-1 Year",Table1[[#This Row],[YearsAtCompany]]&lt;=2,"1-2 Years",Table1[[#This Row],[YearsAtCompany]]&lt;=3,"2-3 Years",Table1[[#This Row],[YearsAtCompany]]&lt;=4,"3-4 Years",Table1[[#This Row],[YearsAtCompany]]&lt;=5,"4-5 Years",Table1[[#This Row],[YearsAtCompany]]&gt;5,"&gt;5 Years")</f>
        <v>4-5 Years</v>
      </c>
    </row>
    <row r="569" spans="1:39" x14ac:dyDescent="0.45">
      <c r="A569">
        <v>34</v>
      </c>
      <c r="B569" t="s">
        <v>43</v>
      </c>
      <c r="C569" t="s">
        <v>64</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_xlfn.IFS(Table1[[#This Row],[Age]]&lt;30,"Young",Table1[[#This Row],[Age]]&lt;=40,"Adult",Table1[[#This Row],[Age]]&gt;40,"Senior")</f>
        <v>Adult</v>
      </c>
      <c r="AK569" t="str" cm="1">
        <f t="array" ref="AK569">_xlfn.IFS(Table1[[#This Row],[MonthlyIncome]]&lt;5000,"Low",Table1[[#This Row],[MonthlyIncome]]&lt;10000,"Medium",Table1[[#This Row],[MonthlyIncome]]&gt;10000,"High")</f>
        <v>Medium</v>
      </c>
      <c r="AL569" t="str" cm="1">
        <f t="array" ref="AL569">_xlfn.IFS(Table1[[#This Row],[Attrition]]="Yes","Resigned",Table1[[#This Row],[Attrition]]="No","Active")</f>
        <v>Active</v>
      </c>
      <c r="AM569" t="str" cm="1">
        <f t="array" ref="AM569">_xlfn.IFS(Table1[[#This Row],[YearsAtCompany]]&lt;=1,"0-1 Year",Table1[[#This Row],[YearsAtCompany]]&lt;=2,"1-2 Years",Table1[[#This Row],[YearsAtCompany]]&lt;=3,"2-3 Years",Table1[[#This Row],[YearsAtCompany]]&lt;=4,"3-4 Years",Table1[[#This Row],[YearsAtCompany]]&lt;=5,"4-5 Years",Table1[[#This Row],[YearsAtCompany]]&gt;5,"&gt;5 Years")</f>
        <v>&gt;5 Years</v>
      </c>
    </row>
    <row r="570" spans="1:39" hidden="1" x14ac:dyDescent="0.45">
      <c r="A570">
        <v>55</v>
      </c>
      <c r="B570" t="s">
        <v>35</v>
      </c>
      <c r="C570" t="s">
        <v>64</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_xlfn.IFS(Table1[[#This Row],[Age]]&lt;30,"Young",Table1[[#This Row],[Age]]&lt;=40,"Adult",Table1[[#This Row],[Age]]&gt;40,"Senior")</f>
        <v>Senior</v>
      </c>
      <c r="AK570" t="str" cm="1">
        <f t="array" ref="AK570">_xlfn.IFS(Table1[[#This Row],[MonthlyIncome]]&lt;5000,"Low",Table1[[#This Row],[MonthlyIncome]]&lt;10000,"Medium",Table1[[#This Row],[MonthlyIncome]]&gt;10000,"High")</f>
        <v>High</v>
      </c>
      <c r="AL570" t="str" cm="1">
        <f t="array" ref="AL570">_xlfn.IFS(Table1[[#This Row],[Attrition]]="Yes","Resigned",Table1[[#This Row],[Attrition]]="No","Active")</f>
        <v>Resigned</v>
      </c>
      <c r="AM570" t="str" cm="1">
        <f t="array" ref="AM570">_xlfn.IFS(Table1[[#This Row],[YearsAtCompany]]&lt;=1,"0-1 Year",Table1[[#This Row],[YearsAtCompany]]&lt;=2,"1-2 Years",Table1[[#This Row],[YearsAtCompany]]&lt;=3,"2-3 Years",Table1[[#This Row],[YearsAtCompany]]&lt;=4,"3-4 Years",Table1[[#This Row],[YearsAtCompany]]&lt;=5,"4-5 Years",Table1[[#This Row],[YearsAtCompany]]&gt;5,"&gt;5 Years")</f>
        <v>4-5 Years</v>
      </c>
    </row>
    <row r="571" spans="1:39" x14ac:dyDescent="0.45">
      <c r="A571">
        <v>36</v>
      </c>
      <c r="B571" t="s">
        <v>43</v>
      </c>
      <c r="C571" t="s">
        <v>62</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_xlfn.IFS(Table1[[#This Row],[Age]]&lt;30,"Young",Table1[[#This Row],[Age]]&lt;=40,"Adult",Table1[[#This Row],[Age]]&gt;40,"Senior")</f>
        <v>Adult</v>
      </c>
      <c r="AK571" t="str" cm="1">
        <f t="array" ref="AK571">_xlfn.IFS(Table1[[#This Row],[MonthlyIncome]]&lt;5000,"Low",Table1[[#This Row],[MonthlyIncome]]&lt;10000,"Medium",Table1[[#This Row],[MonthlyIncome]]&gt;10000,"High")</f>
        <v>Medium</v>
      </c>
      <c r="AL571" t="str" cm="1">
        <f t="array" ref="AL571">_xlfn.IFS(Table1[[#This Row],[Attrition]]="Yes","Resigned",Table1[[#This Row],[Attrition]]="No","Active")</f>
        <v>Active</v>
      </c>
      <c r="AM571" t="str" cm="1">
        <f t="array" ref="AM571">_xlfn.IFS(Table1[[#This Row],[YearsAtCompany]]&lt;=1,"0-1 Year",Table1[[#This Row],[YearsAtCompany]]&lt;=2,"1-2 Years",Table1[[#This Row],[YearsAtCompany]]&lt;=3,"2-3 Years",Table1[[#This Row],[YearsAtCompany]]&lt;=4,"3-4 Years",Table1[[#This Row],[YearsAtCompany]]&lt;=5,"4-5 Years",Table1[[#This Row],[YearsAtCompany]]&gt;5,"&gt;5 Years")</f>
        <v>&gt;5 Years</v>
      </c>
    </row>
    <row r="572" spans="1:39" hidden="1" x14ac:dyDescent="0.45">
      <c r="A572">
        <v>52</v>
      </c>
      <c r="B572" t="s">
        <v>43</v>
      </c>
      <c r="C572" t="s">
        <v>62</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_xlfn.IFS(Table1[[#This Row],[Age]]&lt;30,"Young",Table1[[#This Row],[Age]]&lt;=40,"Adult",Table1[[#This Row],[Age]]&gt;40,"Senior")</f>
        <v>Senior</v>
      </c>
      <c r="AK572" t="str" cm="1">
        <f t="array" ref="AK572">_xlfn.IFS(Table1[[#This Row],[MonthlyIncome]]&lt;5000,"Low",Table1[[#This Row],[MonthlyIncome]]&lt;10000,"Medium",Table1[[#This Row],[MonthlyIncome]]&gt;10000,"High")</f>
        <v>Low</v>
      </c>
      <c r="AL572" t="str" cm="1">
        <f t="array" ref="AL572">_xlfn.IFS(Table1[[#This Row],[Attrition]]="Yes","Resigned",Table1[[#This Row],[Attrition]]="No","Active")</f>
        <v>Active</v>
      </c>
      <c r="AM572" t="str" cm="1">
        <f t="array" ref="AM572">_xlfn.IFS(Table1[[#This Row],[YearsAtCompany]]&lt;=1,"0-1 Year",Table1[[#This Row],[YearsAtCompany]]&lt;=2,"1-2 Years",Table1[[#This Row],[YearsAtCompany]]&lt;=3,"2-3 Years",Table1[[#This Row],[YearsAtCompany]]&lt;=4,"3-4 Years",Table1[[#This Row],[YearsAtCompany]]&lt;=5,"4-5 Years",Table1[[#This Row],[YearsAtCompany]]&gt;5,"&gt;5 Years")</f>
        <v>3-4 Years</v>
      </c>
    </row>
    <row r="573" spans="1:39" hidden="1" x14ac:dyDescent="0.45">
      <c r="A573">
        <v>26</v>
      </c>
      <c r="B573" t="s">
        <v>43</v>
      </c>
      <c r="C573" t="s">
        <v>63</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_xlfn.IFS(Table1[[#This Row],[Age]]&lt;30,"Young",Table1[[#This Row],[Age]]&lt;=40,"Adult",Table1[[#This Row],[Age]]&gt;40,"Senior")</f>
        <v>Young</v>
      </c>
      <c r="AK573" t="str" cm="1">
        <f t="array" ref="AK573">_xlfn.IFS(Table1[[#This Row],[MonthlyIncome]]&lt;5000,"Low",Table1[[#This Row],[MonthlyIncome]]&lt;10000,"Medium",Table1[[#This Row],[MonthlyIncome]]&gt;10000,"High")</f>
        <v>Low</v>
      </c>
      <c r="AL573" t="str" cm="1">
        <f t="array" ref="AL573">_xlfn.IFS(Table1[[#This Row],[Attrition]]="Yes","Resigned",Table1[[#This Row],[Attrition]]="No","Active")</f>
        <v>Active</v>
      </c>
      <c r="AM573" t="str" cm="1">
        <f t="array" ref="AM573">_xlfn.IFS(Table1[[#This Row],[YearsAtCompany]]&lt;=1,"0-1 Year",Table1[[#This Row],[YearsAtCompany]]&lt;=2,"1-2 Years",Table1[[#This Row],[YearsAtCompany]]&lt;=3,"2-3 Years",Table1[[#This Row],[YearsAtCompany]]&lt;=4,"3-4 Years",Table1[[#This Row],[YearsAtCompany]]&lt;=5,"4-5 Years",Table1[[#This Row],[YearsAtCompany]]&gt;5,"&gt;5 Years")</f>
        <v>1-2 Years</v>
      </c>
    </row>
    <row r="574" spans="1:39" hidden="1" x14ac:dyDescent="0.45">
      <c r="A574">
        <v>29</v>
      </c>
      <c r="B574" t="s">
        <v>43</v>
      </c>
      <c r="C574" t="s">
        <v>64</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_xlfn.IFS(Table1[[#This Row],[Age]]&lt;30,"Young",Table1[[#This Row],[Age]]&lt;=40,"Adult",Table1[[#This Row],[Age]]&gt;40,"Senior")</f>
        <v>Young</v>
      </c>
      <c r="AK574" t="str" cm="1">
        <f t="array" ref="AK574">_xlfn.IFS(Table1[[#This Row],[MonthlyIncome]]&lt;5000,"Low",Table1[[#This Row],[MonthlyIncome]]&lt;10000,"Medium",Table1[[#This Row],[MonthlyIncome]]&gt;10000,"High")</f>
        <v>Low</v>
      </c>
      <c r="AL574" t="str" cm="1">
        <f t="array" ref="AL574">_xlfn.IFS(Table1[[#This Row],[Attrition]]="Yes","Resigned",Table1[[#This Row],[Attrition]]="No","Active")</f>
        <v>Active</v>
      </c>
      <c r="AM574" t="str" cm="1">
        <f t="array" ref="AM574">_xlfn.IFS(Table1[[#This Row],[YearsAtCompany]]&lt;=1,"0-1 Year",Table1[[#This Row],[YearsAtCompany]]&lt;=2,"1-2 Years",Table1[[#This Row],[YearsAtCompany]]&lt;=3,"2-3 Years",Table1[[#This Row],[YearsAtCompany]]&lt;=4,"3-4 Years",Table1[[#This Row],[YearsAtCompany]]&lt;=5,"4-5 Years",Table1[[#This Row],[YearsAtCompany]]&gt;5,"&gt;5 Years")</f>
        <v>&gt;5 Years</v>
      </c>
    </row>
    <row r="575" spans="1:39" x14ac:dyDescent="0.45">
      <c r="A575">
        <v>26</v>
      </c>
      <c r="B575" t="s">
        <v>35</v>
      </c>
      <c r="C575" t="s">
        <v>64</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_xlfn.IFS(Table1[[#This Row],[Age]]&lt;30,"Young",Table1[[#This Row],[Age]]&lt;=40,"Adult",Table1[[#This Row],[Age]]&gt;40,"Senior")</f>
        <v>Young</v>
      </c>
      <c r="AK575" t="str" cm="1">
        <f t="array" ref="AK575">_xlfn.IFS(Table1[[#This Row],[MonthlyIncome]]&lt;5000,"Low",Table1[[#This Row],[MonthlyIncome]]&lt;10000,"Medium",Table1[[#This Row],[MonthlyIncome]]&gt;10000,"High")</f>
        <v>Medium</v>
      </c>
      <c r="AL575" t="str" cm="1">
        <f t="array" ref="AL575">_xlfn.IFS(Table1[[#This Row],[Attrition]]="Yes","Resigned",Table1[[#This Row],[Attrition]]="No","Active")</f>
        <v>Resigned</v>
      </c>
      <c r="AM575" t="str" cm="1">
        <f t="array" ref="AM575">_xlfn.IFS(Table1[[#This Row],[YearsAtCompany]]&lt;=1,"0-1 Year",Table1[[#This Row],[YearsAtCompany]]&lt;=2,"1-2 Years",Table1[[#This Row],[YearsAtCompany]]&lt;=3,"2-3 Years",Table1[[#This Row],[YearsAtCompany]]&lt;=4,"3-4 Years",Table1[[#This Row],[YearsAtCompany]]&lt;=5,"4-5 Years",Table1[[#This Row],[YearsAtCompany]]&gt;5,"&gt;5 Years")</f>
        <v>3-4 Years</v>
      </c>
    </row>
    <row r="576" spans="1:39" hidden="1" x14ac:dyDescent="0.45">
      <c r="A576">
        <v>34</v>
      </c>
      <c r="B576" t="s">
        <v>43</v>
      </c>
      <c r="C576" t="s">
        <v>64</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_xlfn.IFS(Table1[[#This Row],[Age]]&lt;30,"Young",Table1[[#This Row],[Age]]&lt;=40,"Adult",Table1[[#This Row],[Age]]&gt;40,"Senior")</f>
        <v>Adult</v>
      </c>
      <c r="AK576" t="str" cm="1">
        <f t="array" ref="AK576">_xlfn.IFS(Table1[[#This Row],[MonthlyIncome]]&lt;5000,"Low",Table1[[#This Row],[MonthlyIncome]]&lt;10000,"Medium",Table1[[#This Row],[MonthlyIncome]]&gt;10000,"High")</f>
        <v>Low</v>
      </c>
      <c r="AL576" t="str" cm="1">
        <f t="array" ref="AL576">_xlfn.IFS(Table1[[#This Row],[Attrition]]="Yes","Resigned",Table1[[#This Row],[Attrition]]="No","Active")</f>
        <v>Active</v>
      </c>
      <c r="AM576" t="str" cm="1">
        <f t="array" ref="AM576">_xlfn.IFS(Table1[[#This Row],[YearsAtCompany]]&lt;=1,"0-1 Year",Table1[[#This Row],[YearsAtCompany]]&lt;=2,"1-2 Years",Table1[[#This Row],[YearsAtCompany]]&lt;=3,"2-3 Years",Table1[[#This Row],[YearsAtCompany]]&lt;=4,"3-4 Years",Table1[[#This Row],[YearsAtCompany]]&lt;=5,"4-5 Years",Table1[[#This Row],[YearsAtCompany]]&gt;5,"&gt;5 Years")</f>
        <v>3-4 Years</v>
      </c>
    </row>
    <row r="577" spans="1:39" hidden="1" x14ac:dyDescent="0.45">
      <c r="A577">
        <v>54</v>
      </c>
      <c r="B577" t="s">
        <v>43</v>
      </c>
      <c r="C577" t="s">
        <v>64</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_xlfn.IFS(Table1[[#This Row],[Age]]&lt;30,"Young",Table1[[#This Row],[Age]]&lt;=40,"Adult",Table1[[#This Row],[Age]]&gt;40,"Senior")</f>
        <v>Senior</v>
      </c>
      <c r="AK577" t="str" cm="1">
        <f t="array" ref="AK577">_xlfn.IFS(Table1[[#This Row],[MonthlyIncome]]&lt;5000,"Low",Table1[[#This Row],[MonthlyIncome]]&lt;10000,"Medium",Table1[[#This Row],[MonthlyIncome]]&gt;10000,"High")</f>
        <v>Medium</v>
      </c>
      <c r="AL577" t="str" cm="1">
        <f t="array" ref="AL577">_xlfn.IFS(Table1[[#This Row],[Attrition]]="Yes","Resigned",Table1[[#This Row],[Attrition]]="No","Active")</f>
        <v>Active</v>
      </c>
      <c r="AM577" t="str" cm="1">
        <f t="array" ref="AM577">_xlfn.IFS(Table1[[#This Row],[YearsAtCompany]]&lt;=1,"0-1 Year",Table1[[#This Row],[YearsAtCompany]]&lt;=2,"1-2 Years",Table1[[#This Row],[YearsAtCompany]]&lt;=3,"2-3 Years",Table1[[#This Row],[YearsAtCompany]]&lt;=4,"3-4 Years",Table1[[#This Row],[YearsAtCompany]]&lt;=5,"4-5 Years",Table1[[#This Row],[YearsAtCompany]]&gt;5,"&gt;5 Years")</f>
        <v>4-5 Years</v>
      </c>
    </row>
    <row r="578" spans="1:39" x14ac:dyDescent="0.45">
      <c r="A578">
        <v>27</v>
      </c>
      <c r="B578" t="s">
        <v>43</v>
      </c>
      <c r="C578" t="s">
        <v>63</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_xlfn.IFS(Table1[[#This Row],[Age]]&lt;30,"Young",Table1[[#This Row],[Age]]&lt;=40,"Adult",Table1[[#This Row],[Age]]&gt;40,"Senior")</f>
        <v>Young</v>
      </c>
      <c r="AK578" t="str" cm="1">
        <f t="array" ref="AK578">_xlfn.IFS(Table1[[#This Row],[MonthlyIncome]]&lt;5000,"Low",Table1[[#This Row],[MonthlyIncome]]&lt;10000,"Medium",Table1[[#This Row],[MonthlyIncome]]&gt;10000,"High")</f>
        <v>Low</v>
      </c>
      <c r="AL578" t="str" cm="1">
        <f t="array" ref="AL578">_xlfn.IFS(Table1[[#This Row],[Attrition]]="Yes","Resigned",Table1[[#This Row],[Attrition]]="No","Active")</f>
        <v>Active</v>
      </c>
      <c r="AM578" t="str" cm="1">
        <f t="array" ref="AM578">_xlfn.IFS(Table1[[#This Row],[YearsAtCompany]]&lt;=1,"0-1 Year",Table1[[#This Row],[YearsAtCompany]]&lt;=2,"1-2 Years",Table1[[#This Row],[YearsAtCompany]]&lt;=3,"2-3 Years",Table1[[#This Row],[YearsAtCompany]]&lt;=4,"3-4 Years",Table1[[#This Row],[YearsAtCompany]]&lt;=5,"4-5 Years",Table1[[#This Row],[YearsAtCompany]]&gt;5,"&gt;5 Years")</f>
        <v>3-4 Years</v>
      </c>
    </row>
    <row r="579" spans="1:39" hidden="1" x14ac:dyDescent="0.45">
      <c r="A579">
        <v>37</v>
      </c>
      <c r="B579" t="s">
        <v>43</v>
      </c>
      <c r="C579" t="s">
        <v>64</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_xlfn.IFS(Table1[[#This Row],[Age]]&lt;30,"Young",Table1[[#This Row],[Age]]&lt;=40,"Adult",Table1[[#This Row],[Age]]&gt;40,"Senior")</f>
        <v>Adult</v>
      </c>
      <c r="AK579" t="str" cm="1">
        <f t="array" ref="AK579">_xlfn.IFS(Table1[[#This Row],[MonthlyIncome]]&lt;5000,"Low",Table1[[#This Row],[MonthlyIncome]]&lt;10000,"Medium",Table1[[#This Row],[MonthlyIncome]]&gt;10000,"High")</f>
        <v>Low</v>
      </c>
      <c r="AL579" t="str" cm="1">
        <f t="array" ref="AL579">_xlfn.IFS(Table1[[#This Row],[Attrition]]="Yes","Resigned",Table1[[#This Row],[Attrition]]="No","Active")</f>
        <v>Active</v>
      </c>
      <c r="AM579" t="str" cm="1">
        <f t="array" ref="AM579">_xlfn.IFS(Table1[[#This Row],[YearsAtCompany]]&lt;=1,"0-1 Year",Table1[[#This Row],[YearsAtCompany]]&lt;=2,"1-2 Years",Table1[[#This Row],[YearsAtCompany]]&lt;=3,"2-3 Years",Table1[[#This Row],[YearsAtCompany]]&lt;=4,"3-4 Years",Table1[[#This Row],[YearsAtCompany]]&lt;=5,"4-5 Years",Table1[[#This Row],[YearsAtCompany]]&gt;5,"&gt;5 Years")</f>
        <v>4-5 Years</v>
      </c>
    </row>
    <row r="580" spans="1:39" hidden="1" x14ac:dyDescent="0.45">
      <c r="A580">
        <v>38</v>
      </c>
      <c r="B580" t="s">
        <v>43</v>
      </c>
      <c r="C580" t="s">
        <v>63</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_xlfn.IFS(Table1[[#This Row],[Age]]&lt;30,"Young",Table1[[#This Row],[Age]]&lt;=40,"Adult",Table1[[#This Row],[Age]]&gt;40,"Senior")</f>
        <v>Adult</v>
      </c>
      <c r="AK580" t="str" cm="1">
        <f t="array" ref="AK580">_xlfn.IFS(Table1[[#This Row],[MonthlyIncome]]&lt;5000,"Low",Table1[[#This Row],[MonthlyIncome]]&lt;10000,"Medium",Table1[[#This Row],[MonthlyIncome]]&gt;10000,"High")</f>
        <v>Medium</v>
      </c>
      <c r="AL580" t="str" cm="1">
        <f t="array" ref="AL580">_xlfn.IFS(Table1[[#This Row],[Attrition]]="Yes","Resigned",Table1[[#This Row],[Attrition]]="No","Active")</f>
        <v>Active</v>
      </c>
      <c r="AM580" t="str" cm="1">
        <f t="array" ref="AM580">_xlfn.IFS(Table1[[#This Row],[YearsAtCompany]]&lt;=1,"0-1 Year",Table1[[#This Row],[YearsAtCompany]]&lt;=2,"1-2 Years",Table1[[#This Row],[YearsAtCompany]]&lt;=3,"2-3 Years",Table1[[#This Row],[YearsAtCompany]]&lt;=4,"3-4 Years",Table1[[#This Row],[YearsAtCompany]]&lt;=5,"4-5 Years",Table1[[#This Row],[YearsAtCompany]]&gt;5,"&gt;5 Years")</f>
        <v>&gt;5 Years</v>
      </c>
    </row>
    <row r="581" spans="1:39" hidden="1" x14ac:dyDescent="0.45">
      <c r="A581">
        <v>34</v>
      </c>
      <c r="B581" t="s">
        <v>43</v>
      </c>
      <c r="C581" t="s">
        <v>64</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_xlfn.IFS(Table1[[#This Row],[Age]]&lt;30,"Young",Table1[[#This Row],[Age]]&lt;=40,"Adult",Table1[[#This Row],[Age]]&gt;40,"Senior")</f>
        <v>Adult</v>
      </c>
      <c r="AK581" t="str" cm="1">
        <f t="array" ref="AK581">_xlfn.IFS(Table1[[#This Row],[MonthlyIncome]]&lt;5000,"Low",Table1[[#This Row],[MonthlyIncome]]&lt;10000,"Medium",Table1[[#This Row],[MonthlyIncome]]&gt;10000,"High")</f>
        <v>Low</v>
      </c>
      <c r="AL581" t="str" cm="1">
        <f t="array" ref="AL581">_xlfn.IFS(Table1[[#This Row],[Attrition]]="Yes","Resigned",Table1[[#This Row],[Attrition]]="No","Active")</f>
        <v>Active</v>
      </c>
      <c r="AM581" t="str" cm="1">
        <f t="array" ref="AM581">_xlfn.IFS(Table1[[#This Row],[YearsAtCompany]]&lt;=1,"0-1 Year",Table1[[#This Row],[YearsAtCompany]]&lt;=2,"1-2 Years",Table1[[#This Row],[YearsAtCompany]]&lt;=3,"2-3 Years",Table1[[#This Row],[YearsAtCompany]]&lt;=4,"3-4 Years",Table1[[#This Row],[YearsAtCompany]]&lt;=5,"4-5 Years",Table1[[#This Row],[YearsAtCompany]]&gt;5,"&gt;5 Years")</f>
        <v>&gt;5 Years</v>
      </c>
    </row>
    <row r="582" spans="1:39" x14ac:dyDescent="0.45">
      <c r="A582">
        <v>35</v>
      </c>
      <c r="B582" t="s">
        <v>43</v>
      </c>
      <c r="C582" t="s">
        <v>64</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_xlfn.IFS(Table1[[#This Row],[Age]]&lt;30,"Young",Table1[[#This Row],[Age]]&lt;=40,"Adult",Table1[[#This Row],[Age]]&gt;40,"Senior")</f>
        <v>Adult</v>
      </c>
      <c r="AK582" t="str" cm="1">
        <f t="array" ref="AK582">_xlfn.IFS(Table1[[#This Row],[MonthlyIncome]]&lt;5000,"Low",Table1[[#This Row],[MonthlyIncome]]&lt;10000,"Medium",Table1[[#This Row],[MonthlyIncome]]&gt;10000,"High")</f>
        <v>Low</v>
      </c>
      <c r="AL582" t="str" cm="1">
        <f t="array" ref="AL582">_xlfn.IFS(Table1[[#This Row],[Attrition]]="Yes","Resigned",Table1[[#This Row],[Attrition]]="No","Active")</f>
        <v>Active</v>
      </c>
      <c r="AM582" t="str" cm="1">
        <f t="array" ref="AM582">_xlfn.IFS(Table1[[#This Row],[YearsAtCompany]]&lt;=1,"0-1 Year",Table1[[#This Row],[YearsAtCompany]]&lt;=2,"1-2 Years",Table1[[#This Row],[YearsAtCompany]]&lt;=3,"2-3 Years",Table1[[#This Row],[YearsAtCompany]]&lt;=4,"3-4 Years",Table1[[#This Row],[YearsAtCompany]]&lt;=5,"4-5 Years",Table1[[#This Row],[YearsAtCompany]]&gt;5,"&gt;5 Years")</f>
        <v>2-3 Years</v>
      </c>
    </row>
    <row r="583" spans="1:39" hidden="1" x14ac:dyDescent="0.45">
      <c r="A583">
        <v>30</v>
      </c>
      <c r="B583" t="s">
        <v>43</v>
      </c>
      <c r="C583" t="s">
        <v>64</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_xlfn.IFS(Table1[[#This Row],[Age]]&lt;30,"Young",Table1[[#This Row],[Age]]&lt;=40,"Adult",Table1[[#This Row],[Age]]&gt;40,"Senior")</f>
        <v>Adult</v>
      </c>
      <c r="AK583" t="str" cm="1">
        <f t="array" ref="AK583">_xlfn.IFS(Table1[[#This Row],[MonthlyIncome]]&lt;5000,"Low",Table1[[#This Row],[MonthlyIncome]]&lt;10000,"Medium",Table1[[#This Row],[MonthlyIncome]]&gt;10000,"High")</f>
        <v>Low</v>
      </c>
      <c r="AL583" t="str" cm="1">
        <f t="array" ref="AL583">_xlfn.IFS(Table1[[#This Row],[Attrition]]="Yes","Resigned",Table1[[#This Row],[Attrition]]="No","Active")</f>
        <v>Active</v>
      </c>
      <c r="AM583" t="str" cm="1">
        <f t="array" ref="AM583">_xlfn.IFS(Table1[[#This Row],[YearsAtCompany]]&lt;=1,"0-1 Year",Table1[[#This Row],[YearsAtCompany]]&lt;=2,"1-2 Years",Table1[[#This Row],[YearsAtCompany]]&lt;=3,"2-3 Years",Table1[[#This Row],[YearsAtCompany]]&lt;=4,"3-4 Years",Table1[[#This Row],[YearsAtCompany]]&lt;=5,"4-5 Years",Table1[[#This Row],[YearsAtCompany]]&gt;5,"&gt;5 Years")</f>
        <v>1-2 Years</v>
      </c>
    </row>
    <row r="584" spans="1:39" hidden="1" x14ac:dyDescent="0.45">
      <c r="A584">
        <v>40</v>
      </c>
      <c r="B584" t="s">
        <v>43</v>
      </c>
      <c r="C584" t="s">
        <v>63</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_xlfn.IFS(Table1[[#This Row],[Age]]&lt;30,"Young",Table1[[#This Row],[Age]]&lt;=40,"Adult",Table1[[#This Row],[Age]]&gt;40,"Senior")</f>
        <v>Adult</v>
      </c>
      <c r="AK584" t="str" cm="1">
        <f t="array" ref="AK584">_xlfn.IFS(Table1[[#This Row],[MonthlyIncome]]&lt;5000,"Low",Table1[[#This Row],[MonthlyIncome]]&lt;10000,"Medium",Table1[[#This Row],[MonthlyIncome]]&gt;10000,"High")</f>
        <v>Low</v>
      </c>
      <c r="AL584" t="str" cm="1">
        <f t="array" ref="AL584">_xlfn.IFS(Table1[[#This Row],[Attrition]]="Yes","Resigned",Table1[[#This Row],[Attrition]]="No","Active")</f>
        <v>Active</v>
      </c>
      <c r="AM584" t="str" cm="1">
        <f t="array" ref="AM584">_xlfn.IFS(Table1[[#This Row],[YearsAtCompany]]&lt;=1,"0-1 Year",Table1[[#This Row],[YearsAtCompany]]&lt;=2,"1-2 Years",Table1[[#This Row],[YearsAtCompany]]&lt;=3,"2-3 Years",Table1[[#This Row],[YearsAtCompany]]&lt;=4,"3-4 Years",Table1[[#This Row],[YearsAtCompany]]&lt;=5,"4-5 Years",Table1[[#This Row],[YearsAtCompany]]&gt;5,"&gt;5 Years")</f>
        <v>&gt;5 Years</v>
      </c>
    </row>
    <row r="585" spans="1:39" x14ac:dyDescent="0.45">
      <c r="A585">
        <v>34</v>
      </c>
      <c r="B585" t="s">
        <v>43</v>
      </c>
      <c r="C585" t="s">
        <v>64</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_xlfn.IFS(Table1[[#This Row],[Age]]&lt;30,"Young",Table1[[#This Row],[Age]]&lt;=40,"Adult",Table1[[#This Row],[Age]]&gt;40,"Senior")</f>
        <v>Adult</v>
      </c>
      <c r="AK585" t="str" cm="1">
        <f t="array" ref="AK585">_xlfn.IFS(Table1[[#This Row],[MonthlyIncome]]&lt;5000,"Low",Table1[[#This Row],[MonthlyIncome]]&lt;10000,"Medium",Table1[[#This Row],[MonthlyIncome]]&gt;10000,"High")</f>
        <v>Medium</v>
      </c>
      <c r="AL585" t="str" cm="1">
        <f t="array" ref="AL585">_xlfn.IFS(Table1[[#This Row],[Attrition]]="Yes","Resigned",Table1[[#This Row],[Attrition]]="No","Active")</f>
        <v>Active</v>
      </c>
      <c r="AM585" t="str" cm="1">
        <f t="array" ref="AM585">_xlfn.IFS(Table1[[#This Row],[YearsAtCompany]]&lt;=1,"0-1 Year",Table1[[#This Row],[YearsAtCompany]]&lt;=2,"1-2 Years",Table1[[#This Row],[YearsAtCompany]]&lt;=3,"2-3 Years",Table1[[#This Row],[YearsAtCompany]]&lt;=4,"3-4 Years",Table1[[#This Row],[YearsAtCompany]]&lt;=5,"4-5 Years",Table1[[#This Row],[YearsAtCompany]]&gt;5,"&gt;5 Years")</f>
        <v>2-3 Years</v>
      </c>
    </row>
    <row r="586" spans="1:39" hidden="1" x14ac:dyDescent="0.45">
      <c r="A586">
        <v>42</v>
      </c>
      <c r="B586" t="s">
        <v>43</v>
      </c>
      <c r="C586" t="s">
        <v>63</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_xlfn.IFS(Table1[[#This Row],[Age]]&lt;30,"Young",Table1[[#This Row],[Age]]&lt;=40,"Adult",Table1[[#This Row],[Age]]&gt;40,"Senior")</f>
        <v>Senior</v>
      </c>
      <c r="AK586" t="str" cm="1">
        <f t="array" ref="AK586">_xlfn.IFS(Table1[[#This Row],[MonthlyIncome]]&lt;5000,"Low",Table1[[#This Row],[MonthlyIncome]]&lt;10000,"Medium",Table1[[#This Row],[MonthlyIncome]]&gt;10000,"High")</f>
        <v>High</v>
      </c>
      <c r="AL586" t="str" cm="1">
        <f t="array" ref="AL586">_xlfn.IFS(Table1[[#This Row],[Attrition]]="Yes","Resigned",Table1[[#This Row],[Attrition]]="No","Active")</f>
        <v>Active</v>
      </c>
      <c r="AM586" t="str" cm="1">
        <f t="array" ref="AM586">_xlfn.IFS(Table1[[#This Row],[YearsAtCompany]]&lt;=1,"0-1 Year",Table1[[#This Row],[YearsAtCompany]]&lt;=2,"1-2 Years",Table1[[#This Row],[YearsAtCompany]]&lt;=3,"2-3 Years",Table1[[#This Row],[YearsAtCompany]]&lt;=4,"3-4 Years",Table1[[#This Row],[YearsAtCompany]]&lt;=5,"4-5 Years",Table1[[#This Row],[YearsAtCompany]]&gt;5,"&gt;5 Years")</f>
        <v>&gt;5 Years</v>
      </c>
    </row>
    <row r="587" spans="1:39" hidden="1" x14ac:dyDescent="0.45">
      <c r="A587">
        <v>23</v>
      </c>
      <c r="B587" t="s">
        <v>35</v>
      </c>
      <c r="C587" t="s">
        <v>64</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_xlfn.IFS(Table1[[#This Row],[Age]]&lt;30,"Young",Table1[[#This Row],[Age]]&lt;=40,"Adult",Table1[[#This Row],[Age]]&gt;40,"Senior")</f>
        <v>Young</v>
      </c>
      <c r="AK587" t="str" cm="1">
        <f t="array" ref="AK587">_xlfn.IFS(Table1[[#This Row],[MonthlyIncome]]&lt;5000,"Low",Table1[[#This Row],[MonthlyIncome]]&lt;10000,"Medium",Table1[[#This Row],[MonthlyIncome]]&gt;10000,"High")</f>
        <v>Low</v>
      </c>
      <c r="AL587" t="str" cm="1">
        <f t="array" ref="AL587">_xlfn.IFS(Table1[[#This Row],[Attrition]]="Yes","Resigned",Table1[[#This Row],[Attrition]]="No","Active")</f>
        <v>Resigned</v>
      </c>
      <c r="AM587" t="str" cm="1">
        <f t="array" ref="AM587">_xlfn.IFS(Table1[[#This Row],[YearsAtCompany]]&lt;=1,"0-1 Year",Table1[[#This Row],[YearsAtCompany]]&lt;=2,"1-2 Years",Table1[[#This Row],[YearsAtCompany]]&lt;=3,"2-3 Years",Table1[[#This Row],[YearsAtCompany]]&lt;=4,"3-4 Years",Table1[[#This Row],[YearsAtCompany]]&lt;=5,"4-5 Years",Table1[[#This Row],[YearsAtCompany]]&gt;5,"&gt;5 Years")</f>
        <v>0-1 Year</v>
      </c>
    </row>
    <row r="588" spans="1:39" hidden="1" x14ac:dyDescent="0.45">
      <c r="A588">
        <v>24</v>
      </c>
      <c r="B588" t="s">
        <v>43</v>
      </c>
      <c r="C588" t="s">
        <v>62</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_xlfn.IFS(Table1[[#This Row],[Age]]&lt;30,"Young",Table1[[#This Row],[Age]]&lt;=40,"Adult",Table1[[#This Row],[Age]]&gt;40,"Senior")</f>
        <v>Young</v>
      </c>
      <c r="AK588" t="str" cm="1">
        <f t="array" ref="AK588">_xlfn.IFS(Table1[[#This Row],[MonthlyIncome]]&lt;5000,"Low",Table1[[#This Row],[MonthlyIncome]]&lt;10000,"Medium",Table1[[#This Row],[MonthlyIncome]]&gt;10000,"High")</f>
        <v>Low</v>
      </c>
      <c r="AL588" t="str" cm="1">
        <f t="array" ref="AL588">_xlfn.IFS(Table1[[#This Row],[Attrition]]="Yes","Resigned",Table1[[#This Row],[Attrition]]="No","Active")</f>
        <v>Active</v>
      </c>
      <c r="AM588" t="str" cm="1">
        <f t="array" ref="AM588">_xlfn.IFS(Table1[[#This Row],[YearsAtCompany]]&lt;=1,"0-1 Year",Table1[[#This Row],[YearsAtCompany]]&lt;=2,"1-2 Years",Table1[[#This Row],[YearsAtCompany]]&lt;=3,"2-3 Years",Table1[[#This Row],[YearsAtCompany]]&lt;=4,"3-4 Years",Table1[[#This Row],[YearsAtCompany]]&lt;=5,"4-5 Years",Table1[[#This Row],[YearsAtCompany]]&gt;5,"&gt;5 Years")</f>
        <v>0-1 Year</v>
      </c>
    </row>
    <row r="589" spans="1:39" hidden="1" x14ac:dyDescent="0.45">
      <c r="A589">
        <v>52</v>
      </c>
      <c r="B589" t="s">
        <v>43</v>
      </c>
      <c r="C589" t="s">
        <v>64</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_xlfn.IFS(Table1[[#This Row],[Age]]&lt;30,"Young",Table1[[#This Row],[Age]]&lt;=40,"Adult",Table1[[#This Row],[Age]]&gt;40,"Senior")</f>
        <v>Senior</v>
      </c>
      <c r="AK589" t="str" cm="1">
        <f t="array" ref="AK589">_xlfn.IFS(Table1[[#This Row],[MonthlyIncome]]&lt;5000,"Low",Table1[[#This Row],[MonthlyIncome]]&lt;10000,"Medium",Table1[[#This Row],[MonthlyIncome]]&gt;10000,"High")</f>
        <v>Low</v>
      </c>
      <c r="AL589" t="str" cm="1">
        <f t="array" ref="AL589">_xlfn.IFS(Table1[[#This Row],[Attrition]]="Yes","Resigned",Table1[[#This Row],[Attrition]]="No","Active")</f>
        <v>Active</v>
      </c>
      <c r="AM589" t="str" cm="1">
        <f t="array" ref="AM589">_xlfn.IFS(Table1[[#This Row],[YearsAtCompany]]&lt;=1,"0-1 Year",Table1[[#This Row],[YearsAtCompany]]&lt;=2,"1-2 Years",Table1[[#This Row],[YearsAtCompany]]&lt;=3,"2-3 Years",Table1[[#This Row],[YearsAtCompany]]&lt;=4,"3-4 Years",Table1[[#This Row],[YearsAtCompany]]&lt;=5,"4-5 Years",Table1[[#This Row],[YearsAtCompany]]&gt;5,"&gt;5 Years")</f>
        <v>4-5 Years</v>
      </c>
    </row>
    <row r="590" spans="1:39" hidden="1" x14ac:dyDescent="0.45">
      <c r="A590">
        <v>50</v>
      </c>
      <c r="B590" t="s">
        <v>43</v>
      </c>
      <c r="C590" t="s">
        <v>64</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_xlfn.IFS(Table1[[#This Row],[Age]]&lt;30,"Young",Table1[[#This Row],[Age]]&lt;=40,"Adult",Table1[[#This Row],[Age]]&gt;40,"Senior")</f>
        <v>Senior</v>
      </c>
      <c r="AK590" t="str" cm="1">
        <f t="array" ref="AK590">_xlfn.IFS(Table1[[#This Row],[MonthlyIncome]]&lt;5000,"Low",Table1[[#This Row],[MonthlyIncome]]&lt;10000,"Medium",Table1[[#This Row],[MonthlyIncome]]&gt;10000,"High")</f>
        <v>High</v>
      </c>
      <c r="AL590" t="str" cm="1">
        <f t="array" ref="AL590">_xlfn.IFS(Table1[[#This Row],[Attrition]]="Yes","Resigned",Table1[[#This Row],[Attrition]]="No","Active")</f>
        <v>Active</v>
      </c>
      <c r="AM590" t="str" cm="1">
        <f t="array" ref="AM590">_xlfn.IFS(Table1[[#This Row],[YearsAtCompany]]&lt;=1,"0-1 Year",Table1[[#This Row],[YearsAtCompany]]&lt;=2,"1-2 Years",Table1[[#This Row],[YearsAtCompany]]&lt;=3,"2-3 Years",Table1[[#This Row],[YearsAtCompany]]&lt;=4,"3-4 Years",Table1[[#This Row],[YearsAtCompany]]&lt;=5,"4-5 Years",Table1[[#This Row],[YearsAtCompany]]&gt;5,"&gt;5 Years")</f>
        <v>3-4 Years</v>
      </c>
    </row>
    <row r="591" spans="1:39" hidden="1" x14ac:dyDescent="0.45">
      <c r="A591">
        <v>29</v>
      </c>
      <c r="B591" t="s">
        <v>35</v>
      </c>
      <c r="C591" t="s">
        <v>64</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_xlfn.IFS(Table1[[#This Row],[Age]]&lt;30,"Young",Table1[[#This Row],[Age]]&lt;=40,"Adult",Table1[[#This Row],[Age]]&gt;40,"Senior")</f>
        <v>Young</v>
      </c>
      <c r="AK591" t="str" cm="1">
        <f t="array" ref="AK591">_xlfn.IFS(Table1[[#This Row],[MonthlyIncome]]&lt;5000,"Low",Table1[[#This Row],[MonthlyIncome]]&lt;10000,"Medium",Table1[[#This Row],[MonthlyIncome]]&gt;10000,"High")</f>
        <v>Low</v>
      </c>
      <c r="AL591" t="str" cm="1">
        <f t="array" ref="AL591">_xlfn.IFS(Table1[[#This Row],[Attrition]]="Yes","Resigned",Table1[[#This Row],[Attrition]]="No","Active")</f>
        <v>Resigned</v>
      </c>
      <c r="AM591" t="str" cm="1">
        <f t="array" ref="AM591">_xlfn.IFS(Table1[[#This Row],[YearsAtCompany]]&lt;=1,"0-1 Year",Table1[[#This Row],[YearsAtCompany]]&lt;=2,"1-2 Years",Table1[[#This Row],[YearsAtCompany]]&lt;=3,"2-3 Years",Table1[[#This Row],[YearsAtCompany]]&lt;=4,"3-4 Years",Table1[[#This Row],[YearsAtCompany]]&lt;=5,"4-5 Years",Table1[[#This Row],[YearsAtCompany]]&gt;5,"&gt;5 Years")</f>
        <v>0-1 Year</v>
      </c>
    </row>
    <row r="592" spans="1:39" hidden="1" x14ac:dyDescent="0.45">
      <c r="A592">
        <v>33</v>
      </c>
      <c r="B592" t="s">
        <v>43</v>
      </c>
      <c r="C592" t="s">
        <v>64</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_xlfn.IFS(Table1[[#This Row],[Age]]&lt;30,"Young",Table1[[#This Row],[Age]]&lt;=40,"Adult",Table1[[#This Row],[Age]]&gt;40,"Senior")</f>
        <v>Adult</v>
      </c>
      <c r="AK592" t="str" cm="1">
        <f t="array" ref="AK592">_xlfn.IFS(Table1[[#This Row],[MonthlyIncome]]&lt;5000,"Low",Table1[[#This Row],[MonthlyIncome]]&lt;10000,"Medium",Table1[[#This Row],[MonthlyIncome]]&gt;10000,"High")</f>
        <v>High</v>
      </c>
      <c r="AL592" t="str" cm="1">
        <f t="array" ref="AL592">_xlfn.IFS(Table1[[#This Row],[Attrition]]="Yes","Resigned",Table1[[#This Row],[Attrition]]="No","Active")</f>
        <v>Active</v>
      </c>
      <c r="AM592" t="str" cm="1">
        <f t="array" ref="AM592">_xlfn.IFS(Table1[[#This Row],[YearsAtCompany]]&lt;=1,"0-1 Year",Table1[[#This Row],[YearsAtCompany]]&lt;=2,"1-2 Years",Table1[[#This Row],[YearsAtCompany]]&lt;=3,"2-3 Years",Table1[[#This Row],[YearsAtCompany]]&lt;=4,"3-4 Years",Table1[[#This Row],[YearsAtCompany]]&lt;=5,"4-5 Years",Table1[[#This Row],[YearsAtCompany]]&gt;5,"&gt;5 Years")</f>
        <v>&gt;5 Years</v>
      </c>
    </row>
    <row r="593" spans="1:39" x14ac:dyDescent="0.45">
      <c r="A593">
        <v>33</v>
      </c>
      <c r="B593" t="s">
        <v>35</v>
      </c>
      <c r="C593" t="s">
        <v>64</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_xlfn.IFS(Table1[[#This Row],[Age]]&lt;30,"Young",Table1[[#This Row],[Age]]&lt;=40,"Adult",Table1[[#This Row],[Age]]&gt;40,"Senior")</f>
        <v>Adult</v>
      </c>
      <c r="AK593" t="str" cm="1">
        <f t="array" ref="AK593">_xlfn.IFS(Table1[[#This Row],[MonthlyIncome]]&lt;5000,"Low",Table1[[#This Row],[MonthlyIncome]]&lt;10000,"Medium",Table1[[#This Row],[MonthlyIncome]]&gt;10000,"High")</f>
        <v>Medium</v>
      </c>
      <c r="AL593" t="str" cm="1">
        <f t="array" ref="AL593">_xlfn.IFS(Table1[[#This Row],[Attrition]]="Yes","Resigned",Table1[[#This Row],[Attrition]]="No","Active")</f>
        <v>Resigned</v>
      </c>
      <c r="AM593" t="str" cm="1">
        <f t="array" ref="AM593">_xlfn.IFS(Table1[[#This Row],[YearsAtCompany]]&lt;=1,"0-1 Year",Table1[[#This Row],[YearsAtCompany]]&lt;=2,"1-2 Years",Table1[[#This Row],[YearsAtCompany]]&lt;=3,"2-3 Years",Table1[[#This Row],[YearsAtCompany]]&lt;=4,"3-4 Years",Table1[[#This Row],[YearsAtCompany]]&lt;=5,"4-5 Years",Table1[[#This Row],[YearsAtCompany]]&gt;5,"&gt;5 Years")</f>
        <v>2-3 Years</v>
      </c>
    </row>
    <row r="594" spans="1:39" hidden="1" x14ac:dyDescent="0.45">
      <c r="A594">
        <v>47</v>
      </c>
      <c r="B594" t="s">
        <v>43</v>
      </c>
      <c r="C594" t="s">
        <v>64</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_xlfn.IFS(Table1[[#This Row],[Age]]&lt;30,"Young",Table1[[#This Row],[Age]]&lt;=40,"Adult",Table1[[#This Row],[Age]]&gt;40,"Senior")</f>
        <v>Senior</v>
      </c>
      <c r="AK594" t="str" cm="1">
        <f t="array" ref="AK594">_xlfn.IFS(Table1[[#This Row],[MonthlyIncome]]&lt;5000,"Low",Table1[[#This Row],[MonthlyIncome]]&lt;10000,"Medium",Table1[[#This Row],[MonthlyIncome]]&gt;10000,"High")</f>
        <v>High</v>
      </c>
      <c r="AL594" t="str" cm="1">
        <f t="array" ref="AL594">_xlfn.IFS(Table1[[#This Row],[Attrition]]="Yes","Resigned",Table1[[#This Row],[Attrition]]="No","Active")</f>
        <v>Active</v>
      </c>
      <c r="AM594" t="str" cm="1">
        <f t="array" ref="AM594">_xlfn.IFS(Table1[[#This Row],[YearsAtCompany]]&lt;=1,"0-1 Year",Table1[[#This Row],[YearsAtCompany]]&lt;=2,"1-2 Years",Table1[[#This Row],[YearsAtCompany]]&lt;=3,"2-3 Years",Table1[[#This Row],[YearsAtCompany]]&lt;=4,"3-4 Years",Table1[[#This Row],[YearsAtCompany]]&lt;=5,"4-5 Years",Table1[[#This Row],[YearsAtCompany]]&gt;5,"&gt;5 Years")</f>
        <v>&gt;5 Years</v>
      </c>
    </row>
    <row r="595" spans="1:39" hidden="1" x14ac:dyDescent="0.45">
      <c r="A595">
        <v>36</v>
      </c>
      <c r="B595" t="s">
        <v>43</v>
      </c>
      <c r="C595" t="s">
        <v>64</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_xlfn.IFS(Table1[[#This Row],[Age]]&lt;30,"Young",Table1[[#This Row],[Age]]&lt;=40,"Adult",Table1[[#This Row],[Age]]&gt;40,"Senior")</f>
        <v>Adult</v>
      </c>
      <c r="AK595" t="str" cm="1">
        <f t="array" ref="AK595">_xlfn.IFS(Table1[[#This Row],[MonthlyIncome]]&lt;5000,"Low",Table1[[#This Row],[MonthlyIncome]]&lt;10000,"Medium",Table1[[#This Row],[MonthlyIncome]]&gt;10000,"High")</f>
        <v>Medium</v>
      </c>
      <c r="AL595" t="str" cm="1">
        <f t="array" ref="AL595">_xlfn.IFS(Table1[[#This Row],[Attrition]]="Yes","Resigned",Table1[[#This Row],[Attrition]]="No","Active")</f>
        <v>Active</v>
      </c>
      <c r="AM595" t="str" cm="1">
        <f t="array" ref="AM595">_xlfn.IFS(Table1[[#This Row],[YearsAtCompany]]&lt;=1,"0-1 Year",Table1[[#This Row],[YearsAtCompany]]&lt;=2,"1-2 Years",Table1[[#This Row],[YearsAtCompany]]&lt;=3,"2-3 Years",Table1[[#This Row],[YearsAtCompany]]&lt;=4,"3-4 Years",Table1[[#This Row],[YearsAtCompany]]&lt;=5,"4-5 Years",Table1[[#This Row],[YearsAtCompany]]&gt;5,"&gt;5 Years")</f>
        <v>&gt;5 Years</v>
      </c>
    </row>
    <row r="596" spans="1:39" hidden="1" x14ac:dyDescent="0.45">
      <c r="A596">
        <v>29</v>
      </c>
      <c r="B596" t="s">
        <v>43</v>
      </c>
      <c r="C596" t="s">
        <v>64</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_xlfn.IFS(Table1[[#This Row],[Age]]&lt;30,"Young",Table1[[#This Row],[Age]]&lt;=40,"Adult",Table1[[#This Row],[Age]]&gt;40,"Senior")</f>
        <v>Young</v>
      </c>
      <c r="AK596" t="str" cm="1">
        <f t="array" ref="AK596">_xlfn.IFS(Table1[[#This Row],[MonthlyIncome]]&lt;5000,"Low",Table1[[#This Row],[MonthlyIncome]]&lt;10000,"Medium",Table1[[#This Row],[MonthlyIncome]]&gt;10000,"High")</f>
        <v>Low</v>
      </c>
      <c r="AL596" t="str" cm="1">
        <f t="array" ref="AL596">_xlfn.IFS(Table1[[#This Row],[Attrition]]="Yes","Resigned",Table1[[#This Row],[Attrition]]="No","Active")</f>
        <v>Active</v>
      </c>
      <c r="AM596" t="str" cm="1">
        <f t="array" ref="AM596">_xlfn.IFS(Table1[[#This Row],[YearsAtCompany]]&lt;=1,"0-1 Year",Table1[[#This Row],[YearsAtCompany]]&lt;=2,"1-2 Years",Table1[[#This Row],[YearsAtCompany]]&lt;=3,"2-3 Years",Table1[[#This Row],[YearsAtCompany]]&lt;=4,"3-4 Years",Table1[[#This Row],[YearsAtCompany]]&lt;=5,"4-5 Years",Table1[[#This Row],[YearsAtCompany]]&gt;5,"&gt;5 Years")</f>
        <v>&gt;5 Years</v>
      </c>
    </row>
    <row r="597" spans="1:39" hidden="1" x14ac:dyDescent="0.45">
      <c r="A597">
        <v>58</v>
      </c>
      <c r="B597" t="s">
        <v>35</v>
      </c>
      <c r="C597" t="s">
        <v>64</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_xlfn.IFS(Table1[[#This Row],[Age]]&lt;30,"Young",Table1[[#This Row],[Age]]&lt;=40,"Adult",Table1[[#This Row],[Age]]&gt;40,"Senior")</f>
        <v>Senior</v>
      </c>
      <c r="AK597" t="str" cm="1">
        <f t="array" ref="AK597">_xlfn.IFS(Table1[[#This Row],[MonthlyIncome]]&lt;5000,"Low",Table1[[#This Row],[MonthlyIncome]]&lt;10000,"Medium",Table1[[#This Row],[MonthlyIncome]]&gt;10000,"High")</f>
        <v>High</v>
      </c>
      <c r="AL597" t="str" cm="1">
        <f t="array" ref="AL597">_xlfn.IFS(Table1[[#This Row],[Attrition]]="Yes","Resigned",Table1[[#This Row],[Attrition]]="No","Active")</f>
        <v>Resigned</v>
      </c>
      <c r="AM597" t="str" cm="1">
        <f t="array" ref="AM597">_xlfn.IFS(Table1[[#This Row],[YearsAtCompany]]&lt;=1,"0-1 Year",Table1[[#This Row],[YearsAtCompany]]&lt;=2,"1-2 Years",Table1[[#This Row],[YearsAtCompany]]&lt;=3,"2-3 Years",Table1[[#This Row],[YearsAtCompany]]&lt;=4,"3-4 Years",Table1[[#This Row],[YearsAtCompany]]&lt;=5,"4-5 Years",Table1[[#This Row],[YearsAtCompany]]&gt;5,"&gt;5 Years")</f>
        <v>&gt;5 Years</v>
      </c>
    </row>
    <row r="598" spans="1:39" hidden="1" x14ac:dyDescent="0.45">
      <c r="A598">
        <v>35</v>
      </c>
      <c r="B598" t="s">
        <v>43</v>
      </c>
      <c r="C598" t="s">
        <v>64</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_xlfn.IFS(Table1[[#This Row],[Age]]&lt;30,"Young",Table1[[#This Row],[Age]]&lt;=40,"Adult",Table1[[#This Row],[Age]]&gt;40,"Senior")</f>
        <v>Adult</v>
      </c>
      <c r="AK598" t="str" cm="1">
        <f t="array" ref="AK598">_xlfn.IFS(Table1[[#This Row],[MonthlyIncome]]&lt;5000,"Low",Table1[[#This Row],[MonthlyIncome]]&lt;10000,"Medium",Table1[[#This Row],[MonthlyIncome]]&gt;10000,"High")</f>
        <v>Low</v>
      </c>
      <c r="AL598" t="str" cm="1">
        <f t="array" ref="AL598">_xlfn.IFS(Table1[[#This Row],[Attrition]]="Yes","Resigned",Table1[[#This Row],[Attrition]]="No","Active")</f>
        <v>Active</v>
      </c>
      <c r="AM598" t="str" cm="1">
        <f t="array" ref="AM598">_xlfn.IFS(Table1[[#This Row],[YearsAtCompany]]&lt;=1,"0-1 Year",Table1[[#This Row],[YearsAtCompany]]&lt;=2,"1-2 Years",Table1[[#This Row],[YearsAtCompany]]&lt;=3,"2-3 Years",Table1[[#This Row],[YearsAtCompany]]&lt;=4,"3-4 Years",Table1[[#This Row],[YearsAtCompany]]&lt;=5,"4-5 Years",Table1[[#This Row],[YearsAtCompany]]&gt;5,"&gt;5 Years")</f>
        <v>1-2 Years</v>
      </c>
    </row>
    <row r="599" spans="1:39" hidden="1" x14ac:dyDescent="0.45">
      <c r="A599">
        <v>42</v>
      </c>
      <c r="B599" t="s">
        <v>43</v>
      </c>
      <c r="C599" t="s">
        <v>64</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_xlfn.IFS(Table1[[#This Row],[Age]]&lt;30,"Young",Table1[[#This Row],[Age]]&lt;=40,"Adult",Table1[[#This Row],[Age]]&gt;40,"Senior")</f>
        <v>Senior</v>
      </c>
      <c r="AK599" t="str" cm="1">
        <f t="array" ref="AK599">_xlfn.IFS(Table1[[#This Row],[MonthlyIncome]]&lt;5000,"Low",Table1[[#This Row],[MonthlyIncome]]&lt;10000,"Medium",Table1[[#This Row],[MonthlyIncome]]&gt;10000,"High")</f>
        <v>Medium</v>
      </c>
      <c r="AL599" t="str" cm="1">
        <f t="array" ref="AL599">_xlfn.IFS(Table1[[#This Row],[Attrition]]="Yes","Resigned",Table1[[#This Row],[Attrition]]="No","Active")</f>
        <v>Active</v>
      </c>
      <c r="AM599" t="str" cm="1">
        <f t="array" ref="AM599">_xlfn.IFS(Table1[[#This Row],[YearsAtCompany]]&lt;=1,"0-1 Year",Table1[[#This Row],[YearsAtCompany]]&lt;=2,"1-2 Years",Table1[[#This Row],[YearsAtCompany]]&lt;=3,"2-3 Years",Table1[[#This Row],[YearsAtCompany]]&lt;=4,"3-4 Years",Table1[[#This Row],[YearsAtCompany]]&lt;=5,"4-5 Years",Table1[[#This Row],[YearsAtCompany]]&gt;5,"&gt;5 Years")</f>
        <v>3-4 Years</v>
      </c>
    </row>
    <row r="600" spans="1:39" hidden="1" x14ac:dyDescent="0.45">
      <c r="A600">
        <v>28</v>
      </c>
      <c r="B600" t="s">
        <v>35</v>
      </c>
      <c r="C600" t="s">
        <v>64</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_xlfn.IFS(Table1[[#This Row],[Age]]&lt;30,"Young",Table1[[#This Row],[Age]]&lt;=40,"Adult",Table1[[#This Row],[Age]]&gt;40,"Senior")</f>
        <v>Young</v>
      </c>
      <c r="AK600" t="str" cm="1">
        <f t="array" ref="AK600">_xlfn.IFS(Table1[[#This Row],[MonthlyIncome]]&lt;5000,"Low",Table1[[#This Row],[MonthlyIncome]]&lt;10000,"Medium",Table1[[#This Row],[MonthlyIncome]]&gt;10000,"High")</f>
        <v>Low</v>
      </c>
      <c r="AL600" t="str" cm="1">
        <f t="array" ref="AL600">_xlfn.IFS(Table1[[#This Row],[Attrition]]="Yes","Resigned",Table1[[#This Row],[Attrition]]="No","Active")</f>
        <v>Resigned</v>
      </c>
      <c r="AM600" t="str" cm="1">
        <f t="array" ref="AM600">_xlfn.IFS(Table1[[#This Row],[YearsAtCompany]]&lt;=1,"0-1 Year",Table1[[#This Row],[YearsAtCompany]]&lt;=2,"1-2 Years",Table1[[#This Row],[YearsAtCompany]]&lt;=3,"2-3 Years",Table1[[#This Row],[YearsAtCompany]]&lt;=4,"3-4 Years",Table1[[#This Row],[YearsAtCompany]]&lt;=5,"4-5 Years",Table1[[#This Row],[YearsAtCompany]]&gt;5,"&gt;5 Years")</f>
        <v>1-2 Years</v>
      </c>
    </row>
    <row r="601" spans="1:39" hidden="1" x14ac:dyDescent="0.45">
      <c r="A601">
        <v>36</v>
      </c>
      <c r="B601" t="s">
        <v>43</v>
      </c>
      <c r="C601" t="s">
        <v>64</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_xlfn.IFS(Table1[[#This Row],[Age]]&lt;30,"Young",Table1[[#This Row],[Age]]&lt;=40,"Adult",Table1[[#This Row],[Age]]&gt;40,"Senior")</f>
        <v>Adult</v>
      </c>
      <c r="AK601" t="str" cm="1">
        <f t="array" ref="AK601">_xlfn.IFS(Table1[[#This Row],[MonthlyIncome]]&lt;5000,"Low",Table1[[#This Row],[MonthlyIncome]]&lt;10000,"Medium",Table1[[#This Row],[MonthlyIncome]]&gt;10000,"High")</f>
        <v>Low</v>
      </c>
      <c r="AL601" t="str" cm="1">
        <f t="array" ref="AL601">_xlfn.IFS(Table1[[#This Row],[Attrition]]="Yes","Resigned",Table1[[#This Row],[Attrition]]="No","Active")</f>
        <v>Active</v>
      </c>
      <c r="AM601" t="str" cm="1">
        <f t="array" ref="AM601">_xlfn.IFS(Table1[[#This Row],[YearsAtCompany]]&lt;=1,"0-1 Year",Table1[[#This Row],[YearsAtCompany]]&lt;=2,"1-2 Years",Table1[[#This Row],[YearsAtCompany]]&lt;=3,"2-3 Years",Table1[[#This Row],[YearsAtCompany]]&lt;=4,"3-4 Years",Table1[[#This Row],[YearsAtCompany]]&lt;=5,"4-5 Years",Table1[[#This Row],[YearsAtCompany]]&gt;5,"&gt;5 Years")</f>
        <v>4-5 Years</v>
      </c>
    </row>
    <row r="602" spans="1:39" hidden="1" x14ac:dyDescent="0.45">
      <c r="A602">
        <v>32</v>
      </c>
      <c r="B602" t="s">
        <v>43</v>
      </c>
      <c r="C602" t="s">
        <v>64</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_xlfn.IFS(Table1[[#This Row],[Age]]&lt;30,"Young",Table1[[#This Row],[Age]]&lt;=40,"Adult",Table1[[#This Row],[Age]]&gt;40,"Senior")</f>
        <v>Adult</v>
      </c>
      <c r="AK602" t="str" cm="1">
        <f t="array" ref="AK602">_xlfn.IFS(Table1[[#This Row],[MonthlyIncome]]&lt;5000,"Low",Table1[[#This Row],[MonthlyIncome]]&lt;10000,"Medium",Table1[[#This Row],[MonthlyIncome]]&gt;10000,"High")</f>
        <v>Medium</v>
      </c>
      <c r="AL602" t="str" cm="1">
        <f t="array" ref="AL602">_xlfn.IFS(Table1[[#This Row],[Attrition]]="Yes","Resigned",Table1[[#This Row],[Attrition]]="No","Active")</f>
        <v>Active</v>
      </c>
      <c r="AM602" t="str" cm="1">
        <f t="array" ref="AM602">_xlfn.IFS(Table1[[#This Row],[YearsAtCompany]]&lt;=1,"0-1 Year",Table1[[#This Row],[YearsAtCompany]]&lt;=2,"1-2 Years",Table1[[#This Row],[YearsAtCompany]]&lt;=3,"2-3 Years",Table1[[#This Row],[YearsAtCompany]]&lt;=4,"3-4 Years",Table1[[#This Row],[YearsAtCompany]]&lt;=5,"4-5 Years",Table1[[#This Row],[YearsAtCompany]]&gt;5,"&gt;5 Years")</f>
        <v>&gt;5 Years</v>
      </c>
    </row>
    <row r="603" spans="1:39" hidden="1" x14ac:dyDescent="0.45">
      <c r="A603">
        <v>40</v>
      </c>
      <c r="B603" t="s">
        <v>43</v>
      </c>
      <c r="C603" t="s">
        <v>63</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_xlfn.IFS(Table1[[#This Row],[Age]]&lt;30,"Young",Table1[[#This Row],[Age]]&lt;=40,"Adult",Table1[[#This Row],[Age]]&gt;40,"Senior")</f>
        <v>Adult</v>
      </c>
      <c r="AK603" t="str" cm="1">
        <f t="array" ref="AK603">_xlfn.IFS(Table1[[#This Row],[MonthlyIncome]]&lt;5000,"Low",Table1[[#This Row],[MonthlyIncome]]&lt;10000,"Medium",Table1[[#This Row],[MonthlyIncome]]&gt;10000,"High")</f>
        <v>Medium</v>
      </c>
      <c r="AL603" t="str" cm="1">
        <f t="array" ref="AL603">_xlfn.IFS(Table1[[#This Row],[Attrition]]="Yes","Resigned",Table1[[#This Row],[Attrition]]="No","Active")</f>
        <v>Active</v>
      </c>
      <c r="AM603" t="str" cm="1">
        <f t="array" ref="AM603">_xlfn.IFS(Table1[[#This Row],[YearsAtCompany]]&lt;=1,"0-1 Year",Table1[[#This Row],[YearsAtCompany]]&lt;=2,"1-2 Years",Table1[[#This Row],[YearsAtCompany]]&lt;=3,"2-3 Years",Table1[[#This Row],[YearsAtCompany]]&lt;=4,"3-4 Years",Table1[[#This Row],[YearsAtCompany]]&lt;=5,"4-5 Years",Table1[[#This Row],[YearsAtCompany]]&gt;5,"&gt;5 Years")</f>
        <v>0-1 Year</v>
      </c>
    </row>
    <row r="604" spans="1:39" hidden="1" x14ac:dyDescent="0.45">
      <c r="A604">
        <v>30</v>
      </c>
      <c r="B604" t="s">
        <v>43</v>
      </c>
      <c r="C604" t="s">
        <v>64</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_xlfn.IFS(Table1[[#This Row],[Age]]&lt;30,"Young",Table1[[#This Row],[Age]]&lt;=40,"Adult",Table1[[#This Row],[Age]]&gt;40,"Senior")</f>
        <v>Adult</v>
      </c>
      <c r="AK604" t="str" cm="1">
        <f t="array" ref="AK604">_xlfn.IFS(Table1[[#This Row],[MonthlyIncome]]&lt;5000,"Low",Table1[[#This Row],[MonthlyIncome]]&lt;10000,"Medium",Table1[[#This Row],[MonthlyIncome]]&gt;10000,"High")</f>
        <v>Medium</v>
      </c>
      <c r="AL604" t="str" cm="1">
        <f t="array" ref="AL604">_xlfn.IFS(Table1[[#This Row],[Attrition]]="Yes","Resigned",Table1[[#This Row],[Attrition]]="No","Active")</f>
        <v>Active</v>
      </c>
      <c r="AM604" t="str" cm="1">
        <f t="array" ref="AM604">_xlfn.IFS(Table1[[#This Row],[YearsAtCompany]]&lt;=1,"0-1 Year",Table1[[#This Row],[YearsAtCompany]]&lt;=2,"1-2 Years",Table1[[#This Row],[YearsAtCompany]]&lt;=3,"2-3 Years",Table1[[#This Row],[YearsAtCompany]]&lt;=4,"3-4 Years",Table1[[#This Row],[YearsAtCompany]]&lt;=5,"4-5 Years",Table1[[#This Row],[YearsAtCompany]]&gt;5,"&gt;5 Years")</f>
        <v>0-1 Year</v>
      </c>
    </row>
    <row r="605" spans="1:39" hidden="1" x14ac:dyDescent="0.45">
      <c r="A605">
        <v>45</v>
      </c>
      <c r="B605" t="s">
        <v>43</v>
      </c>
      <c r="C605" t="s">
        <v>64</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_xlfn.IFS(Table1[[#This Row],[Age]]&lt;30,"Young",Table1[[#This Row],[Age]]&lt;=40,"Adult",Table1[[#This Row],[Age]]&gt;40,"Senior")</f>
        <v>Senior</v>
      </c>
      <c r="AK605" t="str" cm="1">
        <f t="array" ref="AK605">_xlfn.IFS(Table1[[#This Row],[MonthlyIncome]]&lt;5000,"Low",Table1[[#This Row],[MonthlyIncome]]&lt;10000,"Medium",Table1[[#This Row],[MonthlyIncome]]&gt;10000,"High")</f>
        <v>Low</v>
      </c>
      <c r="AL605" t="str" cm="1">
        <f t="array" ref="AL605">_xlfn.IFS(Table1[[#This Row],[Attrition]]="Yes","Resigned",Table1[[#This Row],[Attrition]]="No","Active")</f>
        <v>Active</v>
      </c>
      <c r="AM605" t="str" cm="1">
        <f t="array" ref="AM605">_xlfn.IFS(Table1[[#This Row],[YearsAtCompany]]&lt;=1,"0-1 Year",Table1[[#This Row],[YearsAtCompany]]&lt;=2,"1-2 Years",Table1[[#This Row],[YearsAtCompany]]&lt;=3,"2-3 Years",Table1[[#This Row],[YearsAtCompany]]&lt;=4,"3-4 Years",Table1[[#This Row],[YearsAtCompany]]&lt;=5,"4-5 Years",Table1[[#This Row],[YearsAtCompany]]&gt;5,"&gt;5 Years")</f>
        <v>0-1 Year</v>
      </c>
    </row>
    <row r="606" spans="1:39" hidden="1" x14ac:dyDescent="0.45">
      <c r="A606">
        <v>42</v>
      </c>
      <c r="B606" t="s">
        <v>43</v>
      </c>
      <c r="C606" t="s">
        <v>64</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_xlfn.IFS(Table1[[#This Row],[Age]]&lt;30,"Young",Table1[[#This Row],[Age]]&lt;=40,"Adult",Table1[[#This Row],[Age]]&gt;40,"Senior")</f>
        <v>Senior</v>
      </c>
      <c r="AK606" t="str" cm="1">
        <f t="array" ref="AK606">_xlfn.IFS(Table1[[#This Row],[MonthlyIncome]]&lt;5000,"Low",Table1[[#This Row],[MonthlyIncome]]&lt;10000,"Medium",Table1[[#This Row],[MonthlyIncome]]&gt;10000,"High")</f>
        <v>Low</v>
      </c>
      <c r="AL606" t="str" cm="1">
        <f t="array" ref="AL606">_xlfn.IFS(Table1[[#This Row],[Attrition]]="Yes","Resigned",Table1[[#This Row],[Attrition]]="No","Active")</f>
        <v>Active</v>
      </c>
      <c r="AM606" t="str" cm="1">
        <f t="array" ref="AM606">_xlfn.IFS(Table1[[#This Row],[YearsAtCompany]]&lt;=1,"0-1 Year",Table1[[#This Row],[YearsAtCompany]]&lt;=2,"1-2 Years",Table1[[#This Row],[YearsAtCompany]]&lt;=3,"2-3 Years",Table1[[#This Row],[YearsAtCompany]]&lt;=4,"3-4 Years",Table1[[#This Row],[YearsAtCompany]]&lt;=5,"4-5 Years",Table1[[#This Row],[YearsAtCompany]]&gt;5,"&gt;5 Years")</f>
        <v>&gt;5 Years</v>
      </c>
    </row>
    <row r="607" spans="1:39" hidden="1" x14ac:dyDescent="0.45">
      <c r="A607">
        <v>38</v>
      </c>
      <c r="B607" t="s">
        <v>43</v>
      </c>
      <c r="C607" t="s">
        <v>63</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_xlfn.IFS(Table1[[#This Row],[Age]]&lt;30,"Young",Table1[[#This Row],[Age]]&lt;=40,"Adult",Table1[[#This Row],[Age]]&gt;40,"Senior")</f>
        <v>Adult</v>
      </c>
      <c r="AK607" t="str" cm="1">
        <f t="array" ref="AK607">_xlfn.IFS(Table1[[#This Row],[MonthlyIncome]]&lt;5000,"Low",Table1[[#This Row],[MonthlyIncome]]&lt;10000,"Medium",Table1[[#This Row],[MonthlyIncome]]&gt;10000,"High")</f>
        <v>Medium</v>
      </c>
      <c r="AL607" t="str" cm="1">
        <f t="array" ref="AL607">_xlfn.IFS(Table1[[#This Row],[Attrition]]="Yes","Resigned",Table1[[#This Row],[Attrition]]="No","Active")</f>
        <v>Active</v>
      </c>
      <c r="AM607" t="str" cm="1">
        <f t="array" ref="AM607">_xlfn.IFS(Table1[[#This Row],[YearsAtCompany]]&lt;=1,"0-1 Year",Table1[[#This Row],[YearsAtCompany]]&lt;=2,"1-2 Years",Table1[[#This Row],[YearsAtCompany]]&lt;=3,"2-3 Years",Table1[[#This Row],[YearsAtCompany]]&lt;=4,"3-4 Years",Table1[[#This Row],[YearsAtCompany]]&lt;=5,"4-5 Years",Table1[[#This Row],[YearsAtCompany]]&gt;5,"&gt;5 Years")</f>
        <v>3-4 Years</v>
      </c>
    </row>
    <row r="608" spans="1:39" hidden="1" x14ac:dyDescent="0.45">
      <c r="A608">
        <v>34</v>
      </c>
      <c r="B608" t="s">
        <v>43</v>
      </c>
      <c r="C608" t="s">
        <v>63</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_xlfn.IFS(Table1[[#This Row],[Age]]&lt;30,"Young",Table1[[#This Row],[Age]]&lt;=40,"Adult",Table1[[#This Row],[Age]]&gt;40,"Senior")</f>
        <v>Adult</v>
      </c>
      <c r="AK608" t="str" cm="1">
        <f t="array" ref="AK608">_xlfn.IFS(Table1[[#This Row],[MonthlyIncome]]&lt;5000,"Low",Table1[[#This Row],[MonthlyIncome]]&lt;10000,"Medium",Table1[[#This Row],[MonthlyIncome]]&gt;10000,"High")</f>
        <v>Low</v>
      </c>
      <c r="AL608" t="str" cm="1">
        <f t="array" ref="AL608">_xlfn.IFS(Table1[[#This Row],[Attrition]]="Yes","Resigned",Table1[[#This Row],[Attrition]]="No","Active")</f>
        <v>Active</v>
      </c>
      <c r="AM608" t="str" cm="1">
        <f t="array" ref="AM608">_xlfn.IFS(Table1[[#This Row],[YearsAtCompany]]&lt;=1,"0-1 Year",Table1[[#This Row],[YearsAtCompany]]&lt;=2,"1-2 Years",Table1[[#This Row],[YearsAtCompany]]&lt;=3,"2-3 Years",Table1[[#This Row],[YearsAtCompany]]&lt;=4,"3-4 Years",Table1[[#This Row],[YearsAtCompany]]&lt;=5,"4-5 Years",Table1[[#This Row],[YearsAtCompany]]&gt;5,"&gt;5 Years")</f>
        <v>4-5 Years</v>
      </c>
    </row>
    <row r="609" spans="1:39" x14ac:dyDescent="0.45">
      <c r="A609">
        <v>49</v>
      </c>
      <c r="B609" t="s">
        <v>35</v>
      </c>
      <c r="C609" t="s">
        <v>64</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_xlfn.IFS(Table1[[#This Row],[Age]]&lt;30,"Young",Table1[[#This Row],[Age]]&lt;=40,"Adult",Table1[[#This Row],[Age]]&gt;40,"Senior")</f>
        <v>Senior</v>
      </c>
      <c r="AK609" t="str" cm="1">
        <f t="array" ref="AK609">_xlfn.IFS(Table1[[#This Row],[MonthlyIncome]]&lt;5000,"Low",Table1[[#This Row],[MonthlyIncome]]&lt;10000,"Medium",Table1[[#This Row],[MonthlyIncome]]&gt;10000,"High")</f>
        <v>Medium</v>
      </c>
      <c r="AL609" t="str" cm="1">
        <f t="array" ref="AL609">_xlfn.IFS(Table1[[#This Row],[Attrition]]="Yes","Resigned",Table1[[#This Row],[Attrition]]="No","Active")</f>
        <v>Resigned</v>
      </c>
      <c r="AM609" t="str" cm="1">
        <f t="array" ref="AM609">_xlfn.IFS(Table1[[#This Row],[YearsAtCompany]]&lt;=1,"0-1 Year",Table1[[#This Row],[YearsAtCompany]]&lt;=2,"1-2 Years",Table1[[#This Row],[YearsAtCompany]]&lt;=3,"2-3 Years",Table1[[#This Row],[YearsAtCompany]]&lt;=4,"3-4 Years",Table1[[#This Row],[YearsAtCompany]]&lt;=5,"4-5 Years",Table1[[#This Row],[YearsAtCompany]]&gt;5,"&gt;5 Years")</f>
        <v>&gt;5 Years</v>
      </c>
    </row>
    <row r="610" spans="1:39" x14ac:dyDescent="0.45">
      <c r="A610">
        <v>55</v>
      </c>
      <c r="B610" t="s">
        <v>35</v>
      </c>
      <c r="C610" t="s">
        <v>64</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_xlfn.IFS(Table1[[#This Row],[Age]]&lt;30,"Young",Table1[[#This Row],[Age]]&lt;=40,"Adult",Table1[[#This Row],[Age]]&gt;40,"Senior")</f>
        <v>Senior</v>
      </c>
      <c r="AK610" t="str" cm="1">
        <f t="array" ref="AK610">_xlfn.IFS(Table1[[#This Row],[MonthlyIncome]]&lt;5000,"Low",Table1[[#This Row],[MonthlyIncome]]&lt;10000,"Medium",Table1[[#This Row],[MonthlyIncome]]&gt;10000,"High")</f>
        <v>Medium</v>
      </c>
      <c r="AL610" t="str" cm="1">
        <f t="array" ref="AL610">_xlfn.IFS(Table1[[#This Row],[Attrition]]="Yes","Resigned",Table1[[#This Row],[Attrition]]="No","Active")</f>
        <v>Resigned</v>
      </c>
      <c r="AM610" t="str" cm="1">
        <f t="array" ref="AM610">_xlfn.IFS(Table1[[#This Row],[YearsAtCompany]]&lt;=1,"0-1 Year",Table1[[#This Row],[YearsAtCompany]]&lt;=2,"1-2 Years",Table1[[#This Row],[YearsAtCompany]]&lt;=3,"2-3 Years",Table1[[#This Row],[YearsAtCompany]]&lt;=4,"3-4 Years",Table1[[#This Row],[YearsAtCompany]]&lt;=5,"4-5 Years",Table1[[#This Row],[YearsAtCompany]]&gt;5,"&gt;5 Years")</f>
        <v>&gt;5 Years</v>
      </c>
    </row>
    <row r="611" spans="1:39" hidden="1" x14ac:dyDescent="0.45">
      <c r="A611">
        <v>43</v>
      </c>
      <c r="B611" t="s">
        <v>43</v>
      </c>
      <c r="C611" t="s">
        <v>64</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_xlfn.IFS(Table1[[#This Row],[Age]]&lt;30,"Young",Table1[[#This Row],[Age]]&lt;=40,"Adult",Table1[[#This Row],[Age]]&gt;40,"Senior")</f>
        <v>Senior</v>
      </c>
      <c r="AK611" t="str" cm="1">
        <f t="array" ref="AK611">_xlfn.IFS(Table1[[#This Row],[MonthlyIncome]]&lt;5000,"Low",Table1[[#This Row],[MonthlyIncome]]&lt;10000,"Medium",Table1[[#This Row],[MonthlyIncome]]&gt;10000,"High")</f>
        <v>High</v>
      </c>
      <c r="AL611" t="str" cm="1">
        <f t="array" ref="AL611">_xlfn.IFS(Table1[[#This Row],[Attrition]]="Yes","Resigned",Table1[[#This Row],[Attrition]]="No","Active")</f>
        <v>Active</v>
      </c>
      <c r="AM611" t="str" cm="1">
        <f t="array" ref="AM611">_xlfn.IFS(Table1[[#This Row],[YearsAtCompany]]&lt;=1,"0-1 Year",Table1[[#This Row],[YearsAtCompany]]&lt;=2,"1-2 Years",Table1[[#This Row],[YearsAtCompany]]&lt;=3,"2-3 Years",Table1[[#This Row],[YearsAtCompany]]&lt;=4,"3-4 Years",Table1[[#This Row],[YearsAtCompany]]&lt;=5,"4-5 Years",Table1[[#This Row],[YearsAtCompany]]&gt;5,"&gt;5 Years")</f>
        <v>3-4 Years</v>
      </c>
    </row>
    <row r="612" spans="1:39" hidden="1" x14ac:dyDescent="0.45">
      <c r="A612">
        <v>27</v>
      </c>
      <c r="B612" t="s">
        <v>43</v>
      </c>
      <c r="C612" t="s">
        <v>64</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_xlfn.IFS(Table1[[#This Row],[Age]]&lt;30,"Young",Table1[[#This Row],[Age]]&lt;=40,"Adult",Table1[[#This Row],[Age]]&gt;40,"Senior")</f>
        <v>Young</v>
      </c>
      <c r="AK612" t="str" cm="1">
        <f t="array" ref="AK612">_xlfn.IFS(Table1[[#This Row],[MonthlyIncome]]&lt;5000,"Low",Table1[[#This Row],[MonthlyIncome]]&lt;10000,"Medium",Table1[[#This Row],[MonthlyIncome]]&gt;10000,"High")</f>
        <v>High</v>
      </c>
      <c r="AL612" t="str" cm="1">
        <f t="array" ref="AL612">_xlfn.IFS(Table1[[#This Row],[Attrition]]="Yes","Resigned",Table1[[#This Row],[Attrition]]="No","Active")</f>
        <v>Active</v>
      </c>
      <c r="AM612" t="str" cm="1">
        <f t="array" ref="AM612">_xlfn.IFS(Table1[[#This Row],[YearsAtCompany]]&lt;=1,"0-1 Year",Table1[[#This Row],[YearsAtCompany]]&lt;=2,"1-2 Years",Table1[[#This Row],[YearsAtCompany]]&lt;=3,"2-3 Years",Table1[[#This Row],[YearsAtCompany]]&lt;=4,"3-4 Years",Table1[[#This Row],[YearsAtCompany]]&lt;=5,"4-5 Years",Table1[[#This Row],[YearsAtCompany]]&gt;5,"&gt;5 Years")</f>
        <v>&gt;5 Years</v>
      </c>
    </row>
    <row r="613" spans="1:39" hidden="1" x14ac:dyDescent="0.45">
      <c r="A613">
        <v>35</v>
      </c>
      <c r="B613" t="s">
        <v>43</v>
      </c>
      <c r="C613" t="s">
        <v>64</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_xlfn.IFS(Table1[[#This Row],[Age]]&lt;30,"Young",Table1[[#This Row],[Age]]&lt;=40,"Adult",Table1[[#This Row],[Age]]&gt;40,"Senior")</f>
        <v>Adult</v>
      </c>
      <c r="AK613" t="str" cm="1">
        <f t="array" ref="AK613">_xlfn.IFS(Table1[[#This Row],[MonthlyIncome]]&lt;5000,"Low",Table1[[#This Row],[MonthlyIncome]]&lt;10000,"Medium",Table1[[#This Row],[MonthlyIncome]]&gt;10000,"High")</f>
        <v>High</v>
      </c>
      <c r="AL613" t="str" cm="1">
        <f t="array" ref="AL613">_xlfn.IFS(Table1[[#This Row],[Attrition]]="Yes","Resigned",Table1[[#This Row],[Attrition]]="No","Active")</f>
        <v>Active</v>
      </c>
      <c r="AM613" t="str" cm="1">
        <f t="array" ref="AM613">_xlfn.IFS(Table1[[#This Row],[YearsAtCompany]]&lt;=1,"0-1 Year",Table1[[#This Row],[YearsAtCompany]]&lt;=2,"1-2 Years",Table1[[#This Row],[YearsAtCompany]]&lt;=3,"2-3 Years",Table1[[#This Row],[YearsAtCompany]]&lt;=4,"3-4 Years",Table1[[#This Row],[YearsAtCompany]]&lt;=5,"4-5 Years",Table1[[#This Row],[YearsAtCompany]]&gt;5,"&gt;5 Years")</f>
        <v>&gt;5 Years</v>
      </c>
    </row>
    <row r="614" spans="1:39" x14ac:dyDescent="0.45">
      <c r="A614">
        <v>28</v>
      </c>
      <c r="B614" t="s">
        <v>43</v>
      </c>
      <c r="C614" t="s">
        <v>64</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_xlfn.IFS(Table1[[#This Row],[Age]]&lt;30,"Young",Table1[[#This Row],[Age]]&lt;=40,"Adult",Table1[[#This Row],[Age]]&gt;40,"Senior")</f>
        <v>Young</v>
      </c>
      <c r="AK614" t="str" cm="1">
        <f t="array" ref="AK614">_xlfn.IFS(Table1[[#This Row],[MonthlyIncome]]&lt;5000,"Low",Table1[[#This Row],[MonthlyIncome]]&lt;10000,"Medium",Table1[[#This Row],[MonthlyIncome]]&gt;10000,"High")</f>
        <v>Low</v>
      </c>
      <c r="AL614" t="str" cm="1">
        <f t="array" ref="AL614">_xlfn.IFS(Table1[[#This Row],[Attrition]]="Yes","Resigned",Table1[[#This Row],[Attrition]]="No","Active")</f>
        <v>Active</v>
      </c>
      <c r="AM614" t="str" cm="1">
        <f t="array" ref="AM614">_xlfn.IFS(Table1[[#This Row],[YearsAtCompany]]&lt;=1,"0-1 Year",Table1[[#This Row],[YearsAtCompany]]&lt;=2,"1-2 Years",Table1[[#This Row],[YearsAtCompany]]&lt;=3,"2-3 Years",Table1[[#This Row],[YearsAtCompany]]&lt;=4,"3-4 Years",Table1[[#This Row],[YearsAtCompany]]&lt;=5,"4-5 Years",Table1[[#This Row],[YearsAtCompany]]&gt;5,"&gt;5 Years")</f>
        <v>&gt;5 Years</v>
      </c>
    </row>
    <row r="615" spans="1:39" hidden="1" x14ac:dyDescent="0.45">
      <c r="A615">
        <v>34</v>
      </c>
      <c r="B615" t="s">
        <v>43</v>
      </c>
      <c r="C615" t="s">
        <v>64</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_xlfn.IFS(Table1[[#This Row],[Age]]&lt;30,"Young",Table1[[#This Row],[Age]]&lt;=40,"Adult",Table1[[#This Row],[Age]]&gt;40,"Senior")</f>
        <v>Adult</v>
      </c>
      <c r="AK615" t="str" cm="1">
        <f t="array" ref="AK615">_xlfn.IFS(Table1[[#This Row],[MonthlyIncome]]&lt;5000,"Low",Table1[[#This Row],[MonthlyIncome]]&lt;10000,"Medium",Table1[[#This Row],[MonthlyIncome]]&gt;10000,"High")</f>
        <v>Low</v>
      </c>
      <c r="AL615" t="str" cm="1">
        <f t="array" ref="AL615">_xlfn.IFS(Table1[[#This Row],[Attrition]]="Yes","Resigned",Table1[[#This Row],[Attrition]]="No","Active")</f>
        <v>Active</v>
      </c>
      <c r="AM615" t="str" cm="1">
        <f t="array" ref="AM615">_xlfn.IFS(Table1[[#This Row],[YearsAtCompany]]&lt;=1,"0-1 Year",Table1[[#This Row],[YearsAtCompany]]&lt;=2,"1-2 Years",Table1[[#This Row],[YearsAtCompany]]&lt;=3,"2-3 Years",Table1[[#This Row],[YearsAtCompany]]&lt;=4,"3-4 Years",Table1[[#This Row],[YearsAtCompany]]&lt;=5,"4-5 Years",Table1[[#This Row],[YearsAtCompany]]&gt;5,"&gt;5 Years")</f>
        <v>2-3 Years</v>
      </c>
    </row>
    <row r="616" spans="1:39" hidden="1" x14ac:dyDescent="0.45">
      <c r="A616">
        <v>26</v>
      </c>
      <c r="B616" t="s">
        <v>35</v>
      </c>
      <c r="C616" t="s">
        <v>63</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_xlfn.IFS(Table1[[#This Row],[Age]]&lt;30,"Young",Table1[[#This Row],[Age]]&lt;=40,"Adult",Table1[[#This Row],[Age]]&gt;40,"Senior")</f>
        <v>Young</v>
      </c>
      <c r="AK616" t="str" cm="1">
        <f t="array" ref="AK616">_xlfn.IFS(Table1[[#This Row],[MonthlyIncome]]&lt;5000,"Low",Table1[[#This Row],[MonthlyIncome]]&lt;10000,"Medium",Table1[[#This Row],[MonthlyIncome]]&gt;10000,"High")</f>
        <v>Low</v>
      </c>
      <c r="AL616" t="str" cm="1">
        <f t="array" ref="AL616">_xlfn.IFS(Table1[[#This Row],[Attrition]]="Yes","Resigned",Table1[[#This Row],[Attrition]]="No","Active")</f>
        <v>Resigned</v>
      </c>
      <c r="AM616" t="str" cm="1">
        <f t="array" ref="AM616">_xlfn.IFS(Table1[[#This Row],[YearsAtCompany]]&lt;=1,"0-1 Year",Table1[[#This Row],[YearsAtCompany]]&lt;=2,"1-2 Years",Table1[[#This Row],[YearsAtCompany]]&lt;=3,"2-3 Years",Table1[[#This Row],[YearsAtCompany]]&lt;=4,"3-4 Years",Table1[[#This Row],[YearsAtCompany]]&lt;=5,"4-5 Years",Table1[[#This Row],[YearsAtCompany]]&gt;5,"&gt;5 Years")</f>
        <v>&gt;5 Years</v>
      </c>
    </row>
    <row r="617" spans="1:39" hidden="1" x14ac:dyDescent="0.45">
      <c r="A617">
        <v>27</v>
      </c>
      <c r="B617" t="s">
        <v>43</v>
      </c>
      <c r="C617" t="s">
        <v>62</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_xlfn.IFS(Table1[[#This Row],[Age]]&lt;30,"Young",Table1[[#This Row],[Age]]&lt;=40,"Adult",Table1[[#This Row],[Age]]&gt;40,"Senior")</f>
        <v>Young</v>
      </c>
      <c r="AK617" t="str" cm="1">
        <f t="array" ref="AK617">_xlfn.IFS(Table1[[#This Row],[MonthlyIncome]]&lt;5000,"Low",Table1[[#This Row],[MonthlyIncome]]&lt;10000,"Medium",Table1[[#This Row],[MonthlyIncome]]&gt;10000,"High")</f>
        <v>Low</v>
      </c>
      <c r="AL617" t="str" cm="1">
        <f t="array" ref="AL617">_xlfn.IFS(Table1[[#This Row],[Attrition]]="Yes","Resigned",Table1[[#This Row],[Attrition]]="No","Active")</f>
        <v>Active</v>
      </c>
      <c r="AM617" t="str" cm="1">
        <f t="array" ref="AM617">_xlfn.IFS(Table1[[#This Row],[YearsAtCompany]]&lt;=1,"0-1 Year",Table1[[#This Row],[YearsAtCompany]]&lt;=2,"1-2 Years",Table1[[#This Row],[YearsAtCompany]]&lt;=3,"2-3 Years",Table1[[#This Row],[YearsAtCompany]]&lt;=4,"3-4 Years",Table1[[#This Row],[YearsAtCompany]]&lt;=5,"4-5 Years",Table1[[#This Row],[YearsAtCompany]]&gt;5,"&gt;5 Years")</f>
        <v>0-1 Year</v>
      </c>
    </row>
    <row r="618" spans="1:39" x14ac:dyDescent="0.45">
      <c r="A618">
        <v>51</v>
      </c>
      <c r="B618" t="s">
        <v>43</v>
      </c>
      <c r="C618" t="s">
        <v>64</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_xlfn.IFS(Table1[[#This Row],[Age]]&lt;30,"Young",Table1[[#This Row],[Age]]&lt;=40,"Adult",Table1[[#This Row],[Age]]&gt;40,"Senior")</f>
        <v>Senior</v>
      </c>
      <c r="AK618" t="str" cm="1">
        <f t="array" ref="AK618">_xlfn.IFS(Table1[[#This Row],[MonthlyIncome]]&lt;5000,"Low",Table1[[#This Row],[MonthlyIncome]]&lt;10000,"Medium",Table1[[#This Row],[MonthlyIncome]]&gt;10000,"High")</f>
        <v>High</v>
      </c>
      <c r="AL618" t="str" cm="1">
        <f t="array" ref="AL618">_xlfn.IFS(Table1[[#This Row],[Attrition]]="Yes","Resigned",Table1[[#This Row],[Attrition]]="No","Active")</f>
        <v>Active</v>
      </c>
      <c r="AM618" t="str" cm="1">
        <f t="array" ref="AM618">_xlfn.IFS(Table1[[#This Row],[YearsAtCompany]]&lt;=1,"0-1 Year",Table1[[#This Row],[YearsAtCompany]]&lt;=2,"1-2 Years",Table1[[#This Row],[YearsAtCompany]]&lt;=3,"2-3 Years",Table1[[#This Row],[YearsAtCompany]]&lt;=4,"3-4 Years",Table1[[#This Row],[YearsAtCompany]]&lt;=5,"4-5 Years",Table1[[#This Row],[YearsAtCompany]]&gt;5,"&gt;5 Years")</f>
        <v>&gt;5 Years</v>
      </c>
    </row>
    <row r="619" spans="1:39" hidden="1" x14ac:dyDescent="0.45">
      <c r="A619">
        <v>44</v>
      </c>
      <c r="B619" t="s">
        <v>43</v>
      </c>
      <c r="C619" t="s">
        <v>64</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_xlfn.IFS(Table1[[#This Row],[Age]]&lt;30,"Young",Table1[[#This Row],[Age]]&lt;=40,"Adult",Table1[[#This Row],[Age]]&gt;40,"Senior")</f>
        <v>Senior</v>
      </c>
      <c r="AK619" t="str" cm="1">
        <f t="array" ref="AK619">_xlfn.IFS(Table1[[#This Row],[MonthlyIncome]]&lt;5000,"Low",Table1[[#This Row],[MonthlyIncome]]&lt;10000,"Medium",Table1[[#This Row],[MonthlyIncome]]&gt;10000,"High")</f>
        <v>Medium</v>
      </c>
      <c r="AL619" t="str" cm="1">
        <f t="array" ref="AL619">_xlfn.IFS(Table1[[#This Row],[Attrition]]="Yes","Resigned",Table1[[#This Row],[Attrition]]="No","Active")</f>
        <v>Active</v>
      </c>
      <c r="AM619" t="str" cm="1">
        <f t="array" ref="AM619">_xlfn.IFS(Table1[[#This Row],[YearsAtCompany]]&lt;=1,"0-1 Year",Table1[[#This Row],[YearsAtCompany]]&lt;=2,"1-2 Years",Table1[[#This Row],[YearsAtCompany]]&lt;=3,"2-3 Years",Table1[[#This Row],[YearsAtCompany]]&lt;=4,"3-4 Years",Table1[[#This Row],[YearsAtCompany]]&lt;=5,"4-5 Years",Table1[[#This Row],[YearsAtCompany]]&gt;5,"&gt;5 Years")</f>
        <v>4-5 Years</v>
      </c>
    </row>
    <row r="620" spans="1:39" hidden="1" x14ac:dyDescent="0.45">
      <c r="A620">
        <v>25</v>
      </c>
      <c r="B620" t="s">
        <v>43</v>
      </c>
      <c r="C620" t="s">
        <v>64</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_xlfn.IFS(Table1[[#This Row],[Age]]&lt;30,"Young",Table1[[#This Row],[Age]]&lt;=40,"Adult",Table1[[#This Row],[Age]]&gt;40,"Senior")</f>
        <v>Young</v>
      </c>
      <c r="AK620" t="str" cm="1">
        <f t="array" ref="AK620">_xlfn.IFS(Table1[[#This Row],[MonthlyIncome]]&lt;5000,"Low",Table1[[#This Row],[MonthlyIncome]]&lt;10000,"Medium",Table1[[#This Row],[MonthlyIncome]]&gt;10000,"High")</f>
        <v>Low</v>
      </c>
      <c r="AL620" t="str" cm="1">
        <f t="array" ref="AL620">_xlfn.IFS(Table1[[#This Row],[Attrition]]="Yes","Resigned",Table1[[#This Row],[Attrition]]="No","Active")</f>
        <v>Active</v>
      </c>
      <c r="AM620" t="str" cm="1">
        <f t="array" ref="AM620">_xlfn.IFS(Table1[[#This Row],[YearsAtCompany]]&lt;=1,"0-1 Year",Table1[[#This Row],[YearsAtCompany]]&lt;=2,"1-2 Years",Table1[[#This Row],[YearsAtCompany]]&lt;=3,"2-3 Years",Table1[[#This Row],[YearsAtCompany]]&lt;=4,"3-4 Years",Table1[[#This Row],[YearsAtCompany]]&lt;=5,"4-5 Years",Table1[[#This Row],[YearsAtCompany]]&gt;5,"&gt;5 Years")</f>
        <v>3-4 Years</v>
      </c>
    </row>
    <row r="621" spans="1:39" x14ac:dyDescent="0.45">
      <c r="A621">
        <v>33</v>
      </c>
      <c r="B621" t="s">
        <v>43</v>
      </c>
      <c r="C621" t="s">
        <v>64</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_xlfn.IFS(Table1[[#This Row],[Age]]&lt;30,"Young",Table1[[#This Row],[Age]]&lt;=40,"Adult",Table1[[#This Row],[Age]]&gt;40,"Senior")</f>
        <v>Adult</v>
      </c>
      <c r="AK621" t="str" cm="1">
        <f t="array" ref="AK621">_xlfn.IFS(Table1[[#This Row],[MonthlyIncome]]&lt;5000,"Low",Table1[[#This Row],[MonthlyIncome]]&lt;10000,"Medium",Table1[[#This Row],[MonthlyIncome]]&gt;10000,"High")</f>
        <v>Low</v>
      </c>
      <c r="AL621" t="str" cm="1">
        <f t="array" ref="AL621">_xlfn.IFS(Table1[[#This Row],[Attrition]]="Yes","Resigned",Table1[[#This Row],[Attrition]]="No","Active")</f>
        <v>Active</v>
      </c>
      <c r="AM621" t="str" cm="1">
        <f t="array" ref="AM621">_xlfn.IFS(Table1[[#This Row],[YearsAtCompany]]&lt;=1,"0-1 Year",Table1[[#This Row],[YearsAtCompany]]&lt;=2,"1-2 Years",Table1[[#This Row],[YearsAtCompany]]&lt;=3,"2-3 Years",Table1[[#This Row],[YearsAtCompany]]&lt;=4,"3-4 Years",Table1[[#This Row],[YearsAtCompany]]&lt;=5,"4-5 Years",Table1[[#This Row],[YearsAtCompany]]&gt;5,"&gt;5 Years")</f>
        <v>&gt;5 Years</v>
      </c>
    </row>
    <row r="622" spans="1:39" hidden="1" x14ac:dyDescent="0.45">
      <c r="A622">
        <v>35</v>
      </c>
      <c r="B622" t="s">
        <v>43</v>
      </c>
      <c r="C622" t="s">
        <v>64</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_xlfn.IFS(Table1[[#This Row],[Age]]&lt;30,"Young",Table1[[#This Row],[Age]]&lt;=40,"Adult",Table1[[#This Row],[Age]]&gt;40,"Senior")</f>
        <v>Adult</v>
      </c>
      <c r="AK622" t="str" cm="1">
        <f t="array" ref="AK622">_xlfn.IFS(Table1[[#This Row],[MonthlyIncome]]&lt;5000,"Low",Table1[[#This Row],[MonthlyIncome]]&lt;10000,"Medium",Table1[[#This Row],[MonthlyIncome]]&gt;10000,"High")</f>
        <v>Low</v>
      </c>
      <c r="AL622" t="str" cm="1">
        <f t="array" ref="AL622">_xlfn.IFS(Table1[[#This Row],[Attrition]]="Yes","Resigned",Table1[[#This Row],[Attrition]]="No","Active")</f>
        <v>Active</v>
      </c>
      <c r="AM622" t="str" cm="1">
        <f t="array" ref="AM622">_xlfn.IFS(Table1[[#This Row],[YearsAtCompany]]&lt;=1,"0-1 Year",Table1[[#This Row],[YearsAtCompany]]&lt;=2,"1-2 Years",Table1[[#This Row],[YearsAtCompany]]&lt;=3,"2-3 Years",Table1[[#This Row],[YearsAtCompany]]&lt;=4,"3-4 Years",Table1[[#This Row],[YearsAtCompany]]&lt;=5,"4-5 Years",Table1[[#This Row],[YearsAtCompany]]&gt;5,"&gt;5 Years")</f>
        <v>&gt;5 Years</v>
      </c>
    </row>
    <row r="623" spans="1:39" x14ac:dyDescent="0.45">
      <c r="A623">
        <v>36</v>
      </c>
      <c r="B623" t="s">
        <v>43</v>
      </c>
      <c r="C623" t="s">
        <v>64</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_xlfn.IFS(Table1[[#This Row],[Age]]&lt;30,"Young",Table1[[#This Row],[Age]]&lt;=40,"Adult",Table1[[#This Row],[Age]]&gt;40,"Senior")</f>
        <v>Adult</v>
      </c>
      <c r="AK623" t="str" cm="1">
        <f t="array" ref="AK623">_xlfn.IFS(Table1[[#This Row],[MonthlyIncome]]&lt;5000,"Low",Table1[[#This Row],[MonthlyIncome]]&lt;10000,"Medium",Table1[[#This Row],[MonthlyIncome]]&gt;10000,"High")</f>
        <v>Medium</v>
      </c>
      <c r="AL623" t="str" cm="1">
        <f t="array" ref="AL623">_xlfn.IFS(Table1[[#This Row],[Attrition]]="Yes","Resigned",Table1[[#This Row],[Attrition]]="No","Active")</f>
        <v>Active</v>
      </c>
      <c r="AM623" t="str" cm="1">
        <f t="array" ref="AM623">_xlfn.IFS(Table1[[#This Row],[YearsAtCompany]]&lt;=1,"0-1 Year",Table1[[#This Row],[YearsAtCompany]]&lt;=2,"1-2 Years",Table1[[#This Row],[YearsAtCompany]]&lt;=3,"2-3 Years",Table1[[#This Row],[YearsAtCompany]]&lt;=4,"3-4 Years",Table1[[#This Row],[YearsAtCompany]]&lt;=5,"4-5 Years",Table1[[#This Row],[YearsAtCompany]]&gt;5,"&gt;5 Years")</f>
        <v>&gt;5 Years</v>
      </c>
    </row>
    <row r="624" spans="1:39" x14ac:dyDescent="0.45">
      <c r="A624">
        <v>32</v>
      </c>
      <c r="B624" t="s">
        <v>43</v>
      </c>
      <c r="C624" t="s">
        <v>64</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_xlfn.IFS(Table1[[#This Row],[Age]]&lt;30,"Young",Table1[[#This Row],[Age]]&lt;=40,"Adult",Table1[[#This Row],[Age]]&gt;40,"Senior")</f>
        <v>Adult</v>
      </c>
      <c r="AK624" t="str" cm="1">
        <f t="array" ref="AK624">_xlfn.IFS(Table1[[#This Row],[MonthlyIncome]]&lt;5000,"Low",Table1[[#This Row],[MonthlyIncome]]&lt;10000,"Medium",Table1[[#This Row],[MonthlyIncome]]&gt;10000,"High")</f>
        <v>Low</v>
      </c>
      <c r="AL624" t="str" cm="1">
        <f t="array" ref="AL624">_xlfn.IFS(Table1[[#This Row],[Attrition]]="Yes","Resigned",Table1[[#This Row],[Attrition]]="No","Active")</f>
        <v>Active</v>
      </c>
      <c r="AM624" t="str" cm="1">
        <f t="array" ref="AM624">_xlfn.IFS(Table1[[#This Row],[YearsAtCompany]]&lt;=1,"0-1 Year",Table1[[#This Row],[YearsAtCompany]]&lt;=2,"1-2 Years",Table1[[#This Row],[YearsAtCompany]]&lt;=3,"2-3 Years",Table1[[#This Row],[YearsAtCompany]]&lt;=4,"3-4 Years",Table1[[#This Row],[YearsAtCompany]]&lt;=5,"4-5 Years",Table1[[#This Row],[YearsAtCompany]]&gt;5,"&gt;5 Years")</f>
        <v>4-5 Years</v>
      </c>
    </row>
    <row r="625" spans="1:39" hidden="1" x14ac:dyDescent="0.45">
      <c r="A625">
        <v>30</v>
      </c>
      <c r="B625" t="s">
        <v>43</v>
      </c>
      <c r="C625" t="s">
        <v>63</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_xlfn.IFS(Table1[[#This Row],[Age]]&lt;30,"Young",Table1[[#This Row],[Age]]&lt;=40,"Adult",Table1[[#This Row],[Age]]&gt;40,"Senior")</f>
        <v>Adult</v>
      </c>
      <c r="AK625" t="str" cm="1">
        <f t="array" ref="AK625">_xlfn.IFS(Table1[[#This Row],[MonthlyIncome]]&lt;5000,"Low",Table1[[#This Row],[MonthlyIncome]]&lt;10000,"Medium",Table1[[#This Row],[MonthlyIncome]]&gt;10000,"High")</f>
        <v>Low</v>
      </c>
      <c r="AL625" t="str" cm="1">
        <f t="array" ref="AL625">_xlfn.IFS(Table1[[#This Row],[Attrition]]="Yes","Resigned",Table1[[#This Row],[Attrition]]="No","Active")</f>
        <v>Active</v>
      </c>
      <c r="AM625" t="str" cm="1">
        <f t="array" ref="AM625">_xlfn.IFS(Table1[[#This Row],[YearsAtCompany]]&lt;=1,"0-1 Year",Table1[[#This Row],[YearsAtCompany]]&lt;=2,"1-2 Years",Table1[[#This Row],[YearsAtCompany]]&lt;=3,"2-3 Years",Table1[[#This Row],[YearsAtCompany]]&lt;=4,"3-4 Years",Table1[[#This Row],[YearsAtCompany]]&lt;=5,"4-5 Years",Table1[[#This Row],[YearsAtCompany]]&gt;5,"&gt;5 Years")</f>
        <v>4-5 Years</v>
      </c>
    </row>
    <row r="626" spans="1:39" x14ac:dyDescent="0.45">
      <c r="A626">
        <v>53</v>
      </c>
      <c r="B626" t="s">
        <v>43</v>
      </c>
      <c r="C626" t="s">
        <v>64</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_xlfn.IFS(Table1[[#This Row],[Age]]&lt;30,"Young",Table1[[#This Row],[Age]]&lt;=40,"Adult",Table1[[#This Row],[Age]]&gt;40,"Senior")</f>
        <v>Senior</v>
      </c>
      <c r="AK626" t="str" cm="1">
        <f t="array" ref="AK626">_xlfn.IFS(Table1[[#This Row],[MonthlyIncome]]&lt;5000,"Low",Table1[[#This Row],[MonthlyIncome]]&lt;10000,"Medium",Table1[[#This Row],[MonthlyIncome]]&gt;10000,"High")</f>
        <v>High</v>
      </c>
      <c r="AL626" t="str" cm="1">
        <f t="array" ref="AL626">_xlfn.IFS(Table1[[#This Row],[Attrition]]="Yes","Resigned",Table1[[#This Row],[Attrition]]="No","Active")</f>
        <v>Active</v>
      </c>
      <c r="AM626" t="str" cm="1">
        <f t="array" ref="AM626">_xlfn.IFS(Table1[[#This Row],[YearsAtCompany]]&lt;=1,"0-1 Year",Table1[[#This Row],[YearsAtCompany]]&lt;=2,"1-2 Years",Table1[[#This Row],[YearsAtCompany]]&lt;=3,"2-3 Years",Table1[[#This Row],[YearsAtCompany]]&lt;=4,"3-4 Years",Table1[[#This Row],[YearsAtCompany]]&lt;=5,"4-5 Years",Table1[[#This Row],[YearsAtCompany]]&gt;5,"&gt;5 Years")</f>
        <v>4-5 Years</v>
      </c>
    </row>
    <row r="627" spans="1:39" x14ac:dyDescent="0.45">
      <c r="A627">
        <v>45</v>
      </c>
      <c r="B627" t="s">
        <v>43</v>
      </c>
      <c r="C627" t="s">
        <v>64</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_xlfn.IFS(Table1[[#This Row],[Age]]&lt;30,"Young",Table1[[#This Row],[Age]]&lt;=40,"Adult",Table1[[#This Row],[Age]]&gt;40,"Senior")</f>
        <v>Senior</v>
      </c>
      <c r="AK627" t="str" cm="1">
        <f t="array" ref="AK627">_xlfn.IFS(Table1[[#This Row],[MonthlyIncome]]&lt;5000,"Low",Table1[[#This Row],[MonthlyIncome]]&lt;10000,"Medium",Table1[[#This Row],[MonthlyIncome]]&gt;10000,"High")</f>
        <v>High</v>
      </c>
      <c r="AL627" t="str" cm="1">
        <f t="array" ref="AL627">_xlfn.IFS(Table1[[#This Row],[Attrition]]="Yes","Resigned",Table1[[#This Row],[Attrition]]="No","Active")</f>
        <v>Active</v>
      </c>
      <c r="AM627" t="str" cm="1">
        <f t="array" ref="AM627">_xlfn.IFS(Table1[[#This Row],[YearsAtCompany]]&lt;=1,"0-1 Year",Table1[[#This Row],[YearsAtCompany]]&lt;=2,"1-2 Years",Table1[[#This Row],[YearsAtCompany]]&lt;=3,"2-3 Years",Table1[[#This Row],[YearsAtCompany]]&lt;=4,"3-4 Years",Table1[[#This Row],[YearsAtCompany]]&lt;=5,"4-5 Years",Table1[[#This Row],[YearsAtCompany]]&gt;5,"&gt;5 Years")</f>
        <v>4-5 Years</v>
      </c>
    </row>
    <row r="628" spans="1:39" hidden="1" x14ac:dyDescent="0.45">
      <c r="A628">
        <v>32</v>
      </c>
      <c r="B628" t="s">
        <v>43</v>
      </c>
      <c r="C628" t="s">
        <v>64</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_xlfn.IFS(Table1[[#This Row],[Age]]&lt;30,"Young",Table1[[#This Row],[Age]]&lt;=40,"Adult",Table1[[#This Row],[Age]]&gt;40,"Senior")</f>
        <v>Adult</v>
      </c>
      <c r="AK628" t="str" cm="1">
        <f t="array" ref="AK628">_xlfn.IFS(Table1[[#This Row],[MonthlyIncome]]&lt;5000,"Low",Table1[[#This Row],[MonthlyIncome]]&lt;10000,"Medium",Table1[[#This Row],[MonthlyIncome]]&gt;10000,"High")</f>
        <v>Medium</v>
      </c>
      <c r="AL628" t="str" cm="1">
        <f t="array" ref="AL628">_xlfn.IFS(Table1[[#This Row],[Attrition]]="Yes","Resigned",Table1[[#This Row],[Attrition]]="No","Active")</f>
        <v>Active</v>
      </c>
      <c r="AM628" t="str" cm="1">
        <f t="array" ref="AM628">_xlfn.IFS(Table1[[#This Row],[YearsAtCompany]]&lt;=1,"0-1 Year",Table1[[#This Row],[YearsAtCompany]]&lt;=2,"1-2 Years",Table1[[#This Row],[YearsAtCompany]]&lt;=3,"2-3 Years",Table1[[#This Row],[YearsAtCompany]]&lt;=4,"3-4 Years",Table1[[#This Row],[YearsAtCompany]]&lt;=5,"4-5 Years",Table1[[#This Row],[YearsAtCompany]]&gt;5,"&gt;5 Years")</f>
        <v>4-5 Years</v>
      </c>
    </row>
    <row r="629" spans="1:39" hidden="1" x14ac:dyDescent="0.45">
      <c r="A629">
        <v>52</v>
      </c>
      <c r="B629" t="s">
        <v>43</v>
      </c>
      <c r="C629" t="s">
        <v>63</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_xlfn.IFS(Table1[[#This Row],[Age]]&lt;30,"Young",Table1[[#This Row],[Age]]&lt;=40,"Adult",Table1[[#This Row],[Age]]&gt;40,"Senior")</f>
        <v>Senior</v>
      </c>
      <c r="AK629" t="str" cm="1">
        <f t="array" ref="AK629">_xlfn.IFS(Table1[[#This Row],[MonthlyIncome]]&lt;5000,"Low",Table1[[#This Row],[MonthlyIncome]]&lt;10000,"Medium",Table1[[#This Row],[MonthlyIncome]]&gt;10000,"High")</f>
        <v>High</v>
      </c>
      <c r="AL629" t="str" cm="1">
        <f t="array" ref="AL629">_xlfn.IFS(Table1[[#This Row],[Attrition]]="Yes","Resigned",Table1[[#This Row],[Attrition]]="No","Active")</f>
        <v>Active</v>
      </c>
      <c r="AM629" t="str" cm="1">
        <f t="array" ref="AM629">_xlfn.IFS(Table1[[#This Row],[YearsAtCompany]]&lt;=1,"0-1 Year",Table1[[#This Row],[YearsAtCompany]]&lt;=2,"1-2 Years",Table1[[#This Row],[YearsAtCompany]]&lt;=3,"2-3 Years",Table1[[#This Row],[YearsAtCompany]]&lt;=4,"3-4 Years",Table1[[#This Row],[YearsAtCompany]]&lt;=5,"4-5 Years",Table1[[#This Row],[YearsAtCompany]]&gt;5,"&gt;5 Years")</f>
        <v>&gt;5 Years</v>
      </c>
    </row>
    <row r="630" spans="1:39" x14ac:dyDescent="0.45">
      <c r="A630">
        <v>37</v>
      </c>
      <c r="B630" t="s">
        <v>43</v>
      </c>
      <c r="C630" t="s">
        <v>64</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_xlfn.IFS(Table1[[#This Row],[Age]]&lt;30,"Young",Table1[[#This Row],[Age]]&lt;=40,"Adult",Table1[[#This Row],[Age]]&gt;40,"Senior")</f>
        <v>Adult</v>
      </c>
      <c r="AK630" t="str" cm="1">
        <f t="array" ref="AK630">_xlfn.IFS(Table1[[#This Row],[MonthlyIncome]]&lt;5000,"Low",Table1[[#This Row],[MonthlyIncome]]&lt;10000,"Medium",Table1[[#This Row],[MonthlyIncome]]&gt;10000,"High")</f>
        <v>Medium</v>
      </c>
      <c r="AL630" t="str" cm="1">
        <f t="array" ref="AL630">_xlfn.IFS(Table1[[#This Row],[Attrition]]="Yes","Resigned",Table1[[#This Row],[Attrition]]="No","Active")</f>
        <v>Active</v>
      </c>
      <c r="AM630" t="str" cm="1">
        <f t="array" ref="AM630">_xlfn.IFS(Table1[[#This Row],[YearsAtCompany]]&lt;=1,"0-1 Year",Table1[[#This Row],[YearsAtCompany]]&lt;=2,"1-2 Years",Table1[[#This Row],[YearsAtCompany]]&lt;=3,"2-3 Years",Table1[[#This Row],[YearsAtCompany]]&lt;=4,"3-4 Years",Table1[[#This Row],[YearsAtCompany]]&lt;=5,"4-5 Years",Table1[[#This Row],[YearsAtCompany]]&gt;5,"&gt;5 Years")</f>
        <v>0-1 Year</v>
      </c>
    </row>
    <row r="631" spans="1:39" hidden="1" x14ac:dyDescent="0.45">
      <c r="A631">
        <v>28</v>
      </c>
      <c r="B631" t="s">
        <v>43</v>
      </c>
      <c r="C631" t="s">
        <v>64</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_xlfn.IFS(Table1[[#This Row],[Age]]&lt;30,"Young",Table1[[#This Row],[Age]]&lt;=40,"Adult",Table1[[#This Row],[Age]]&gt;40,"Senior")</f>
        <v>Young</v>
      </c>
      <c r="AK631" t="str" cm="1">
        <f t="array" ref="AK631">_xlfn.IFS(Table1[[#This Row],[MonthlyIncome]]&lt;5000,"Low",Table1[[#This Row],[MonthlyIncome]]&lt;10000,"Medium",Table1[[#This Row],[MonthlyIncome]]&gt;10000,"High")</f>
        <v>Low</v>
      </c>
      <c r="AL631" t="str" cm="1">
        <f t="array" ref="AL631">_xlfn.IFS(Table1[[#This Row],[Attrition]]="Yes","Resigned",Table1[[#This Row],[Attrition]]="No","Active")</f>
        <v>Active</v>
      </c>
      <c r="AM631" t="str" cm="1">
        <f t="array" ref="AM631">_xlfn.IFS(Table1[[#This Row],[YearsAtCompany]]&lt;=1,"0-1 Year",Table1[[#This Row],[YearsAtCompany]]&lt;=2,"1-2 Years",Table1[[#This Row],[YearsAtCompany]]&lt;=3,"2-3 Years",Table1[[#This Row],[YearsAtCompany]]&lt;=4,"3-4 Years",Table1[[#This Row],[YearsAtCompany]]&lt;=5,"4-5 Years",Table1[[#This Row],[YearsAtCompany]]&gt;5,"&gt;5 Years")</f>
        <v>4-5 Years</v>
      </c>
    </row>
    <row r="632" spans="1:39" hidden="1" x14ac:dyDescent="0.45">
      <c r="A632">
        <v>22</v>
      </c>
      <c r="B632" t="s">
        <v>43</v>
      </c>
      <c r="C632" t="s">
        <v>64</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_xlfn.IFS(Table1[[#This Row],[Age]]&lt;30,"Young",Table1[[#This Row],[Age]]&lt;=40,"Adult",Table1[[#This Row],[Age]]&gt;40,"Senior")</f>
        <v>Young</v>
      </c>
      <c r="AK632" t="str" cm="1">
        <f t="array" ref="AK632">_xlfn.IFS(Table1[[#This Row],[MonthlyIncome]]&lt;5000,"Low",Table1[[#This Row],[MonthlyIncome]]&lt;10000,"Medium",Table1[[#This Row],[MonthlyIncome]]&gt;10000,"High")</f>
        <v>Low</v>
      </c>
      <c r="AL632" t="str" cm="1">
        <f t="array" ref="AL632">_xlfn.IFS(Table1[[#This Row],[Attrition]]="Yes","Resigned",Table1[[#This Row],[Attrition]]="No","Active")</f>
        <v>Active</v>
      </c>
      <c r="AM632" t="str" cm="1">
        <f t="array" ref="AM632">_xlfn.IFS(Table1[[#This Row],[YearsAtCompany]]&lt;=1,"0-1 Year",Table1[[#This Row],[YearsAtCompany]]&lt;=2,"1-2 Years",Table1[[#This Row],[YearsAtCompany]]&lt;=3,"2-3 Years",Table1[[#This Row],[YearsAtCompany]]&lt;=4,"3-4 Years",Table1[[#This Row],[YearsAtCompany]]&lt;=5,"4-5 Years",Table1[[#This Row],[YearsAtCompany]]&gt;5,"&gt;5 Years")</f>
        <v>1-2 Years</v>
      </c>
    </row>
    <row r="633" spans="1:39" hidden="1" x14ac:dyDescent="0.45">
      <c r="A633">
        <v>44</v>
      </c>
      <c r="B633" t="s">
        <v>43</v>
      </c>
      <c r="C633" t="s">
        <v>64</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_xlfn.IFS(Table1[[#This Row],[Age]]&lt;30,"Young",Table1[[#This Row],[Age]]&lt;=40,"Adult",Table1[[#This Row],[Age]]&gt;40,"Senior")</f>
        <v>Senior</v>
      </c>
      <c r="AK633" t="str" cm="1">
        <f t="array" ref="AK633">_xlfn.IFS(Table1[[#This Row],[MonthlyIncome]]&lt;5000,"Low",Table1[[#This Row],[MonthlyIncome]]&lt;10000,"Medium",Table1[[#This Row],[MonthlyIncome]]&gt;10000,"High")</f>
        <v>Low</v>
      </c>
      <c r="AL633" t="str" cm="1">
        <f t="array" ref="AL633">_xlfn.IFS(Table1[[#This Row],[Attrition]]="Yes","Resigned",Table1[[#This Row],[Attrition]]="No","Active")</f>
        <v>Active</v>
      </c>
      <c r="AM633" t="str" cm="1">
        <f t="array" ref="AM633">_xlfn.IFS(Table1[[#This Row],[YearsAtCompany]]&lt;=1,"0-1 Year",Table1[[#This Row],[YearsAtCompany]]&lt;=2,"1-2 Years",Table1[[#This Row],[YearsAtCompany]]&lt;=3,"2-3 Years",Table1[[#This Row],[YearsAtCompany]]&lt;=4,"3-4 Years",Table1[[#This Row],[YearsAtCompany]]&lt;=5,"4-5 Years",Table1[[#This Row],[YearsAtCompany]]&gt;5,"&gt;5 Years")</f>
        <v>2-3 Years</v>
      </c>
    </row>
    <row r="634" spans="1:39" hidden="1" x14ac:dyDescent="0.45">
      <c r="A634">
        <v>42</v>
      </c>
      <c r="B634" t="s">
        <v>43</v>
      </c>
      <c r="C634" t="s">
        <v>63</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_xlfn.IFS(Table1[[#This Row],[Age]]&lt;30,"Young",Table1[[#This Row],[Age]]&lt;=40,"Adult",Table1[[#This Row],[Age]]&gt;40,"Senior")</f>
        <v>Senior</v>
      </c>
      <c r="AK634" t="str" cm="1">
        <f t="array" ref="AK634">_xlfn.IFS(Table1[[#This Row],[MonthlyIncome]]&lt;5000,"Low",Table1[[#This Row],[MonthlyIncome]]&lt;10000,"Medium",Table1[[#This Row],[MonthlyIncome]]&gt;10000,"High")</f>
        <v>Low</v>
      </c>
      <c r="AL634" t="str" cm="1">
        <f t="array" ref="AL634">_xlfn.IFS(Table1[[#This Row],[Attrition]]="Yes","Resigned",Table1[[#This Row],[Attrition]]="No","Active")</f>
        <v>Active</v>
      </c>
      <c r="AM634" t="str" cm="1">
        <f t="array" ref="AM634">_xlfn.IFS(Table1[[#This Row],[YearsAtCompany]]&lt;=1,"0-1 Year",Table1[[#This Row],[YearsAtCompany]]&lt;=2,"1-2 Years",Table1[[#This Row],[YearsAtCompany]]&lt;=3,"2-3 Years",Table1[[#This Row],[YearsAtCompany]]&lt;=4,"3-4 Years",Table1[[#This Row],[YearsAtCompany]]&lt;=5,"4-5 Years",Table1[[#This Row],[YearsAtCompany]]&gt;5,"&gt;5 Years")</f>
        <v>1-2 Years</v>
      </c>
    </row>
    <row r="635" spans="1:39" hidden="1" x14ac:dyDescent="0.45">
      <c r="A635">
        <v>36</v>
      </c>
      <c r="B635" t="s">
        <v>43</v>
      </c>
      <c r="C635" t="s">
        <v>64</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_xlfn.IFS(Table1[[#This Row],[Age]]&lt;30,"Young",Table1[[#This Row],[Age]]&lt;=40,"Adult",Table1[[#This Row],[Age]]&gt;40,"Senior")</f>
        <v>Adult</v>
      </c>
      <c r="AK635" t="str" cm="1">
        <f t="array" ref="AK635">_xlfn.IFS(Table1[[#This Row],[MonthlyIncome]]&lt;5000,"Low",Table1[[#This Row],[MonthlyIncome]]&lt;10000,"Medium",Table1[[#This Row],[MonthlyIncome]]&gt;10000,"High")</f>
        <v>Low</v>
      </c>
      <c r="AL635" t="str" cm="1">
        <f t="array" ref="AL635">_xlfn.IFS(Table1[[#This Row],[Attrition]]="Yes","Resigned",Table1[[#This Row],[Attrition]]="No","Active")</f>
        <v>Active</v>
      </c>
      <c r="AM635" t="str" cm="1">
        <f t="array" ref="AM635">_xlfn.IFS(Table1[[#This Row],[YearsAtCompany]]&lt;=1,"0-1 Year",Table1[[#This Row],[YearsAtCompany]]&lt;=2,"1-2 Years",Table1[[#This Row],[YearsAtCompany]]&lt;=3,"2-3 Years",Table1[[#This Row],[YearsAtCompany]]&lt;=4,"3-4 Years",Table1[[#This Row],[YearsAtCompany]]&lt;=5,"4-5 Years",Table1[[#This Row],[YearsAtCompany]]&gt;5,"&gt;5 Years")</f>
        <v>4-5 Years</v>
      </c>
    </row>
    <row r="636" spans="1:39" x14ac:dyDescent="0.45">
      <c r="A636">
        <v>25</v>
      </c>
      <c r="B636" t="s">
        <v>43</v>
      </c>
      <c r="C636" t="s">
        <v>64</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_xlfn.IFS(Table1[[#This Row],[Age]]&lt;30,"Young",Table1[[#This Row],[Age]]&lt;=40,"Adult",Table1[[#This Row],[Age]]&gt;40,"Senior")</f>
        <v>Young</v>
      </c>
      <c r="AK636" t="str" cm="1">
        <f t="array" ref="AK636">_xlfn.IFS(Table1[[#This Row],[MonthlyIncome]]&lt;5000,"Low",Table1[[#This Row],[MonthlyIncome]]&lt;10000,"Medium",Table1[[#This Row],[MonthlyIncome]]&gt;10000,"High")</f>
        <v>Low</v>
      </c>
      <c r="AL636" t="str" cm="1">
        <f t="array" ref="AL636">_xlfn.IFS(Table1[[#This Row],[Attrition]]="Yes","Resigned",Table1[[#This Row],[Attrition]]="No","Active")</f>
        <v>Active</v>
      </c>
      <c r="AM636" t="str" cm="1">
        <f t="array" ref="AM636">_xlfn.IFS(Table1[[#This Row],[YearsAtCompany]]&lt;=1,"0-1 Year",Table1[[#This Row],[YearsAtCompany]]&lt;=2,"1-2 Years",Table1[[#This Row],[YearsAtCompany]]&lt;=3,"2-3 Years",Table1[[#This Row],[YearsAtCompany]]&lt;=4,"3-4 Years",Table1[[#This Row],[YearsAtCompany]]&lt;=5,"4-5 Years",Table1[[#This Row],[YearsAtCompany]]&gt;5,"&gt;5 Years")</f>
        <v>4-5 Years</v>
      </c>
    </row>
    <row r="637" spans="1:39" hidden="1" x14ac:dyDescent="0.45">
      <c r="A637">
        <v>35</v>
      </c>
      <c r="B637" t="s">
        <v>43</v>
      </c>
      <c r="C637" t="s">
        <v>64</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_xlfn.IFS(Table1[[#This Row],[Age]]&lt;30,"Young",Table1[[#This Row],[Age]]&lt;=40,"Adult",Table1[[#This Row],[Age]]&gt;40,"Senior")</f>
        <v>Adult</v>
      </c>
      <c r="AK637" t="str" cm="1">
        <f t="array" ref="AK637">_xlfn.IFS(Table1[[#This Row],[MonthlyIncome]]&lt;5000,"Low",Table1[[#This Row],[MonthlyIncome]]&lt;10000,"Medium",Table1[[#This Row],[MonthlyIncome]]&gt;10000,"High")</f>
        <v>High</v>
      </c>
      <c r="AL637" t="str" cm="1">
        <f t="array" ref="AL637">_xlfn.IFS(Table1[[#This Row],[Attrition]]="Yes","Resigned",Table1[[#This Row],[Attrition]]="No","Active")</f>
        <v>Active</v>
      </c>
      <c r="AM637" t="str" cm="1">
        <f t="array" ref="AM637">_xlfn.IFS(Table1[[#This Row],[YearsAtCompany]]&lt;=1,"0-1 Year",Table1[[#This Row],[YearsAtCompany]]&lt;=2,"1-2 Years",Table1[[#This Row],[YearsAtCompany]]&lt;=3,"2-3 Years",Table1[[#This Row],[YearsAtCompany]]&lt;=4,"3-4 Years",Table1[[#This Row],[YearsAtCompany]]&lt;=5,"4-5 Years",Table1[[#This Row],[YearsAtCompany]]&gt;5,"&gt;5 Years")</f>
        <v>&gt;5 Years</v>
      </c>
    </row>
    <row r="638" spans="1:39" hidden="1" x14ac:dyDescent="0.45">
      <c r="A638">
        <v>35</v>
      </c>
      <c r="B638" t="s">
        <v>35</v>
      </c>
      <c r="C638" t="s">
        <v>63</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_xlfn.IFS(Table1[[#This Row],[Age]]&lt;30,"Young",Table1[[#This Row],[Age]]&lt;=40,"Adult",Table1[[#This Row],[Age]]&gt;40,"Senior")</f>
        <v>Adult</v>
      </c>
      <c r="AK638" t="str" cm="1">
        <f t="array" ref="AK638">_xlfn.IFS(Table1[[#This Row],[MonthlyIncome]]&lt;5000,"Low",Table1[[#This Row],[MonthlyIncome]]&lt;10000,"Medium",Table1[[#This Row],[MonthlyIncome]]&gt;10000,"High")</f>
        <v>Low</v>
      </c>
      <c r="AL638" t="str" cm="1">
        <f t="array" ref="AL638">_xlfn.IFS(Table1[[#This Row],[Attrition]]="Yes","Resigned",Table1[[#This Row],[Attrition]]="No","Active")</f>
        <v>Resigned</v>
      </c>
      <c r="AM638" t="str" cm="1">
        <f t="array" ref="AM638">_xlfn.IFS(Table1[[#This Row],[YearsAtCompany]]&lt;=1,"0-1 Year",Table1[[#This Row],[YearsAtCompany]]&lt;=2,"1-2 Years",Table1[[#This Row],[YearsAtCompany]]&lt;=3,"2-3 Years",Table1[[#This Row],[YearsAtCompany]]&lt;=4,"3-4 Years",Table1[[#This Row],[YearsAtCompany]]&lt;=5,"4-5 Years",Table1[[#This Row],[YearsAtCompany]]&gt;5,"&gt;5 Years")</f>
        <v>&gt;5 Years</v>
      </c>
    </row>
    <row r="639" spans="1:39" hidden="1" x14ac:dyDescent="0.45">
      <c r="A639">
        <v>32</v>
      </c>
      <c r="B639" t="s">
        <v>43</v>
      </c>
      <c r="C639" t="s">
        <v>62</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_xlfn.IFS(Table1[[#This Row],[Age]]&lt;30,"Young",Table1[[#This Row],[Age]]&lt;=40,"Adult",Table1[[#This Row],[Age]]&gt;40,"Senior")</f>
        <v>Adult</v>
      </c>
      <c r="AK639" t="str" cm="1">
        <f t="array" ref="AK639">_xlfn.IFS(Table1[[#This Row],[MonthlyIncome]]&lt;5000,"Low",Table1[[#This Row],[MonthlyIncome]]&lt;10000,"Medium",Table1[[#This Row],[MonthlyIncome]]&gt;10000,"High")</f>
        <v>Low</v>
      </c>
      <c r="AL639" t="str" cm="1">
        <f t="array" ref="AL639">_xlfn.IFS(Table1[[#This Row],[Attrition]]="Yes","Resigned",Table1[[#This Row],[Attrition]]="No","Active")</f>
        <v>Active</v>
      </c>
      <c r="AM639" t="str" cm="1">
        <f t="array" ref="AM639">_xlfn.IFS(Table1[[#This Row],[YearsAtCompany]]&lt;=1,"0-1 Year",Table1[[#This Row],[YearsAtCompany]]&lt;=2,"1-2 Years",Table1[[#This Row],[YearsAtCompany]]&lt;=3,"2-3 Years",Table1[[#This Row],[YearsAtCompany]]&lt;=4,"3-4 Years",Table1[[#This Row],[YearsAtCompany]]&lt;=5,"4-5 Years",Table1[[#This Row],[YearsAtCompany]]&gt;5,"&gt;5 Years")</f>
        <v>2-3 Years</v>
      </c>
    </row>
    <row r="640" spans="1:39" x14ac:dyDescent="0.45">
      <c r="A640">
        <v>25</v>
      </c>
      <c r="B640" t="s">
        <v>43</v>
      </c>
      <c r="C640" t="s">
        <v>64</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_xlfn.IFS(Table1[[#This Row],[Age]]&lt;30,"Young",Table1[[#This Row],[Age]]&lt;=40,"Adult",Table1[[#This Row],[Age]]&gt;40,"Senior")</f>
        <v>Young</v>
      </c>
      <c r="AK640" t="str" cm="1">
        <f t="array" ref="AK640">_xlfn.IFS(Table1[[#This Row],[MonthlyIncome]]&lt;5000,"Low",Table1[[#This Row],[MonthlyIncome]]&lt;10000,"Medium",Table1[[#This Row],[MonthlyIncome]]&gt;10000,"High")</f>
        <v>Low</v>
      </c>
      <c r="AL640" t="str" cm="1">
        <f t="array" ref="AL640">_xlfn.IFS(Table1[[#This Row],[Attrition]]="Yes","Resigned",Table1[[#This Row],[Attrition]]="No","Active")</f>
        <v>Active</v>
      </c>
      <c r="AM640" t="str" cm="1">
        <f t="array" ref="AM640">_xlfn.IFS(Table1[[#This Row],[YearsAtCompany]]&lt;=1,"0-1 Year",Table1[[#This Row],[YearsAtCompany]]&lt;=2,"1-2 Years",Table1[[#This Row],[YearsAtCompany]]&lt;=3,"2-3 Years",Table1[[#This Row],[YearsAtCompany]]&lt;=4,"3-4 Years",Table1[[#This Row],[YearsAtCompany]]&lt;=5,"4-5 Years",Table1[[#This Row],[YearsAtCompany]]&gt;5,"&gt;5 Years")</f>
        <v>4-5 Years</v>
      </c>
    </row>
    <row r="641" spans="1:39" hidden="1" x14ac:dyDescent="0.45">
      <c r="A641">
        <v>49</v>
      </c>
      <c r="B641" t="s">
        <v>43</v>
      </c>
      <c r="C641" t="s">
        <v>64</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_xlfn.IFS(Table1[[#This Row],[Age]]&lt;30,"Young",Table1[[#This Row],[Age]]&lt;=40,"Adult",Table1[[#This Row],[Age]]&gt;40,"Senior")</f>
        <v>Senior</v>
      </c>
      <c r="AK641" t="str" cm="1">
        <f t="array" ref="AK641">_xlfn.IFS(Table1[[#This Row],[MonthlyIncome]]&lt;5000,"Low",Table1[[#This Row],[MonthlyIncome]]&lt;10000,"Medium",Table1[[#This Row],[MonthlyIncome]]&gt;10000,"High")</f>
        <v>Low</v>
      </c>
      <c r="AL641" t="str" cm="1">
        <f t="array" ref="AL641">_xlfn.IFS(Table1[[#This Row],[Attrition]]="Yes","Resigned",Table1[[#This Row],[Attrition]]="No","Active")</f>
        <v>Active</v>
      </c>
      <c r="AM641" t="str" cm="1">
        <f t="array" ref="AM641">_xlfn.IFS(Table1[[#This Row],[YearsAtCompany]]&lt;=1,"0-1 Year",Table1[[#This Row],[YearsAtCompany]]&lt;=2,"1-2 Years",Table1[[#This Row],[YearsAtCompany]]&lt;=3,"2-3 Years",Table1[[#This Row],[YearsAtCompany]]&lt;=4,"3-4 Years",Table1[[#This Row],[YearsAtCompany]]&lt;=5,"4-5 Years",Table1[[#This Row],[YearsAtCompany]]&gt;5,"&gt;5 Years")</f>
        <v>3-4 Years</v>
      </c>
    </row>
    <row r="642" spans="1:39" hidden="1" x14ac:dyDescent="0.45">
      <c r="A642">
        <v>24</v>
      </c>
      <c r="B642" t="s">
        <v>43</v>
      </c>
      <c r="C642" t="s">
        <v>62</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_xlfn.IFS(Table1[[#This Row],[Age]]&lt;30,"Young",Table1[[#This Row],[Age]]&lt;=40,"Adult",Table1[[#This Row],[Age]]&gt;40,"Senior")</f>
        <v>Young</v>
      </c>
      <c r="AK642" t="str" cm="1">
        <f t="array" ref="AK642">_xlfn.IFS(Table1[[#This Row],[MonthlyIncome]]&lt;5000,"Low",Table1[[#This Row],[MonthlyIncome]]&lt;10000,"Medium",Table1[[#This Row],[MonthlyIncome]]&gt;10000,"High")</f>
        <v>Low</v>
      </c>
      <c r="AL642" t="str" cm="1">
        <f t="array" ref="AL642">_xlfn.IFS(Table1[[#This Row],[Attrition]]="Yes","Resigned",Table1[[#This Row],[Attrition]]="No","Active")</f>
        <v>Active</v>
      </c>
      <c r="AM642" t="str" cm="1">
        <f t="array" ref="AM642">_xlfn.IFS(Table1[[#This Row],[YearsAtCompany]]&lt;=1,"0-1 Year",Table1[[#This Row],[YearsAtCompany]]&lt;=2,"1-2 Years",Table1[[#This Row],[YearsAtCompany]]&lt;=3,"2-3 Years",Table1[[#This Row],[YearsAtCompany]]&lt;=4,"3-4 Years",Table1[[#This Row],[YearsAtCompany]]&lt;=5,"4-5 Years",Table1[[#This Row],[YearsAtCompany]]&gt;5,"&gt;5 Years")</f>
        <v>4-5 Years</v>
      </c>
    </row>
    <row r="643" spans="1:39" x14ac:dyDescent="0.45">
      <c r="A643">
        <v>32</v>
      </c>
      <c r="B643" t="s">
        <v>43</v>
      </c>
      <c r="C643" t="s">
        <v>63</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_xlfn.IFS(Table1[[#This Row],[Age]]&lt;30,"Young",Table1[[#This Row],[Age]]&lt;=40,"Adult",Table1[[#This Row],[Age]]&gt;40,"Senior")</f>
        <v>Adult</v>
      </c>
      <c r="AK643" t="str" cm="1">
        <f t="array" ref="AK643">_xlfn.IFS(Table1[[#This Row],[MonthlyIncome]]&lt;5000,"Low",Table1[[#This Row],[MonthlyIncome]]&lt;10000,"Medium",Table1[[#This Row],[MonthlyIncome]]&gt;10000,"High")</f>
        <v>Medium</v>
      </c>
      <c r="AL643" t="str" cm="1">
        <f t="array" ref="AL643">_xlfn.IFS(Table1[[#This Row],[Attrition]]="Yes","Resigned",Table1[[#This Row],[Attrition]]="No","Active")</f>
        <v>Active</v>
      </c>
      <c r="AM643" t="str" cm="1">
        <f t="array" ref="AM643">_xlfn.IFS(Table1[[#This Row],[YearsAtCompany]]&lt;=1,"0-1 Year",Table1[[#This Row],[YearsAtCompany]]&lt;=2,"1-2 Years",Table1[[#This Row],[YearsAtCompany]]&lt;=3,"2-3 Years",Table1[[#This Row],[YearsAtCompany]]&lt;=4,"3-4 Years",Table1[[#This Row],[YearsAtCompany]]&lt;=5,"4-5 Years",Table1[[#This Row],[YearsAtCompany]]&gt;5,"&gt;5 Years")</f>
        <v>&gt;5 Years</v>
      </c>
    </row>
    <row r="644" spans="1:39" x14ac:dyDescent="0.45">
      <c r="A644">
        <v>38</v>
      </c>
      <c r="B644" t="s">
        <v>43</v>
      </c>
      <c r="C644" t="s">
        <v>64</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_xlfn.IFS(Table1[[#This Row],[Age]]&lt;30,"Young",Table1[[#This Row],[Age]]&lt;=40,"Adult",Table1[[#This Row],[Age]]&gt;40,"Senior")</f>
        <v>Adult</v>
      </c>
      <c r="AK644" t="str" cm="1">
        <f t="array" ref="AK644">_xlfn.IFS(Table1[[#This Row],[MonthlyIncome]]&lt;5000,"Low",Table1[[#This Row],[MonthlyIncome]]&lt;10000,"Medium",Table1[[#This Row],[MonthlyIncome]]&gt;10000,"High")</f>
        <v>Low</v>
      </c>
      <c r="AL644" t="str" cm="1">
        <f t="array" ref="AL644">_xlfn.IFS(Table1[[#This Row],[Attrition]]="Yes","Resigned",Table1[[#This Row],[Attrition]]="No","Active")</f>
        <v>Active</v>
      </c>
      <c r="AM644" t="str" cm="1">
        <f t="array" ref="AM644">_xlfn.IFS(Table1[[#This Row],[YearsAtCompany]]&lt;=1,"0-1 Year",Table1[[#This Row],[YearsAtCompany]]&lt;=2,"1-2 Years",Table1[[#This Row],[YearsAtCompany]]&lt;=3,"2-3 Years",Table1[[#This Row],[YearsAtCompany]]&lt;=4,"3-4 Years",Table1[[#This Row],[YearsAtCompany]]&lt;=5,"4-5 Years",Table1[[#This Row],[YearsAtCompany]]&gt;5,"&gt;5 Years")</f>
        <v>1-2 Years</v>
      </c>
    </row>
    <row r="645" spans="1:39" hidden="1" x14ac:dyDescent="0.45">
      <c r="A645">
        <v>42</v>
      </c>
      <c r="B645" t="s">
        <v>43</v>
      </c>
      <c r="C645" t="s">
        <v>64</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_xlfn.IFS(Table1[[#This Row],[Age]]&lt;30,"Young",Table1[[#This Row],[Age]]&lt;=40,"Adult",Table1[[#This Row],[Age]]&gt;40,"Senior")</f>
        <v>Senior</v>
      </c>
      <c r="AK645" t="str" cm="1">
        <f t="array" ref="AK645">_xlfn.IFS(Table1[[#This Row],[MonthlyIncome]]&lt;5000,"Low",Table1[[#This Row],[MonthlyIncome]]&lt;10000,"Medium",Table1[[#This Row],[MonthlyIncome]]&gt;10000,"High")</f>
        <v>Medium</v>
      </c>
      <c r="AL645" t="str" cm="1">
        <f t="array" ref="AL645">_xlfn.IFS(Table1[[#This Row],[Attrition]]="Yes","Resigned",Table1[[#This Row],[Attrition]]="No","Active")</f>
        <v>Active</v>
      </c>
      <c r="AM645" t="str" cm="1">
        <f t="array" ref="AM645">_xlfn.IFS(Table1[[#This Row],[YearsAtCompany]]&lt;=1,"0-1 Year",Table1[[#This Row],[YearsAtCompany]]&lt;=2,"1-2 Years",Table1[[#This Row],[YearsAtCompany]]&lt;=3,"2-3 Years",Table1[[#This Row],[YearsAtCompany]]&lt;=4,"3-4 Years",Table1[[#This Row],[YearsAtCompany]]&lt;=5,"4-5 Years",Table1[[#This Row],[YearsAtCompany]]&gt;5,"&gt;5 Years")</f>
        <v>4-5 Years</v>
      </c>
    </row>
    <row r="646" spans="1:39" hidden="1" x14ac:dyDescent="0.45">
      <c r="A646">
        <v>31</v>
      </c>
      <c r="B646" t="s">
        <v>43</v>
      </c>
      <c r="C646" t="s">
        <v>64</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_xlfn.IFS(Table1[[#This Row],[Age]]&lt;30,"Young",Table1[[#This Row],[Age]]&lt;=40,"Adult",Table1[[#This Row],[Age]]&gt;40,"Senior")</f>
        <v>Adult</v>
      </c>
      <c r="AK646" t="str" cm="1">
        <f t="array" ref="AK646">_xlfn.IFS(Table1[[#This Row],[MonthlyIncome]]&lt;5000,"Low",Table1[[#This Row],[MonthlyIncome]]&lt;10000,"Medium",Table1[[#This Row],[MonthlyIncome]]&gt;10000,"High")</f>
        <v>Low</v>
      </c>
      <c r="AL646" t="str" cm="1">
        <f t="array" ref="AL646">_xlfn.IFS(Table1[[#This Row],[Attrition]]="Yes","Resigned",Table1[[#This Row],[Attrition]]="No","Active")</f>
        <v>Active</v>
      </c>
      <c r="AM646" t="str" cm="1">
        <f t="array" ref="AM646">_xlfn.IFS(Table1[[#This Row],[YearsAtCompany]]&lt;=1,"0-1 Year",Table1[[#This Row],[YearsAtCompany]]&lt;=2,"1-2 Years",Table1[[#This Row],[YearsAtCompany]]&lt;=3,"2-3 Years",Table1[[#This Row],[YearsAtCompany]]&lt;=4,"3-4 Years",Table1[[#This Row],[YearsAtCompany]]&lt;=5,"4-5 Years",Table1[[#This Row],[YearsAtCompany]]&gt;5,"&gt;5 Years")</f>
        <v>&gt;5 Years</v>
      </c>
    </row>
    <row r="647" spans="1:39" x14ac:dyDescent="0.45">
      <c r="A647">
        <v>29</v>
      </c>
      <c r="B647" t="s">
        <v>35</v>
      </c>
      <c r="C647" t="s">
        <v>64</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_xlfn.IFS(Table1[[#This Row],[Age]]&lt;30,"Young",Table1[[#This Row],[Age]]&lt;=40,"Adult",Table1[[#This Row],[Age]]&gt;40,"Senior")</f>
        <v>Young</v>
      </c>
      <c r="AK647" t="str" cm="1">
        <f t="array" ref="AK647">_xlfn.IFS(Table1[[#This Row],[MonthlyIncome]]&lt;5000,"Low",Table1[[#This Row],[MonthlyIncome]]&lt;10000,"Medium",Table1[[#This Row],[MonthlyIncome]]&gt;10000,"High")</f>
        <v>Low</v>
      </c>
      <c r="AL647" t="str" cm="1">
        <f t="array" ref="AL647">_xlfn.IFS(Table1[[#This Row],[Attrition]]="Yes","Resigned",Table1[[#This Row],[Attrition]]="No","Active")</f>
        <v>Resigned</v>
      </c>
      <c r="AM647" t="str" cm="1">
        <f t="array" ref="AM647">_xlfn.IFS(Table1[[#This Row],[YearsAtCompany]]&lt;=1,"0-1 Year",Table1[[#This Row],[YearsAtCompany]]&lt;=2,"1-2 Years",Table1[[#This Row],[YearsAtCompany]]&lt;=3,"2-3 Years",Table1[[#This Row],[YearsAtCompany]]&lt;=4,"3-4 Years",Table1[[#This Row],[YearsAtCompany]]&lt;=5,"4-5 Years",Table1[[#This Row],[YearsAtCompany]]&gt;5,"&gt;5 Years")</f>
        <v>2-3 Years</v>
      </c>
    </row>
    <row r="648" spans="1:39" x14ac:dyDescent="0.45">
      <c r="A648">
        <v>53</v>
      </c>
      <c r="B648" t="s">
        <v>43</v>
      </c>
      <c r="C648" t="s">
        <v>64</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_xlfn.IFS(Table1[[#This Row],[Age]]&lt;30,"Young",Table1[[#This Row],[Age]]&lt;=40,"Adult",Table1[[#This Row],[Age]]&gt;40,"Senior")</f>
        <v>Senior</v>
      </c>
      <c r="AK648" t="str" cm="1">
        <f t="array" ref="AK648">_xlfn.IFS(Table1[[#This Row],[MonthlyIncome]]&lt;5000,"Low",Table1[[#This Row],[MonthlyIncome]]&lt;10000,"Medium",Table1[[#This Row],[MonthlyIncome]]&gt;10000,"High")</f>
        <v>High</v>
      </c>
      <c r="AL648" t="str" cm="1">
        <f t="array" ref="AL648">_xlfn.IFS(Table1[[#This Row],[Attrition]]="Yes","Resigned",Table1[[#This Row],[Attrition]]="No","Active")</f>
        <v>Active</v>
      </c>
      <c r="AM648" t="str" cm="1">
        <f t="array" ref="AM648">_xlfn.IFS(Table1[[#This Row],[YearsAtCompany]]&lt;=1,"0-1 Year",Table1[[#This Row],[YearsAtCompany]]&lt;=2,"1-2 Years",Table1[[#This Row],[YearsAtCompany]]&lt;=3,"2-3 Years",Table1[[#This Row],[YearsAtCompany]]&lt;=4,"3-4 Years",Table1[[#This Row],[YearsAtCompany]]&lt;=5,"4-5 Years",Table1[[#This Row],[YearsAtCompany]]&gt;5,"&gt;5 Years")</f>
        <v>1-2 Years</v>
      </c>
    </row>
    <row r="649" spans="1:39" hidden="1" x14ac:dyDescent="0.45">
      <c r="A649">
        <v>35</v>
      </c>
      <c r="B649" t="s">
        <v>43</v>
      </c>
      <c r="C649" t="s">
        <v>64</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_xlfn.IFS(Table1[[#This Row],[Age]]&lt;30,"Young",Table1[[#This Row],[Age]]&lt;=40,"Adult",Table1[[#This Row],[Age]]&gt;40,"Senior")</f>
        <v>Adult</v>
      </c>
      <c r="AK649" t="str" cm="1">
        <f t="array" ref="AK649">_xlfn.IFS(Table1[[#This Row],[MonthlyIncome]]&lt;5000,"Low",Table1[[#This Row],[MonthlyIncome]]&lt;10000,"Medium",Table1[[#This Row],[MonthlyIncome]]&gt;10000,"High")</f>
        <v>High</v>
      </c>
      <c r="AL649" t="str" cm="1">
        <f t="array" ref="AL649">_xlfn.IFS(Table1[[#This Row],[Attrition]]="Yes","Resigned",Table1[[#This Row],[Attrition]]="No","Active")</f>
        <v>Active</v>
      </c>
      <c r="AM649" t="str" cm="1">
        <f t="array" ref="AM649">_xlfn.IFS(Table1[[#This Row],[YearsAtCompany]]&lt;=1,"0-1 Year",Table1[[#This Row],[YearsAtCompany]]&lt;=2,"1-2 Years",Table1[[#This Row],[YearsAtCompany]]&lt;=3,"2-3 Years",Table1[[#This Row],[YearsAtCompany]]&lt;=4,"3-4 Years",Table1[[#This Row],[YearsAtCompany]]&lt;=5,"4-5 Years",Table1[[#This Row],[YearsAtCompany]]&gt;5,"&gt;5 Years")</f>
        <v>&gt;5 Years</v>
      </c>
    </row>
    <row r="650" spans="1:39" x14ac:dyDescent="0.45">
      <c r="A650">
        <v>37</v>
      </c>
      <c r="B650" t="s">
        <v>43</v>
      </c>
      <c r="C650" t="s">
        <v>63</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_xlfn.IFS(Table1[[#This Row],[Age]]&lt;30,"Young",Table1[[#This Row],[Age]]&lt;=40,"Adult",Table1[[#This Row],[Age]]&gt;40,"Senior")</f>
        <v>Adult</v>
      </c>
      <c r="AK650" t="str" cm="1">
        <f t="array" ref="AK650">_xlfn.IFS(Table1[[#This Row],[MonthlyIncome]]&lt;5000,"Low",Table1[[#This Row],[MonthlyIncome]]&lt;10000,"Medium",Table1[[#This Row],[MonthlyIncome]]&gt;10000,"High")</f>
        <v>Low</v>
      </c>
      <c r="AL650" t="str" cm="1">
        <f t="array" ref="AL650">_xlfn.IFS(Table1[[#This Row],[Attrition]]="Yes","Resigned",Table1[[#This Row],[Attrition]]="No","Active")</f>
        <v>Active</v>
      </c>
      <c r="AM650" t="str" cm="1">
        <f t="array" ref="AM650">_xlfn.IFS(Table1[[#This Row],[YearsAtCompany]]&lt;=1,"0-1 Year",Table1[[#This Row],[YearsAtCompany]]&lt;=2,"1-2 Years",Table1[[#This Row],[YearsAtCompany]]&lt;=3,"2-3 Years",Table1[[#This Row],[YearsAtCompany]]&lt;=4,"3-4 Years",Table1[[#This Row],[YearsAtCompany]]&lt;=5,"4-5 Years",Table1[[#This Row],[YearsAtCompany]]&gt;5,"&gt;5 Years")</f>
        <v>4-5 Years</v>
      </c>
    </row>
    <row r="651" spans="1:39" hidden="1" x14ac:dyDescent="0.45">
      <c r="A651">
        <v>53</v>
      </c>
      <c r="B651" t="s">
        <v>43</v>
      </c>
      <c r="C651" t="s">
        <v>64</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_xlfn.IFS(Table1[[#This Row],[Age]]&lt;30,"Young",Table1[[#This Row],[Age]]&lt;=40,"Adult",Table1[[#This Row],[Age]]&gt;40,"Senior")</f>
        <v>Senior</v>
      </c>
      <c r="AK651" t="str" cm="1">
        <f t="array" ref="AK651">_xlfn.IFS(Table1[[#This Row],[MonthlyIncome]]&lt;5000,"Low",Table1[[#This Row],[MonthlyIncome]]&lt;10000,"Medium",Table1[[#This Row],[MonthlyIncome]]&gt;10000,"High")</f>
        <v>High</v>
      </c>
      <c r="AL651" t="str" cm="1">
        <f t="array" ref="AL651">_xlfn.IFS(Table1[[#This Row],[Attrition]]="Yes","Resigned",Table1[[#This Row],[Attrition]]="No","Active")</f>
        <v>Active</v>
      </c>
      <c r="AM651" t="str" cm="1">
        <f t="array" ref="AM651">_xlfn.IFS(Table1[[#This Row],[YearsAtCompany]]&lt;=1,"0-1 Year",Table1[[#This Row],[YearsAtCompany]]&lt;=2,"1-2 Years",Table1[[#This Row],[YearsAtCompany]]&lt;=3,"2-3 Years",Table1[[#This Row],[YearsAtCompany]]&lt;=4,"3-4 Years",Table1[[#This Row],[YearsAtCompany]]&lt;=5,"4-5 Years",Table1[[#This Row],[YearsAtCompany]]&gt;5,"&gt;5 Years")</f>
        <v>&gt;5 Years</v>
      </c>
    </row>
    <row r="652" spans="1:39" hidden="1" x14ac:dyDescent="0.45">
      <c r="A652">
        <v>43</v>
      </c>
      <c r="B652" t="s">
        <v>43</v>
      </c>
      <c r="C652" t="s">
        <v>63</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_xlfn.IFS(Table1[[#This Row],[Age]]&lt;30,"Young",Table1[[#This Row],[Age]]&lt;=40,"Adult",Table1[[#This Row],[Age]]&gt;40,"Senior")</f>
        <v>Senior</v>
      </c>
      <c r="AK652" t="str" cm="1">
        <f t="array" ref="AK652">_xlfn.IFS(Table1[[#This Row],[MonthlyIncome]]&lt;5000,"Low",Table1[[#This Row],[MonthlyIncome]]&lt;10000,"Medium",Table1[[#This Row],[MonthlyIncome]]&gt;10000,"High")</f>
        <v>Medium</v>
      </c>
      <c r="AL652" t="str" cm="1">
        <f t="array" ref="AL652">_xlfn.IFS(Table1[[#This Row],[Attrition]]="Yes","Resigned",Table1[[#This Row],[Attrition]]="No","Active")</f>
        <v>Active</v>
      </c>
      <c r="AM652" t="str" cm="1">
        <f t="array" ref="AM652">_xlfn.IFS(Table1[[#This Row],[YearsAtCompany]]&lt;=1,"0-1 Year",Table1[[#This Row],[YearsAtCompany]]&lt;=2,"1-2 Years",Table1[[#This Row],[YearsAtCompany]]&lt;=3,"2-3 Years",Table1[[#This Row],[YearsAtCompany]]&lt;=4,"3-4 Years",Table1[[#This Row],[YearsAtCompany]]&lt;=5,"4-5 Years",Table1[[#This Row],[YearsAtCompany]]&gt;5,"&gt;5 Years")</f>
        <v>4-5 Years</v>
      </c>
    </row>
    <row r="653" spans="1:39" x14ac:dyDescent="0.45">
      <c r="A653">
        <v>47</v>
      </c>
      <c r="B653" t="s">
        <v>43</v>
      </c>
      <c r="C653" t="s">
        <v>64</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_xlfn.IFS(Table1[[#This Row],[Age]]&lt;30,"Young",Table1[[#This Row],[Age]]&lt;=40,"Adult",Table1[[#This Row],[Age]]&gt;40,"Senior")</f>
        <v>Senior</v>
      </c>
      <c r="AK653" t="str" cm="1">
        <f t="array" ref="AK653">_xlfn.IFS(Table1[[#This Row],[MonthlyIncome]]&lt;5000,"Low",Table1[[#This Row],[MonthlyIncome]]&lt;10000,"Medium",Table1[[#This Row],[MonthlyIncome]]&gt;10000,"High")</f>
        <v>Low</v>
      </c>
      <c r="AL653" t="str" cm="1">
        <f t="array" ref="AL653">_xlfn.IFS(Table1[[#This Row],[Attrition]]="Yes","Resigned",Table1[[#This Row],[Attrition]]="No","Active")</f>
        <v>Active</v>
      </c>
      <c r="AM653" t="str" cm="1">
        <f t="array" ref="AM653">_xlfn.IFS(Table1[[#This Row],[YearsAtCompany]]&lt;=1,"0-1 Year",Table1[[#This Row],[YearsAtCompany]]&lt;=2,"1-2 Years",Table1[[#This Row],[YearsAtCompany]]&lt;=3,"2-3 Years",Table1[[#This Row],[YearsAtCompany]]&lt;=4,"3-4 Years",Table1[[#This Row],[YearsAtCompany]]&lt;=5,"4-5 Years",Table1[[#This Row],[YearsAtCompany]]&gt;5,"&gt;5 Years")</f>
        <v>&gt;5 Years</v>
      </c>
    </row>
    <row r="654" spans="1:39" x14ac:dyDescent="0.45">
      <c r="A654">
        <v>37</v>
      </c>
      <c r="B654" t="s">
        <v>43</v>
      </c>
      <c r="C654" t="s">
        <v>62</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_xlfn.IFS(Table1[[#This Row],[Age]]&lt;30,"Young",Table1[[#This Row],[Age]]&lt;=40,"Adult",Table1[[#This Row],[Age]]&gt;40,"Senior")</f>
        <v>Adult</v>
      </c>
      <c r="AK654" t="str" cm="1">
        <f t="array" ref="AK654">_xlfn.IFS(Table1[[#This Row],[MonthlyIncome]]&lt;5000,"Low",Table1[[#This Row],[MonthlyIncome]]&lt;10000,"Medium",Table1[[#This Row],[MonthlyIncome]]&gt;10000,"High")</f>
        <v>Medium</v>
      </c>
      <c r="AL654" t="str" cm="1">
        <f t="array" ref="AL654">_xlfn.IFS(Table1[[#This Row],[Attrition]]="Yes","Resigned",Table1[[#This Row],[Attrition]]="No","Active")</f>
        <v>Active</v>
      </c>
      <c r="AM654" t="str" cm="1">
        <f t="array" ref="AM654">_xlfn.IFS(Table1[[#This Row],[YearsAtCompany]]&lt;=1,"0-1 Year",Table1[[#This Row],[YearsAtCompany]]&lt;=2,"1-2 Years",Table1[[#This Row],[YearsAtCompany]]&lt;=3,"2-3 Years",Table1[[#This Row],[YearsAtCompany]]&lt;=4,"3-4 Years",Table1[[#This Row],[YearsAtCompany]]&lt;=5,"4-5 Years",Table1[[#This Row],[YearsAtCompany]]&gt;5,"&gt;5 Years")</f>
        <v>&gt;5 Years</v>
      </c>
    </row>
    <row r="655" spans="1:39" hidden="1" x14ac:dyDescent="0.45">
      <c r="A655">
        <v>50</v>
      </c>
      <c r="B655" t="s">
        <v>43</v>
      </c>
      <c r="C655" t="s">
        <v>62</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_xlfn.IFS(Table1[[#This Row],[Age]]&lt;30,"Young",Table1[[#This Row],[Age]]&lt;=40,"Adult",Table1[[#This Row],[Age]]&gt;40,"Senior")</f>
        <v>Senior</v>
      </c>
      <c r="AK655" t="str" cm="1">
        <f t="array" ref="AK655">_xlfn.IFS(Table1[[#This Row],[MonthlyIncome]]&lt;5000,"Low",Table1[[#This Row],[MonthlyIncome]]&lt;10000,"Medium",Table1[[#This Row],[MonthlyIncome]]&gt;10000,"High")</f>
        <v>High</v>
      </c>
      <c r="AL655" t="str" cm="1">
        <f t="array" ref="AL655">_xlfn.IFS(Table1[[#This Row],[Attrition]]="Yes","Resigned",Table1[[#This Row],[Attrition]]="No","Active")</f>
        <v>Active</v>
      </c>
      <c r="AM655" t="str" cm="1">
        <f t="array" ref="AM655">_xlfn.IFS(Table1[[#This Row],[YearsAtCompany]]&lt;=1,"0-1 Year",Table1[[#This Row],[YearsAtCompany]]&lt;=2,"1-2 Years",Table1[[#This Row],[YearsAtCompany]]&lt;=3,"2-3 Years",Table1[[#This Row],[YearsAtCompany]]&lt;=4,"3-4 Years",Table1[[#This Row],[YearsAtCompany]]&lt;=5,"4-5 Years",Table1[[#This Row],[YearsAtCompany]]&gt;5,"&gt;5 Years")</f>
        <v>&gt;5 Years</v>
      </c>
    </row>
    <row r="656" spans="1:39" hidden="1" x14ac:dyDescent="0.45">
      <c r="A656">
        <v>39</v>
      </c>
      <c r="B656" t="s">
        <v>43</v>
      </c>
      <c r="C656" t="s">
        <v>64</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_xlfn.IFS(Table1[[#This Row],[Age]]&lt;30,"Young",Table1[[#This Row],[Age]]&lt;=40,"Adult",Table1[[#This Row],[Age]]&gt;40,"Senior")</f>
        <v>Adult</v>
      </c>
      <c r="AK656" t="str" cm="1">
        <f t="array" ref="AK656">_xlfn.IFS(Table1[[#This Row],[MonthlyIncome]]&lt;5000,"Low",Table1[[#This Row],[MonthlyIncome]]&lt;10000,"Medium",Table1[[#This Row],[MonthlyIncome]]&gt;10000,"High")</f>
        <v>Medium</v>
      </c>
      <c r="AL656" t="str" cm="1">
        <f t="array" ref="AL656">_xlfn.IFS(Table1[[#This Row],[Attrition]]="Yes","Resigned",Table1[[#This Row],[Attrition]]="No","Active")</f>
        <v>Active</v>
      </c>
      <c r="AM656" t="str" cm="1">
        <f t="array" ref="AM656">_xlfn.IFS(Table1[[#This Row],[YearsAtCompany]]&lt;=1,"0-1 Year",Table1[[#This Row],[YearsAtCompany]]&lt;=2,"1-2 Years",Table1[[#This Row],[YearsAtCompany]]&lt;=3,"2-3 Years",Table1[[#This Row],[YearsAtCompany]]&lt;=4,"3-4 Years",Table1[[#This Row],[YearsAtCompany]]&lt;=5,"4-5 Years",Table1[[#This Row],[YearsAtCompany]]&gt;5,"&gt;5 Years")</f>
        <v>4-5 Years</v>
      </c>
    </row>
    <row r="657" spans="1:39" hidden="1" x14ac:dyDescent="0.45">
      <c r="A657">
        <v>33</v>
      </c>
      <c r="B657" t="s">
        <v>43</v>
      </c>
      <c r="C657" t="s">
        <v>64</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_xlfn.IFS(Table1[[#This Row],[Age]]&lt;30,"Young",Table1[[#This Row],[Age]]&lt;=40,"Adult",Table1[[#This Row],[Age]]&gt;40,"Senior")</f>
        <v>Adult</v>
      </c>
      <c r="AK657" t="str" cm="1">
        <f t="array" ref="AK657">_xlfn.IFS(Table1[[#This Row],[MonthlyIncome]]&lt;5000,"Low",Table1[[#This Row],[MonthlyIncome]]&lt;10000,"Medium",Table1[[#This Row],[MonthlyIncome]]&gt;10000,"High")</f>
        <v>Low</v>
      </c>
      <c r="AL657" t="str" cm="1">
        <f t="array" ref="AL657">_xlfn.IFS(Table1[[#This Row],[Attrition]]="Yes","Resigned",Table1[[#This Row],[Attrition]]="No","Active")</f>
        <v>Active</v>
      </c>
      <c r="AM657" t="str" cm="1">
        <f t="array" ref="AM657">_xlfn.IFS(Table1[[#This Row],[YearsAtCompany]]&lt;=1,"0-1 Year",Table1[[#This Row],[YearsAtCompany]]&lt;=2,"1-2 Years",Table1[[#This Row],[YearsAtCompany]]&lt;=3,"2-3 Years",Table1[[#This Row],[YearsAtCompany]]&lt;=4,"3-4 Years",Table1[[#This Row],[YearsAtCompany]]&lt;=5,"4-5 Years",Table1[[#This Row],[YearsAtCompany]]&gt;5,"&gt;5 Years")</f>
        <v>3-4 Years</v>
      </c>
    </row>
    <row r="658" spans="1:39" hidden="1" x14ac:dyDescent="0.45">
      <c r="A658">
        <v>32</v>
      </c>
      <c r="B658" t="s">
        <v>35</v>
      </c>
      <c r="C658" t="s">
        <v>64</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_xlfn.IFS(Table1[[#This Row],[Age]]&lt;30,"Young",Table1[[#This Row],[Age]]&lt;=40,"Adult",Table1[[#This Row],[Age]]&gt;40,"Senior")</f>
        <v>Adult</v>
      </c>
      <c r="AK658" t="str" cm="1">
        <f t="array" ref="AK658">_xlfn.IFS(Table1[[#This Row],[MonthlyIncome]]&lt;5000,"Low",Table1[[#This Row],[MonthlyIncome]]&lt;10000,"Medium",Table1[[#This Row],[MonthlyIncome]]&gt;10000,"High")</f>
        <v>Low</v>
      </c>
      <c r="AL658" t="str" cm="1">
        <f t="array" ref="AL658">_xlfn.IFS(Table1[[#This Row],[Attrition]]="Yes","Resigned",Table1[[#This Row],[Attrition]]="No","Active")</f>
        <v>Resigned</v>
      </c>
      <c r="AM658" t="str" cm="1">
        <f t="array" ref="AM658">_xlfn.IFS(Table1[[#This Row],[YearsAtCompany]]&lt;=1,"0-1 Year",Table1[[#This Row],[YearsAtCompany]]&lt;=2,"1-2 Years",Table1[[#This Row],[YearsAtCompany]]&lt;=3,"2-3 Years",Table1[[#This Row],[YearsAtCompany]]&lt;=4,"3-4 Years",Table1[[#This Row],[YearsAtCompany]]&lt;=5,"4-5 Years",Table1[[#This Row],[YearsAtCompany]]&gt;5,"&gt;5 Years")</f>
        <v>0-1 Year</v>
      </c>
    </row>
    <row r="659" spans="1:39" hidden="1" x14ac:dyDescent="0.45">
      <c r="A659">
        <v>29</v>
      </c>
      <c r="B659" t="s">
        <v>43</v>
      </c>
      <c r="C659" t="s">
        <v>64</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_xlfn.IFS(Table1[[#This Row],[Age]]&lt;30,"Young",Table1[[#This Row],[Age]]&lt;=40,"Adult",Table1[[#This Row],[Age]]&gt;40,"Senior")</f>
        <v>Young</v>
      </c>
      <c r="AK659" t="str" cm="1">
        <f t="array" ref="AK659">_xlfn.IFS(Table1[[#This Row],[MonthlyIncome]]&lt;5000,"Low",Table1[[#This Row],[MonthlyIncome]]&lt;10000,"Medium",Table1[[#This Row],[MonthlyIncome]]&gt;10000,"High")</f>
        <v>Low</v>
      </c>
      <c r="AL659" t="str" cm="1">
        <f t="array" ref="AL659">_xlfn.IFS(Table1[[#This Row],[Attrition]]="Yes","Resigned",Table1[[#This Row],[Attrition]]="No","Active")</f>
        <v>Active</v>
      </c>
      <c r="AM659" t="str" cm="1">
        <f t="array" ref="AM659">_xlfn.IFS(Table1[[#This Row],[YearsAtCompany]]&lt;=1,"0-1 Year",Table1[[#This Row],[YearsAtCompany]]&lt;=2,"1-2 Years",Table1[[#This Row],[YearsAtCompany]]&lt;=3,"2-3 Years",Table1[[#This Row],[YearsAtCompany]]&lt;=4,"3-4 Years",Table1[[#This Row],[YearsAtCompany]]&lt;=5,"4-5 Years",Table1[[#This Row],[YearsAtCompany]]&gt;5,"&gt;5 Years")</f>
        <v>3-4 Years</v>
      </c>
    </row>
    <row r="660" spans="1:39" hidden="1" x14ac:dyDescent="0.45">
      <c r="A660">
        <v>44</v>
      </c>
      <c r="B660" t="s">
        <v>43</v>
      </c>
      <c r="C660" t="s">
        <v>64</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_xlfn.IFS(Table1[[#This Row],[Age]]&lt;30,"Young",Table1[[#This Row],[Age]]&lt;=40,"Adult",Table1[[#This Row],[Age]]&gt;40,"Senior")</f>
        <v>Senior</v>
      </c>
      <c r="AK660" t="str" cm="1">
        <f t="array" ref="AK660">_xlfn.IFS(Table1[[#This Row],[MonthlyIncome]]&lt;5000,"Low",Table1[[#This Row],[MonthlyIncome]]&lt;10000,"Medium",Table1[[#This Row],[MonthlyIncome]]&gt;10000,"High")</f>
        <v>Low</v>
      </c>
      <c r="AL660" t="str" cm="1">
        <f t="array" ref="AL660">_xlfn.IFS(Table1[[#This Row],[Attrition]]="Yes","Resigned",Table1[[#This Row],[Attrition]]="No","Active")</f>
        <v>Active</v>
      </c>
      <c r="AM660" t="str" cm="1">
        <f t="array" ref="AM660">_xlfn.IFS(Table1[[#This Row],[YearsAtCompany]]&lt;=1,"0-1 Year",Table1[[#This Row],[YearsAtCompany]]&lt;=2,"1-2 Years",Table1[[#This Row],[YearsAtCompany]]&lt;=3,"2-3 Years",Table1[[#This Row],[YearsAtCompany]]&lt;=4,"3-4 Years",Table1[[#This Row],[YearsAtCompany]]&lt;=5,"4-5 Years",Table1[[#This Row],[YearsAtCompany]]&gt;5,"&gt;5 Years")</f>
        <v>&gt;5 Years</v>
      </c>
    </row>
    <row r="661" spans="1:39" x14ac:dyDescent="0.45">
      <c r="A661">
        <v>28</v>
      </c>
      <c r="B661" t="s">
        <v>43</v>
      </c>
      <c r="C661" t="s">
        <v>64</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_xlfn.IFS(Table1[[#This Row],[Age]]&lt;30,"Young",Table1[[#This Row],[Age]]&lt;=40,"Adult",Table1[[#This Row],[Age]]&gt;40,"Senior")</f>
        <v>Young</v>
      </c>
      <c r="AK661" t="str" cm="1">
        <f t="array" ref="AK661">_xlfn.IFS(Table1[[#This Row],[MonthlyIncome]]&lt;5000,"Low",Table1[[#This Row],[MonthlyIncome]]&lt;10000,"Medium",Table1[[#This Row],[MonthlyIncome]]&gt;10000,"High")</f>
        <v>Low</v>
      </c>
      <c r="AL661" t="str" cm="1">
        <f t="array" ref="AL661">_xlfn.IFS(Table1[[#This Row],[Attrition]]="Yes","Resigned",Table1[[#This Row],[Attrition]]="No","Active")</f>
        <v>Active</v>
      </c>
      <c r="AM661" t="str" cm="1">
        <f t="array" ref="AM661">_xlfn.IFS(Table1[[#This Row],[YearsAtCompany]]&lt;=1,"0-1 Year",Table1[[#This Row],[YearsAtCompany]]&lt;=2,"1-2 Years",Table1[[#This Row],[YearsAtCompany]]&lt;=3,"2-3 Years",Table1[[#This Row],[YearsAtCompany]]&lt;=4,"3-4 Years",Table1[[#This Row],[YearsAtCompany]]&lt;=5,"4-5 Years",Table1[[#This Row],[YearsAtCompany]]&gt;5,"&gt;5 Years")</f>
        <v>3-4 Years</v>
      </c>
    </row>
    <row r="662" spans="1:39" hidden="1" x14ac:dyDescent="0.45">
      <c r="A662">
        <v>58</v>
      </c>
      <c r="B662" t="s">
        <v>35</v>
      </c>
      <c r="C662" t="s">
        <v>63</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_xlfn.IFS(Table1[[#This Row],[Age]]&lt;30,"Young",Table1[[#This Row],[Age]]&lt;=40,"Adult",Table1[[#This Row],[Age]]&gt;40,"Senior")</f>
        <v>Senior</v>
      </c>
      <c r="AK662" t="str" cm="1">
        <f t="array" ref="AK662">_xlfn.IFS(Table1[[#This Row],[MonthlyIncome]]&lt;5000,"Low",Table1[[#This Row],[MonthlyIncome]]&lt;10000,"Medium",Table1[[#This Row],[MonthlyIncome]]&gt;10000,"High")</f>
        <v>Low</v>
      </c>
      <c r="AL662" t="str" cm="1">
        <f t="array" ref="AL662">_xlfn.IFS(Table1[[#This Row],[Attrition]]="Yes","Resigned",Table1[[#This Row],[Attrition]]="No","Active")</f>
        <v>Resigned</v>
      </c>
      <c r="AM662" t="str" cm="1">
        <f t="array" ref="AM662">_xlfn.IFS(Table1[[#This Row],[YearsAtCompany]]&lt;=1,"0-1 Year",Table1[[#This Row],[YearsAtCompany]]&lt;=2,"1-2 Years",Table1[[#This Row],[YearsAtCompany]]&lt;=3,"2-3 Years",Table1[[#This Row],[YearsAtCompany]]&lt;=4,"3-4 Years",Table1[[#This Row],[YearsAtCompany]]&lt;=5,"4-5 Years",Table1[[#This Row],[YearsAtCompany]]&gt;5,"&gt;5 Years")</f>
        <v>0-1 Year</v>
      </c>
    </row>
    <row r="663" spans="1:39" hidden="1" x14ac:dyDescent="0.45">
      <c r="A663">
        <v>43</v>
      </c>
      <c r="B663" t="s">
        <v>43</v>
      </c>
      <c r="C663" t="s">
        <v>64</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_xlfn.IFS(Table1[[#This Row],[Age]]&lt;30,"Young",Table1[[#This Row],[Age]]&lt;=40,"Adult",Table1[[#This Row],[Age]]&gt;40,"Senior")</f>
        <v>Senior</v>
      </c>
      <c r="AK663" t="str" cm="1">
        <f t="array" ref="AK663">_xlfn.IFS(Table1[[#This Row],[MonthlyIncome]]&lt;5000,"Low",Table1[[#This Row],[MonthlyIncome]]&lt;10000,"Medium",Table1[[#This Row],[MonthlyIncome]]&gt;10000,"High")</f>
        <v>Low</v>
      </c>
      <c r="AL663" t="str" cm="1">
        <f t="array" ref="AL663">_xlfn.IFS(Table1[[#This Row],[Attrition]]="Yes","Resigned",Table1[[#This Row],[Attrition]]="No","Active")</f>
        <v>Active</v>
      </c>
      <c r="AM663" t="str" cm="1">
        <f t="array" ref="AM663">_xlfn.IFS(Table1[[#This Row],[YearsAtCompany]]&lt;=1,"0-1 Year",Table1[[#This Row],[YearsAtCompany]]&lt;=2,"1-2 Years",Table1[[#This Row],[YearsAtCompany]]&lt;=3,"2-3 Years",Table1[[#This Row],[YearsAtCompany]]&lt;=4,"3-4 Years",Table1[[#This Row],[YearsAtCompany]]&lt;=5,"4-5 Years",Table1[[#This Row],[YearsAtCompany]]&gt;5,"&gt;5 Years")</f>
        <v>0-1 Year</v>
      </c>
    </row>
    <row r="664" spans="1:39" x14ac:dyDescent="0.45">
      <c r="A664">
        <v>20</v>
      </c>
      <c r="B664" t="s">
        <v>35</v>
      </c>
      <c r="C664" t="s">
        <v>64</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_xlfn.IFS(Table1[[#This Row],[Age]]&lt;30,"Young",Table1[[#This Row],[Age]]&lt;=40,"Adult",Table1[[#This Row],[Age]]&gt;40,"Senior")</f>
        <v>Young</v>
      </c>
      <c r="AK664" t="str" cm="1">
        <f t="array" ref="AK664">_xlfn.IFS(Table1[[#This Row],[MonthlyIncome]]&lt;5000,"Low",Table1[[#This Row],[MonthlyIncome]]&lt;10000,"Medium",Table1[[#This Row],[MonthlyIncome]]&gt;10000,"High")</f>
        <v>Low</v>
      </c>
      <c r="AL664" t="str" cm="1">
        <f t="array" ref="AL664">_xlfn.IFS(Table1[[#This Row],[Attrition]]="Yes","Resigned",Table1[[#This Row],[Attrition]]="No","Active")</f>
        <v>Resigned</v>
      </c>
      <c r="AM664" t="str" cm="1">
        <f t="array" ref="AM664">_xlfn.IFS(Table1[[#This Row],[YearsAtCompany]]&lt;=1,"0-1 Year",Table1[[#This Row],[YearsAtCompany]]&lt;=2,"1-2 Years",Table1[[#This Row],[YearsAtCompany]]&lt;=3,"2-3 Years",Table1[[#This Row],[YearsAtCompany]]&lt;=4,"3-4 Years",Table1[[#This Row],[YearsAtCompany]]&lt;=5,"4-5 Years",Table1[[#This Row],[YearsAtCompany]]&gt;5,"&gt;5 Years")</f>
        <v>1-2 Years</v>
      </c>
    </row>
    <row r="665" spans="1:39" hidden="1" x14ac:dyDescent="0.45">
      <c r="A665">
        <v>21</v>
      </c>
      <c r="B665" t="s">
        <v>35</v>
      </c>
      <c r="C665" t="s">
        <v>64</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_xlfn.IFS(Table1[[#This Row],[Age]]&lt;30,"Young",Table1[[#This Row],[Age]]&lt;=40,"Adult",Table1[[#This Row],[Age]]&gt;40,"Senior")</f>
        <v>Young</v>
      </c>
      <c r="AK665" t="str" cm="1">
        <f t="array" ref="AK665">_xlfn.IFS(Table1[[#This Row],[MonthlyIncome]]&lt;5000,"Low",Table1[[#This Row],[MonthlyIncome]]&lt;10000,"Medium",Table1[[#This Row],[MonthlyIncome]]&gt;10000,"High")</f>
        <v>Low</v>
      </c>
      <c r="AL665" t="str" cm="1">
        <f t="array" ref="AL665">_xlfn.IFS(Table1[[#This Row],[Attrition]]="Yes","Resigned",Table1[[#This Row],[Attrition]]="No","Active")</f>
        <v>Resigned</v>
      </c>
      <c r="AM665" t="str" cm="1">
        <f t="array" ref="AM665">_xlfn.IFS(Table1[[#This Row],[YearsAtCompany]]&lt;=1,"0-1 Year",Table1[[#This Row],[YearsAtCompany]]&lt;=2,"1-2 Years",Table1[[#This Row],[YearsAtCompany]]&lt;=3,"2-3 Years",Table1[[#This Row],[YearsAtCompany]]&lt;=4,"3-4 Years",Table1[[#This Row],[YearsAtCompany]]&lt;=5,"4-5 Years",Table1[[#This Row],[YearsAtCompany]]&gt;5,"&gt;5 Years")</f>
        <v>0-1 Year</v>
      </c>
    </row>
    <row r="666" spans="1:39" hidden="1" x14ac:dyDescent="0.45">
      <c r="A666">
        <v>36</v>
      </c>
      <c r="B666" t="s">
        <v>43</v>
      </c>
      <c r="C666" t="s">
        <v>64</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_xlfn.IFS(Table1[[#This Row],[Age]]&lt;30,"Young",Table1[[#This Row],[Age]]&lt;=40,"Adult",Table1[[#This Row],[Age]]&gt;40,"Senior")</f>
        <v>Adult</v>
      </c>
      <c r="AK666" t="str" cm="1">
        <f t="array" ref="AK666">_xlfn.IFS(Table1[[#This Row],[MonthlyIncome]]&lt;5000,"Low",Table1[[#This Row],[MonthlyIncome]]&lt;10000,"Medium",Table1[[#This Row],[MonthlyIncome]]&gt;10000,"High")</f>
        <v>Medium</v>
      </c>
      <c r="AL666" t="str" cm="1">
        <f t="array" ref="AL666">_xlfn.IFS(Table1[[#This Row],[Attrition]]="Yes","Resigned",Table1[[#This Row],[Attrition]]="No","Active")</f>
        <v>Active</v>
      </c>
      <c r="AM666" t="str" cm="1">
        <f t="array" ref="AM666">_xlfn.IFS(Table1[[#This Row],[YearsAtCompany]]&lt;=1,"0-1 Year",Table1[[#This Row],[YearsAtCompany]]&lt;=2,"1-2 Years",Table1[[#This Row],[YearsAtCompany]]&lt;=3,"2-3 Years",Table1[[#This Row],[YearsAtCompany]]&lt;=4,"3-4 Years",Table1[[#This Row],[YearsAtCompany]]&lt;=5,"4-5 Years",Table1[[#This Row],[YearsAtCompany]]&gt;5,"&gt;5 Years")</f>
        <v>&gt;5 Years</v>
      </c>
    </row>
    <row r="667" spans="1:39" x14ac:dyDescent="0.45">
      <c r="A667">
        <v>47</v>
      </c>
      <c r="B667" t="s">
        <v>43</v>
      </c>
      <c r="C667" t="s">
        <v>64</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_xlfn.IFS(Table1[[#This Row],[Age]]&lt;30,"Young",Table1[[#This Row],[Age]]&lt;=40,"Adult",Table1[[#This Row],[Age]]&gt;40,"Senior")</f>
        <v>Senior</v>
      </c>
      <c r="AK667" t="str" cm="1">
        <f t="array" ref="AK667">_xlfn.IFS(Table1[[#This Row],[MonthlyIncome]]&lt;5000,"Low",Table1[[#This Row],[MonthlyIncome]]&lt;10000,"Medium",Table1[[#This Row],[MonthlyIncome]]&gt;10000,"High")</f>
        <v>Low</v>
      </c>
      <c r="AL667" t="str" cm="1">
        <f t="array" ref="AL667">_xlfn.IFS(Table1[[#This Row],[Attrition]]="Yes","Resigned",Table1[[#This Row],[Attrition]]="No","Active")</f>
        <v>Active</v>
      </c>
      <c r="AM667" t="str" cm="1">
        <f t="array" ref="AM667">_xlfn.IFS(Table1[[#This Row],[YearsAtCompany]]&lt;=1,"0-1 Year",Table1[[#This Row],[YearsAtCompany]]&lt;=2,"1-2 Years",Table1[[#This Row],[YearsAtCompany]]&lt;=3,"2-3 Years",Table1[[#This Row],[YearsAtCompany]]&lt;=4,"3-4 Years",Table1[[#This Row],[YearsAtCompany]]&lt;=5,"4-5 Years",Table1[[#This Row],[YearsAtCompany]]&gt;5,"&gt;5 Years")</f>
        <v>2-3 Years</v>
      </c>
    </row>
    <row r="668" spans="1:39" hidden="1" x14ac:dyDescent="0.45">
      <c r="A668">
        <v>22</v>
      </c>
      <c r="B668" t="s">
        <v>35</v>
      </c>
      <c r="C668" t="s">
        <v>64</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_xlfn.IFS(Table1[[#This Row],[Age]]&lt;30,"Young",Table1[[#This Row],[Age]]&lt;=40,"Adult",Table1[[#This Row],[Age]]&gt;40,"Senior")</f>
        <v>Young</v>
      </c>
      <c r="AK668" t="str" cm="1">
        <f t="array" ref="AK668">_xlfn.IFS(Table1[[#This Row],[MonthlyIncome]]&lt;5000,"Low",Table1[[#This Row],[MonthlyIncome]]&lt;10000,"Medium",Table1[[#This Row],[MonthlyIncome]]&gt;10000,"High")</f>
        <v>Low</v>
      </c>
      <c r="AL668" t="str" cm="1">
        <f t="array" ref="AL668">_xlfn.IFS(Table1[[#This Row],[Attrition]]="Yes","Resigned",Table1[[#This Row],[Attrition]]="No","Active")</f>
        <v>Resigned</v>
      </c>
      <c r="AM668" t="str" cm="1">
        <f t="array" ref="AM668">_xlfn.IFS(Table1[[#This Row],[YearsAtCompany]]&lt;=1,"0-1 Year",Table1[[#This Row],[YearsAtCompany]]&lt;=2,"1-2 Years",Table1[[#This Row],[YearsAtCompany]]&lt;=3,"2-3 Years",Table1[[#This Row],[YearsAtCompany]]&lt;=4,"3-4 Years",Table1[[#This Row],[YearsAtCompany]]&lt;=5,"4-5 Years",Table1[[#This Row],[YearsAtCompany]]&gt;5,"&gt;5 Years")</f>
        <v>2-3 Years</v>
      </c>
    </row>
    <row r="669" spans="1:39" hidden="1" x14ac:dyDescent="0.45">
      <c r="A669">
        <v>41</v>
      </c>
      <c r="B669" t="s">
        <v>35</v>
      </c>
      <c r="C669" t="s">
        <v>64</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_xlfn.IFS(Table1[[#This Row],[Age]]&lt;30,"Young",Table1[[#This Row],[Age]]&lt;=40,"Adult",Table1[[#This Row],[Age]]&gt;40,"Senior")</f>
        <v>Senior</v>
      </c>
      <c r="AK669" t="str" cm="1">
        <f t="array" ref="AK669">_xlfn.IFS(Table1[[#This Row],[MonthlyIncome]]&lt;5000,"Low",Table1[[#This Row],[MonthlyIncome]]&lt;10000,"Medium",Table1[[#This Row],[MonthlyIncome]]&gt;10000,"High")</f>
        <v>Low</v>
      </c>
      <c r="AL669" t="str" cm="1">
        <f t="array" ref="AL669">_xlfn.IFS(Table1[[#This Row],[Attrition]]="Yes","Resigned",Table1[[#This Row],[Attrition]]="No","Active")</f>
        <v>Resigned</v>
      </c>
      <c r="AM669" t="str" cm="1">
        <f t="array" ref="AM669">_xlfn.IFS(Table1[[#This Row],[YearsAtCompany]]&lt;=1,"0-1 Year",Table1[[#This Row],[YearsAtCompany]]&lt;=2,"1-2 Years",Table1[[#This Row],[YearsAtCompany]]&lt;=3,"2-3 Years",Table1[[#This Row],[YearsAtCompany]]&lt;=4,"3-4 Years",Table1[[#This Row],[YearsAtCompany]]&lt;=5,"4-5 Years",Table1[[#This Row],[YearsAtCompany]]&gt;5,"&gt;5 Years")</f>
        <v>&gt;5 Years</v>
      </c>
    </row>
    <row r="670" spans="1:39" hidden="1" x14ac:dyDescent="0.45">
      <c r="A670">
        <v>28</v>
      </c>
      <c r="B670" t="s">
        <v>43</v>
      </c>
      <c r="C670" t="s">
        <v>64</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_xlfn.IFS(Table1[[#This Row],[Age]]&lt;30,"Young",Table1[[#This Row],[Age]]&lt;=40,"Adult",Table1[[#This Row],[Age]]&gt;40,"Senior")</f>
        <v>Young</v>
      </c>
      <c r="AK670" t="str" cm="1">
        <f t="array" ref="AK670">_xlfn.IFS(Table1[[#This Row],[MonthlyIncome]]&lt;5000,"Low",Table1[[#This Row],[MonthlyIncome]]&lt;10000,"Medium",Table1[[#This Row],[MonthlyIncome]]&gt;10000,"High")</f>
        <v>Low</v>
      </c>
      <c r="AL670" t="str" cm="1">
        <f t="array" ref="AL670">_xlfn.IFS(Table1[[#This Row],[Attrition]]="Yes","Resigned",Table1[[#This Row],[Attrition]]="No","Active")</f>
        <v>Active</v>
      </c>
      <c r="AM670" t="str" cm="1">
        <f t="array" ref="AM670">_xlfn.IFS(Table1[[#This Row],[YearsAtCompany]]&lt;=1,"0-1 Year",Table1[[#This Row],[YearsAtCompany]]&lt;=2,"1-2 Years",Table1[[#This Row],[YearsAtCompany]]&lt;=3,"2-3 Years",Table1[[#This Row],[YearsAtCompany]]&lt;=4,"3-4 Years",Table1[[#This Row],[YearsAtCompany]]&lt;=5,"4-5 Years",Table1[[#This Row],[YearsAtCompany]]&gt;5,"&gt;5 Years")</f>
        <v>1-2 Years</v>
      </c>
    </row>
    <row r="671" spans="1:39" hidden="1" x14ac:dyDescent="0.45">
      <c r="A671">
        <v>39</v>
      </c>
      <c r="B671" t="s">
        <v>35</v>
      </c>
      <c r="C671" t="s">
        <v>64</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_xlfn.IFS(Table1[[#This Row],[Age]]&lt;30,"Young",Table1[[#This Row],[Age]]&lt;=40,"Adult",Table1[[#This Row],[Age]]&gt;40,"Senior")</f>
        <v>Adult</v>
      </c>
      <c r="AK671" t="str" cm="1">
        <f t="array" ref="AK671">_xlfn.IFS(Table1[[#This Row],[MonthlyIncome]]&lt;5000,"Low",Table1[[#This Row],[MonthlyIncome]]&lt;10000,"Medium",Table1[[#This Row],[MonthlyIncome]]&gt;10000,"High")</f>
        <v>Low</v>
      </c>
      <c r="AL671" t="str" cm="1">
        <f t="array" ref="AL671">_xlfn.IFS(Table1[[#This Row],[Attrition]]="Yes","Resigned",Table1[[#This Row],[Attrition]]="No","Active")</f>
        <v>Resigned</v>
      </c>
      <c r="AM671" t="str" cm="1">
        <f t="array" ref="AM671">_xlfn.IFS(Table1[[#This Row],[YearsAtCompany]]&lt;=1,"0-1 Year",Table1[[#This Row],[YearsAtCompany]]&lt;=2,"1-2 Years",Table1[[#This Row],[YearsAtCompany]]&lt;=3,"2-3 Years",Table1[[#This Row],[YearsAtCompany]]&lt;=4,"3-4 Years",Table1[[#This Row],[YearsAtCompany]]&lt;=5,"4-5 Years",Table1[[#This Row],[YearsAtCompany]]&gt;5,"&gt;5 Years")</f>
        <v>1-2 Years</v>
      </c>
    </row>
    <row r="672" spans="1:39" hidden="1" x14ac:dyDescent="0.45">
      <c r="A672">
        <v>27</v>
      </c>
      <c r="B672" t="s">
        <v>43</v>
      </c>
      <c r="C672" t="s">
        <v>64</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_xlfn.IFS(Table1[[#This Row],[Age]]&lt;30,"Young",Table1[[#This Row],[Age]]&lt;=40,"Adult",Table1[[#This Row],[Age]]&gt;40,"Senior")</f>
        <v>Young</v>
      </c>
      <c r="AK672" t="str" cm="1">
        <f t="array" ref="AK672">_xlfn.IFS(Table1[[#This Row],[MonthlyIncome]]&lt;5000,"Low",Table1[[#This Row],[MonthlyIncome]]&lt;10000,"Medium",Table1[[#This Row],[MonthlyIncome]]&gt;10000,"High")</f>
        <v>Low</v>
      </c>
      <c r="AL672" t="str" cm="1">
        <f t="array" ref="AL672">_xlfn.IFS(Table1[[#This Row],[Attrition]]="Yes","Resigned",Table1[[#This Row],[Attrition]]="No","Active")</f>
        <v>Active</v>
      </c>
      <c r="AM672" t="str" cm="1">
        <f t="array" ref="AM672">_xlfn.IFS(Table1[[#This Row],[YearsAtCompany]]&lt;=1,"0-1 Year",Table1[[#This Row],[YearsAtCompany]]&lt;=2,"1-2 Years",Table1[[#This Row],[YearsAtCompany]]&lt;=3,"2-3 Years",Table1[[#This Row],[YearsAtCompany]]&lt;=4,"3-4 Years",Table1[[#This Row],[YearsAtCompany]]&lt;=5,"4-5 Years",Table1[[#This Row],[YearsAtCompany]]&gt;5,"&gt;5 Years")</f>
        <v>0-1 Year</v>
      </c>
    </row>
    <row r="673" spans="1:39" hidden="1" x14ac:dyDescent="0.45">
      <c r="A673">
        <v>34</v>
      </c>
      <c r="B673" t="s">
        <v>43</v>
      </c>
      <c r="C673" t="s">
        <v>64</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_xlfn.IFS(Table1[[#This Row],[Age]]&lt;30,"Young",Table1[[#This Row],[Age]]&lt;=40,"Adult",Table1[[#This Row],[Age]]&gt;40,"Senior")</f>
        <v>Adult</v>
      </c>
      <c r="AK673" t="str" cm="1">
        <f t="array" ref="AK673">_xlfn.IFS(Table1[[#This Row],[MonthlyIncome]]&lt;5000,"Low",Table1[[#This Row],[MonthlyIncome]]&lt;10000,"Medium",Table1[[#This Row],[MonthlyIncome]]&gt;10000,"High")</f>
        <v>Low</v>
      </c>
      <c r="AL673" t="str" cm="1">
        <f t="array" ref="AL673">_xlfn.IFS(Table1[[#This Row],[Attrition]]="Yes","Resigned",Table1[[#This Row],[Attrition]]="No","Active")</f>
        <v>Active</v>
      </c>
      <c r="AM673" t="str" cm="1">
        <f t="array" ref="AM673">_xlfn.IFS(Table1[[#This Row],[YearsAtCompany]]&lt;=1,"0-1 Year",Table1[[#This Row],[YearsAtCompany]]&lt;=2,"1-2 Years",Table1[[#This Row],[YearsAtCompany]]&lt;=3,"2-3 Years",Table1[[#This Row],[YearsAtCompany]]&lt;=4,"3-4 Years",Table1[[#This Row],[YearsAtCompany]]&lt;=5,"4-5 Years",Table1[[#This Row],[YearsAtCompany]]&gt;5,"&gt;5 Years")</f>
        <v>0-1 Year</v>
      </c>
    </row>
    <row r="674" spans="1:39" x14ac:dyDescent="0.45">
      <c r="A674">
        <v>42</v>
      </c>
      <c r="B674" t="s">
        <v>43</v>
      </c>
      <c r="C674" t="s">
        <v>64</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_xlfn.IFS(Table1[[#This Row],[Age]]&lt;30,"Young",Table1[[#This Row],[Age]]&lt;=40,"Adult",Table1[[#This Row],[Age]]&gt;40,"Senior")</f>
        <v>Senior</v>
      </c>
      <c r="AK674" t="str" cm="1">
        <f t="array" ref="AK674">_xlfn.IFS(Table1[[#This Row],[MonthlyIncome]]&lt;5000,"Low",Table1[[#This Row],[MonthlyIncome]]&lt;10000,"Medium",Table1[[#This Row],[MonthlyIncome]]&gt;10000,"High")</f>
        <v>Medium</v>
      </c>
      <c r="AL674" t="str" cm="1">
        <f t="array" ref="AL674">_xlfn.IFS(Table1[[#This Row],[Attrition]]="Yes","Resigned",Table1[[#This Row],[Attrition]]="No","Active")</f>
        <v>Active</v>
      </c>
      <c r="AM674" t="str" cm="1">
        <f t="array" ref="AM674">_xlfn.IFS(Table1[[#This Row],[YearsAtCompany]]&lt;=1,"0-1 Year",Table1[[#This Row],[YearsAtCompany]]&lt;=2,"1-2 Years",Table1[[#This Row],[YearsAtCompany]]&lt;=3,"2-3 Years",Table1[[#This Row],[YearsAtCompany]]&lt;=4,"3-4 Years",Table1[[#This Row],[YearsAtCompany]]&lt;=5,"4-5 Years",Table1[[#This Row],[YearsAtCompany]]&gt;5,"&gt;5 Years")</f>
        <v>4-5 Years</v>
      </c>
    </row>
    <row r="675" spans="1:39" hidden="1" x14ac:dyDescent="0.45">
      <c r="A675">
        <v>33</v>
      </c>
      <c r="B675" t="s">
        <v>43</v>
      </c>
      <c r="C675" t="s">
        <v>64</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_xlfn.IFS(Table1[[#This Row],[Age]]&lt;30,"Young",Table1[[#This Row],[Age]]&lt;=40,"Adult",Table1[[#This Row],[Age]]&gt;40,"Senior")</f>
        <v>Adult</v>
      </c>
      <c r="AK675" t="str" cm="1">
        <f t="array" ref="AK675">_xlfn.IFS(Table1[[#This Row],[MonthlyIncome]]&lt;5000,"Low",Table1[[#This Row],[MonthlyIncome]]&lt;10000,"Medium",Table1[[#This Row],[MonthlyIncome]]&gt;10000,"High")</f>
        <v>Low</v>
      </c>
      <c r="AL675" t="str" cm="1">
        <f t="array" ref="AL675">_xlfn.IFS(Table1[[#This Row],[Attrition]]="Yes","Resigned",Table1[[#This Row],[Attrition]]="No","Active")</f>
        <v>Active</v>
      </c>
      <c r="AM675" t="str" cm="1">
        <f t="array" ref="AM675">_xlfn.IFS(Table1[[#This Row],[YearsAtCompany]]&lt;=1,"0-1 Year",Table1[[#This Row],[YearsAtCompany]]&lt;=2,"1-2 Years",Table1[[#This Row],[YearsAtCompany]]&lt;=3,"2-3 Years",Table1[[#This Row],[YearsAtCompany]]&lt;=4,"3-4 Years",Table1[[#This Row],[YearsAtCompany]]&lt;=5,"4-5 Years",Table1[[#This Row],[YearsAtCompany]]&gt;5,"&gt;5 Years")</f>
        <v>2-3 Years</v>
      </c>
    </row>
    <row r="676" spans="1:39" hidden="1" x14ac:dyDescent="0.45">
      <c r="A676">
        <v>58</v>
      </c>
      <c r="B676" t="s">
        <v>43</v>
      </c>
      <c r="C676" t="s">
        <v>64</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_xlfn.IFS(Table1[[#This Row],[Age]]&lt;30,"Young",Table1[[#This Row],[Age]]&lt;=40,"Adult",Table1[[#This Row],[Age]]&gt;40,"Senior")</f>
        <v>Senior</v>
      </c>
      <c r="AK676" t="str" cm="1">
        <f t="array" ref="AK676">_xlfn.IFS(Table1[[#This Row],[MonthlyIncome]]&lt;5000,"Low",Table1[[#This Row],[MonthlyIncome]]&lt;10000,"Medium",Table1[[#This Row],[MonthlyIncome]]&gt;10000,"High")</f>
        <v>High</v>
      </c>
      <c r="AL676" t="str" cm="1">
        <f t="array" ref="AL676">_xlfn.IFS(Table1[[#This Row],[Attrition]]="Yes","Resigned",Table1[[#This Row],[Attrition]]="No","Active")</f>
        <v>Active</v>
      </c>
      <c r="AM676" t="str" cm="1">
        <f t="array" ref="AM676">_xlfn.IFS(Table1[[#This Row],[YearsAtCompany]]&lt;=1,"0-1 Year",Table1[[#This Row],[YearsAtCompany]]&lt;=2,"1-2 Years",Table1[[#This Row],[YearsAtCompany]]&lt;=3,"2-3 Years",Table1[[#This Row],[YearsAtCompany]]&lt;=4,"3-4 Years",Table1[[#This Row],[YearsAtCompany]]&lt;=5,"4-5 Years",Table1[[#This Row],[YearsAtCompany]]&gt;5,"&gt;5 Years")</f>
        <v>&gt;5 Years</v>
      </c>
    </row>
    <row r="677" spans="1:39" x14ac:dyDescent="0.45">
      <c r="A677">
        <v>31</v>
      </c>
      <c r="B677" t="s">
        <v>43</v>
      </c>
      <c r="C677" t="s">
        <v>64</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_xlfn.IFS(Table1[[#This Row],[Age]]&lt;30,"Young",Table1[[#This Row],[Age]]&lt;=40,"Adult",Table1[[#This Row],[Age]]&gt;40,"Senior")</f>
        <v>Adult</v>
      </c>
      <c r="AK677" t="str" cm="1">
        <f t="array" ref="AK677">_xlfn.IFS(Table1[[#This Row],[MonthlyIncome]]&lt;5000,"Low",Table1[[#This Row],[MonthlyIncome]]&lt;10000,"Medium",Table1[[#This Row],[MonthlyIncome]]&gt;10000,"High")</f>
        <v>Low</v>
      </c>
      <c r="AL677" t="str" cm="1">
        <f t="array" ref="AL677">_xlfn.IFS(Table1[[#This Row],[Attrition]]="Yes","Resigned",Table1[[#This Row],[Attrition]]="No","Active")</f>
        <v>Active</v>
      </c>
      <c r="AM677" t="str" cm="1">
        <f t="array" ref="AM677">_xlfn.IFS(Table1[[#This Row],[YearsAtCompany]]&lt;=1,"0-1 Year",Table1[[#This Row],[YearsAtCompany]]&lt;=2,"1-2 Years",Table1[[#This Row],[YearsAtCompany]]&lt;=3,"2-3 Years",Table1[[#This Row],[YearsAtCompany]]&lt;=4,"3-4 Years",Table1[[#This Row],[YearsAtCompany]]&lt;=5,"4-5 Years",Table1[[#This Row],[YearsAtCompany]]&gt;5,"&gt;5 Years")</f>
        <v>&gt;5 Years</v>
      </c>
    </row>
    <row r="678" spans="1:39" hidden="1" x14ac:dyDescent="0.45">
      <c r="A678">
        <v>35</v>
      </c>
      <c r="B678" t="s">
        <v>43</v>
      </c>
      <c r="C678" t="s">
        <v>64</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_xlfn.IFS(Table1[[#This Row],[Age]]&lt;30,"Young",Table1[[#This Row],[Age]]&lt;=40,"Adult",Table1[[#This Row],[Age]]&gt;40,"Senior")</f>
        <v>Adult</v>
      </c>
      <c r="AK678" t="str" cm="1">
        <f t="array" ref="AK678">_xlfn.IFS(Table1[[#This Row],[MonthlyIncome]]&lt;5000,"Low",Table1[[#This Row],[MonthlyIncome]]&lt;10000,"Medium",Table1[[#This Row],[MonthlyIncome]]&gt;10000,"High")</f>
        <v>Low</v>
      </c>
      <c r="AL678" t="str" cm="1">
        <f t="array" ref="AL678">_xlfn.IFS(Table1[[#This Row],[Attrition]]="Yes","Resigned",Table1[[#This Row],[Attrition]]="No","Active")</f>
        <v>Active</v>
      </c>
      <c r="AM678" t="str" cm="1">
        <f t="array" ref="AM678">_xlfn.IFS(Table1[[#This Row],[YearsAtCompany]]&lt;=1,"0-1 Year",Table1[[#This Row],[YearsAtCompany]]&lt;=2,"1-2 Years",Table1[[#This Row],[YearsAtCompany]]&lt;=3,"2-3 Years",Table1[[#This Row],[YearsAtCompany]]&lt;=4,"3-4 Years",Table1[[#This Row],[YearsAtCompany]]&lt;=5,"4-5 Years",Table1[[#This Row],[YearsAtCompany]]&gt;5,"&gt;5 Years")</f>
        <v>&gt;5 Years</v>
      </c>
    </row>
    <row r="679" spans="1:39" hidden="1" x14ac:dyDescent="0.45">
      <c r="A679">
        <v>49</v>
      </c>
      <c r="B679" t="s">
        <v>43</v>
      </c>
      <c r="C679" t="s">
        <v>64</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_xlfn.IFS(Table1[[#This Row],[Age]]&lt;30,"Young",Table1[[#This Row],[Age]]&lt;=40,"Adult",Table1[[#This Row],[Age]]&gt;40,"Senior")</f>
        <v>Senior</v>
      </c>
      <c r="AK679" t="str" cm="1">
        <f t="array" ref="AK679">_xlfn.IFS(Table1[[#This Row],[MonthlyIncome]]&lt;5000,"Low",Table1[[#This Row],[MonthlyIncome]]&lt;10000,"Medium",Table1[[#This Row],[MonthlyIncome]]&gt;10000,"High")</f>
        <v>Medium</v>
      </c>
      <c r="AL679" t="str" cm="1">
        <f t="array" ref="AL679">_xlfn.IFS(Table1[[#This Row],[Attrition]]="Yes","Resigned",Table1[[#This Row],[Attrition]]="No","Active")</f>
        <v>Active</v>
      </c>
      <c r="AM679" t="str" cm="1">
        <f t="array" ref="AM679">_xlfn.IFS(Table1[[#This Row],[YearsAtCompany]]&lt;=1,"0-1 Year",Table1[[#This Row],[YearsAtCompany]]&lt;=2,"1-2 Years",Table1[[#This Row],[YearsAtCompany]]&lt;=3,"2-3 Years",Table1[[#This Row],[YearsAtCompany]]&lt;=4,"3-4 Years",Table1[[#This Row],[YearsAtCompany]]&lt;=5,"4-5 Years",Table1[[#This Row],[YearsAtCompany]]&gt;5,"&gt;5 Years")</f>
        <v>&gt;5 Years</v>
      </c>
    </row>
    <row r="680" spans="1:39" hidden="1" x14ac:dyDescent="0.45">
      <c r="A680">
        <v>48</v>
      </c>
      <c r="B680" t="s">
        <v>43</v>
      </c>
      <c r="C680" t="s">
        <v>64</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_xlfn.IFS(Table1[[#This Row],[Age]]&lt;30,"Young",Table1[[#This Row],[Age]]&lt;=40,"Adult",Table1[[#This Row],[Age]]&gt;40,"Senior")</f>
        <v>Senior</v>
      </c>
      <c r="AK680" t="str" cm="1">
        <f t="array" ref="AK680">_xlfn.IFS(Table1[[#This Row],[MonthlyIncome]]&lt;5000,"Low",Table1[[#This Row],[MonthlyIncome]]&lt;10000,"Medium",Table1[[#This Row],[MonthlyIncome]]&gt;10000,"High")</f>
        <v>Low</v>
      </c>
      <c r="AL680" t="str" cm="1">
        <f t="array" ref="AL680">_xlfn.IFS(Table1[[#This Row],[Attrition]]="Yes","Resigned",Table1[[#This Row],[Attrition]]="No","Active")</f>
        <v>Active</v>
      </c>
      <c r="AM680" t="str" cm="1">
        <f t="array" ref="AM680">_xlfn.IFS(Table1[[#This Row],[YearsAtCompany]]&lt;=1,"0-1 Year",Table1[[#This Row],[YearsAtCompany]]&lt;=2,"1-2 Years",Table1[[#This Row],[YearsAtCompany]]&lt;=3,"2-3 Years",Table1[[#This Row],[YearsAtCompany]]&lt;=4,"3-4 Years",Table1[[#This Row],[YearsAtCompany]]&lt;=5,"4-5 Years",Table1[[#This Row],[YearsAtCompany]]&gt;5,"&gt;5 Years")</f>
        <v>0-1 Year</v>
      </c>
    </row>
    <row r="681" spans="1:39" x14ac:dyDescent="0.45">
      <c r="A681">
        <v>31</v>
      </c>
      <c r="B681" t="s">
        <v>43</v>
      </c>
      <c r="C681" t="s">
        <v>62</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_xlfn.IFS(Table1[[#This Row],[Age]]&lt;30,"Young",Table1[[#This Row],[Age]]&lt;=40,"Adult",Table1[[#This Row],[Age]]&gt;40,"Senior")</f>
        <v>Adult</v>
      </c>
      <c r="AK681" t="str" cm="1">
        <f t="array" ref="AK681">_xlfn.IFS(Table1[[#This Row],[MonthlyIncome]]&lt;5000,"Low",Table1[[#This Row],[MonthlyIncome]]&lt;10000,"Medium",Table1[[#This Row],[MonthlyIncome]]&gt;10000,"High")</f>
        <v>Medium</v>
      </c>
      <c r="AL681" t="str" cm="1">
        <f t="array" ref="AL681">_xlfn.IFS(Table1[[#This Row],[Attrition]]="Yes","Resigned",Table1[[#This Row],[Attrition]]="No","Active")</f>
        <v>Active</v>
      </c>
      <c r="AM681" t="str" cm="1">
        <f t="array" ref="AM681">_xlfn.IFS(Table1[[#This Row],[YearsAtCompany]]&lt;=1,"0-1 Year",Table1[[#This Row],[YearsAtCompany]]&lt;=2,"1-2 Years",Table1[[#This Row],[YearsAtCompany]]&lt;=3,"2-3 Years",Table1[[#This Row],[YearsAtCompany]]&lt;=4,"3-4 Years",Table1[[#This Row],[YearsAtCompany]]&lt;=5,"4-5 Years",Table1[[#This Row],[YearsAtCompany]]&gt;5,"&gt;5 Years")</f>
        <v>&gt;5 Years</v>
      </c>
    </row>
    <row r="682" spans="1:39" hidden="1" x14ac:dyDescent="0.45">
      <c r="A682">
        <v>36</v>
      </c>
      <c r="B682" t="s">
        <v>43</v>
      </c>
      <c r="C682" t="s">
        <v>64</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_xlfn.IFS(Table1[[#This Row],[Age]]&lt;30,"Young",Table1[[#This Row],[Age]]&lt;=40,"Adult",Table1[[#This Row],[Age]]&gt;40,"Senior")</f>
        <v>Adult</v>
      </c>
      <c r="AK682" t="str" cm="1">
        <f t="array" ref="AK682">_xlfn.IFS(Table1[[#This Row],[MonthlyIncome]]&lt;5000,"Low",Table1[[#This Row],[MonthlyIncome]]&lt;10000,"Medium",Table1[[#This Row],[MonthlyIncome]]&gt;10000,"High")</f>
        <v>Low</v>
      </c>
      <c r="AL682" t="str" cm="1">
        <f t="array" ref="AL682">_xlfn.IFS(Table1[[#This Row],[Attrition]]="Yes","Resigned",Table1[[#This Row],[Attrition]]="No","Active")</f>
        <v>Active</v>
      </c>
      <c r="AM682" t="str" cm="1">
        <f t="array" ref="AM682">_xlfn.IFS(Table1[[#This Row],[YearsAtCompany]]&lt;=1,"0-1 Year",Table1[[#This Row],[YearsAtCompany]]&lt;=2,"1-2 Years",Table1[[#This Row],[YearsAtCompany]]&lt;=3,"2-3 Years",Table1[[#This Row],[YearsAtCompany]]&lt;=4,"3-4 Years",Table1[[#This Row],[YearsAtCompany]]&lt;=5,"4-5 Years",Table1[[#This Row],[YearsAtCompany]]&gt;5,"&gt;5 Years")</f>
        <v>&gt;5 Years</v>
      </c>
    </row>
    <row r="683" spans="1:39" hidden="1" x14ac:dyDescent="0.45">
      <c r="A683">
        <v>38</v>
      </c>
      <c r="B683" t="s">
        <v>43</v>
      </c>
      <c r="C683" t="s">
        <v>64</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_xlfn.IFS(Table1[[#This Row],[Age]]&lt;30,"Young",Table1[[#This Row],[Age]]&lt;=40,"Adult",Table1[[#This Row],[Age]]&gt;40,"Senior")</f>
        <v>Adult</v>
      </c>
      <c r="AK683" t="str" cm="1">
        <f t="array" ref="AK683">_xlfn.IFS(Table1[[#This Row],[MonthlyIncome]]&lt;5000,"Low",Table1[[#This Row],[MonthlyIncome]]&lt;10000,"Medium",Table1[[#This Row],[MonthlyIncome]]&gt;10000,"High")</f>
        <v>High</v>
      </c>
      <c r="AL683" t="str" cm="1">
        <f t="array" ref="AL683">_xlfn.IFS(Table1[[#This Row],[Attrition]]="Yes","Resigned",Table1[[#This Row],[Attrition]]="No","Active")</f>
        <v>Active</v>
      </c>
      <c r="AM683" t="str" cm="1">
        <f t="array" ref="AM683">_xlfn.IFS(Table1[[#This Row],[YearsAtCompany]]&lt;=1,"0-1 Year",Table1[[#This Row],[YearsAtCompany]]&lt;=2,"1-2 Years",Table1[[#This Row],[YearsAtCompany]]&lt;=3,"2-3 Years",Table1[[#This Row],[YearsAtCompany]]&lt;=4,"3-4 Years",Table1[[#This Row],[YearsAtCompany]]&lt;=5,"4-5 Years",Table1[[#This Row],[YearsAtCompany]]&gt;5,"&gt;5 Years")</f>
        <v>&gt;5 Years</v>
      </c>
    </row>
    <row r="684" spans="1:39" hidden="1" x14ac:dyDescent="0.45">
      <c r="A684">
        <v>32</v>
      </c>
      <c r="B684" t="s">
        <v>43</v>
      </c>
      <c r="C684" t="s">
        <v>62</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_xlfn.IFS(Table1[[#This Row],[Age]]&lt;30,"Young",Table1[[#This Row],[Age]]&lt;=40,"Adult",Table1[[#This Row],[Age]]&gt;40,"Senior")</f>
        <v>Adult</v>
      </c>
      <c r="AK684" t="str" cm="1">
        <f t="array" ref="AK684">_xlfn.IFS(Table1[[#This Row],[MonthlyIncome]]&lt;5000,"Low",Table1[[#This Row],[MonthlyIncome]]&lt;10000,"Medium",Table1[[#This Row],[MonthlyIncome]]&gt;10000,"High")</f>
        <v>Low</v>
      </c>
      <c r="AL684" t="str" cm="1">
        <f t="array" ref="AL684">_xlfn.IFS(Table1[[#This Row],[Attrition]]="Yes","Resigned",Table1[[#This Row],[Attrition]]="No","Active")</f>
        <v>Active</v>
      </c>
      <c r="AM684" t="str" cm="1">
        <f t="array" ref="AM684">_xlfn.IFS(Table1[[#This Row],[YearsAtCompany]]&lt;=1,"0-1 Year",Table1[[#This Row],[YearsAtCompany]]&lt;=2,"1-2 Years",Table1[[#This Row],[YearsAtCompany]]&lt;=3,"2-3 Years",Table1[[#This Row],[YearsAtCompany]]&lt;=4,"3-4 Years",Table1[[#This Row],[YearsAtCompany]]&lt;=5,"4-5 Years",Table1[[#This Row],[YearsAtCompany]]&gt;5,"&gt;5 Years")</f>
        <v>2-3 Years</v>
      </c>
    </row>
    <row r="685" spans="1:39" x14ac:dyDescent="0.45">
      <c r="A685">
        <v>25</v>
      </c>
      <c r="B685" t="s">
        <v>35</v>
      </c>
      <c r="C685" t="s">
        <v>64</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_xlfn.IFS(Table1[[#This Row],[Age]]&lt;30,"Young",Table1[[#This Row],[Age]]&lt;=40,"Adult",Table1[[#This Row],[Age]]&gt;40,"Senior")</f>
        <v>Young</v>
      </c>
      <c r="AK685" t="str" cm="1">
        <f t="array" ref="AK685">_xlfn.IFS(Table1[[#This Row],[MonthlyIncome]]&lt;5000,"Low",Table1[[#This Row],[MonthlyIncome]]&lt;10000,"Medium",Table1[[#This Row],[MonthlyIncome]]&gt;10000,"High")</f>
        <v>Low</v>
      </c>
      <c r="AL685" t="str" cm="1">
        <f t="array" ref="AL685">_xlfn.IFS(Table1[[#This Row],[Attrition]]="Yes","Resigned",Table1[[#This Row],[Attrition]]="No","Active")</f>
        <v>Resigned</v>
      </c>
      <c r="AM685" t="str" cm="1">
        <f t="array" ref="AM685">_xlfn.IFS(Table1[[#This Row],[YearsAtCompany]]&lt;=1,"0-1 Year",Table1[[#This Row],[YearsAtCompany]]&lt;=2,"1-2 Years",Table1[[#This Row],[YearsAtCompany]]&lt;=3,"2-3 Years",Table1[[#This Row],[YearsAtCompany]]&lt;=4,"3-4 Years",Table1[[#This Row],[YearsAtCompany]]&lt;=5,"4-5 Years",Table1[[#This Row],[YearsAtCompany]]&gt;5,"&gt;5 Years")</f>
        <v>0-1 Year</v>
      </c>
    </row>
    <row r="686" spans="1:39" x14ac:dyDescent="0.45">
      <c r="A686">
        <v>40</v>
      </c>
      <c r="B686" t="s">
        <v>43</v>
      </c>
      <c r="C686" t="s">
        <v>64</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_xlfn.IFS(Table1[[#This Row],[Age]]&lt;30,"Young",Table1[[#This Row],[Age]]&lt;=40,"Adult",Table1[[#This Row],[Age]]&gt;40,"Senior")</f>
        <v>Adult</v>
      </c>
      <c r="AK686" t="str" cm="1">
        <f t="array" ref="AK686">_xlfn.IFS(Table1[[#This Row],[MonthlyIncome]]&lt;5000,"Low",Table1[[#This Row],[MonthlyIncome]]&lt;10000,"Medium",Table1[[#This Row],[MonthlyIncome]]&gt;10000,"High")</f>
        <v>Medium</v>
      </c>
      <c r="AL686" t="str" cm="1">
        <f t="array" ref="AL686">_xlfn.IFS(Table1[[#This Row],[Attrition]]="Yes","Resigned",Table1[[#This Row],[Attrition]]="No","Active")</f>
        <v>Active</v>
      </c>
      <c r="AM686" t="str" cm="1">
        <f t="array" ref="AM686">_xlfn.IFS(Table1[[#This Row],[YearsAtCompany]]&lt;=1,"0-1 Year",Table1[[#This Row],[YearsAtCompany]]&lt;=2,"1-2 Years",Table1[[#This Row],[YearsAtCompany]]&lt;=3,"2-3 Years",Table1[[#This Row],[YearsAtCompany]]&lt;=4,"3-4 Years",Table1[[#This Row],[YearsAtCompany]]&lt;=5,"4-5 Years",Table1[[#This Row],[YearsAtCompany]]&gt;5,"&gt;5 Years")</f>
        <v>0-1 Year</v>
      </c>
    </row>
    <row r="687" spans="1:39" x14ac:dyDescent="0.45">
      <c r="A687">
        <v>26</v>
      </c>
      <c r="B687" t="s">
        <v>43</v>
      </c>
      <c r="C687" t="s">
        <v>63</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_xlfn.IFS(Table1[[#This Row],[Age]]&lt;30,"Young",Table1[[#This Row],[Age]]&lt;=40,"Adult",Table1[[#This Row],[Age]]&gt;40,"Senior")</f>
        <v>Young</v>
      </c>
      <c r="AK687" t="str" cm="1">
        <f t="array" ref="AK687">_xlfn.IFS(Table1[[#This Row],[MonthlyIncome]]&lt;5000,"Low",Table1[[#This Row],[MonthlyIncome]]&lt;10000,"Medium",Table1[[#This Row],[MonthlyIncome]]&gt;10000,"High")</f>
        <v>Low</v>
      </c>
      <c r="AL687" t="str" cm="1">
        <f t="array" ref="AL687">_xlfn.IFS(Table1[[#This Row],[Attrition]]="Yes","Resigned",Table1[[#This Row],[Attrition]]="No","Active")</f>
        <v>Active</v>
      </c>
      <c r="AM687" t="str" cm="1">
        <f t="array" ref="AM687">_xlfn.IFS(Table1[[#This Row],[YearsAtCompany]]&lt;=1,"0-1 Year",Table1[[#This Row],[YearsAtCompany]]&lt;=2,"1-2 Years",Table1[[#This Row],[YearsAtCompany]]&lt;=3,"2-3 Years",Table1[[#This Row],[YearsAtCompany]]&lt;=4,"3-4 Years",Table1[[#This Row],[YearsAtCompany]]&lt;=5,"4-5 Years",Table1[[#This Row],[YearsAtCompany]]&gt;5,"&gt;5 Years")</f>
        <v>&gt;5 Years</v>
      </c>
    </row>
    <row r="688" spans="1:39" hidden="1" x14ac:dyDescent="0.45">
      <c r="A688">
        <v>41</v>
      </c>
      <c r="B688" t="s">
        <v>43</v>
      </c>
      <c r="C688" t="s">
        <v>64</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_xlfn.IFS(Table1[[#This Row],[Age]]&lt;30,"Young",Table1[[#This Row],[Age]]&lt;=40,"Adult",Table1[[#This Row],[Age]]&gt;40,"Senior")</f>
        <v>Senior</v>
      </c>
      <c r="AK688" t="str" cm="1">
        <f t="array" ref="AK688">_xlfn.IFS(Table1[[#This Row],[MonthlyIncome]]&lt;5000,"Low",Table1[[#This Row],[MonthlyIncome]]&lt;10000,"Medium",Table1[[#This Row],[MonthlyIncome]]&gt;10000,"High")</f>
        <v>Low</v>
      </c>
      <c r="AL688" t="str" cm="1">
        <f t="array" ref="AL688">_xlfn.IFS(Table1[[#This Row],[Attrition]]="Yes","Resigned",Table1[[#This Row],[Attrition]]="No","Active")</f>
        <v>Active</v>
      </c>
      <c r="AM688" t="str" cm="1">
        <f t="array" ref="AM688">_xlfn.IFS(Table1[[#This Row],[YearsAtCompany]]&lt;=1,"0-1 Year",Table1[[#This Row],[YearsAtCompany]]&lt;=2,"1-2 Years",Table1[[#This Row],[YearsAtCompany]]&lt;=3,"2-3 Years",Table1[[#This Row],[YearsAtCompany]]&lt;=4,"3-4 Years",Table1[[#This Row],[YearsAtCompany]]&lt;=5,"4-5 Years",Table1[[#This Row],[YearsAtCompany]]&gt;5,"&gt;5 Years")</f>
        <v>&gt;5 Years</v>
      </c>
    </row>
    <row r="689" spans="1:39" hidden="1" x14ac:dyDescent="0.45">
      <c r="A689">
        <v>36</v>
      </c>
      <c r="B689" t="s">
        <v>43</v>
      </c>
      <c r="C689" t="s">
        <v>64</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_xlfn.IFS(Table1[[#This Row],[Age]]&lt;30,"Young",Table1[[#This Row],[Age]]&lt;=40,"Adult",Table1[[#This Row],[Age]]&gt;40,"Senior")</f>
        <v>Adult</v>
      </c>
      <c r="AK689" t="str" cm="1">
        <f t="array" ref="AK689">_xlfn.IFS(Table1[[#This Row],[MonthlyIncome]]&lt;5000,"Low",Table1[[#This Row],[MonthlyIncome]]&lt;10000,"Medium",Table1[[#This Row],[MonthlyIncome]]&gt;10000,"High")</f>
        <v>Low</v>
      </c>
      <c r="AL689" t="str" cm="1">
        <f t="array" ref="AL689">_xlfn.IFS(Table1[[#This Row],[Attrition]]="Yes","Resigned",Table1[[#This Row],[Attrition]]="No","Active")</f>
        <v>Active</v>
      </c>
      <c r="AM689" t="str" cm="1">
        <f t="array" ref="AM689">_xlfn.IFS(Table1[[#This Row],[YearsAtCompany]]&lt;=1,"0-1 Year",Table1[[#This Row],[YearsAtCompany]]&lt;=2,"1-2 Years",Table1[[#This Row],[YearsAtCompany]]&lt;=3,"2-3 Years",Table1[[#This Row],[YearsAtCompany]]&lt;=4,"3-4 Years",Table1[[#This Row],[YearsAtCompany]]&lt;=5,"4-5 Years",Table1[[#This Row],[YearsAtCompany]]&gt;5,"&gt;5 Years")</f>
        <v>&gt;5 Years</v>
      </c>
    </row>
    <row r="690" spans="1:39" x14ac:dyDescent="0.45">
      <c r="A690">
        <v>19</v>
      </c>
      <c r="B690" t="s">
        <v>35</v>
      </c>
      <c r="C690" t="s">
        <v>64</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_xlfn.IFS(Table1[[#This Row],[Age]]&lt;30,"Young",Table1[[#This Row],[Age]]&lt;=40,"Adult",Table1[[#This Row],[Age]]&gt;40,"Senior")</f>
        <v>Young</v>
      </c>
      <c r="AK690" t="str" cm="1">
        <f t="array" ref="AK690">_xlfn.IFS(Table1[[#This Row],[MonthlyIncome]]&lt;5000,"Low",Table1[[#This Row],[MonthlyIncome]]&lt;10000,"Medium",Table1[[#This Row],[MonthlyIncome]]&gt;10000,"High")</f>
        <v>Low</v>
      </c>
      <c r="AL690" t="str" cm="1">
        <f t="array" ref="AL690">_xlfn.IFS(Table1[[#This Row],[Attrition]]="Yes","Resigned",Table1[[#This Row],[Attrition]]="No","Active")</f>
        <v>Resigned</v>
      </c>
      <c r="AM690" t="str" cm="1">
        <f t="array" ref="AM690">_xlfn.IFS(Table1[[#This Row],[YearsAtCompany]]&lt;=1,"0-1 Year",Table1[[#This Row],[YearsAtCompany]]&lt;=2,"1-2 Years",Table1[[#This Row],[YearsAtCompany]]&lt;=3,"2-3 Years",Table1[[#This Row],[YearsAtCompany]]&lt;=4,"3-4 Years",Table1[[#This Row],[YearsAtCompany]]&lt;=5,"4-5 Years",Table1[[#This Row],[YearsAtCompany]]&gt;5,"&gt;5 Years")</f>
        <v>0-1 Year</v>
      </c>
    </row>
    <row r="691" spans="1:39" hidden="1" x14ac:dyDescent="0.45">
      <c r="A691">
        <v>20</v>
      </c>
      <c r="B691" t="s">
        <v>35</v>
      </c>
      <c r="C691" t="s">
        <v>64</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_xlfn.IFS(Table1[[#This Row],[Age]]&lt;30,"Young",Table1[[#This Row],[Age]]&lt;=40,"Adult",Table1[[#This Row],[Age]]&gt;40,"Senior")</f>
        <v>Young</v>
      </c>
      <c r="AK691" t="str" cm="1">
        <f t="array" ref="AK691">_xlfn.IFS(Table1[[#This Row],[MonthlyIncome]]&lt;5000,"Low",Table1[[#This Row],[MonthlyIncome]]&lt;10000,"Medium",Table1[[#This Row],[MonthlyIncome]]&gt;10000,"High")</f>
        <v>Low</v>
      </c>
      <c r="AL691" t="str" cm="1">
        <f t="array" ref="AL691">_xlfn.IFS(Table1[[#This Row],[Attrition]]="Yes","Resigned",Table1[[#This Row],[Attrition]]="No","Active")</f>
        <v>Resigned</v>
      </c>
      <c r="AM691" t="str" cm="1">
        <f t="array" ref="AM691">_xlfn.IFS(Table1[[#This Row],[YearsAtCompany]]&lt;=1,"0-1 Year",Table1[[#This Row],[YearsAtCompany]]&lt;=2,"1-2 Years",Table1[[#This Row],[YearsAtCompany]]&lt;=3,"2-3 Years",Table1[[#This Row],[YearsAtCompany]]&lt;=4,"3-4 Years",Table1[[#This Row],[YearsAtCompany]]&lt;=5,"4-5 Years",Table1[[#This Row],[YearsAtCompany]]&gt;5,"&gt;5 Years")</f>
        <v>0-1 Year</v>
      </c>
    </row>
    <row r="692" spans="1:39" hidden="1" x14ac:dyDescent="0.45">
      <c r="A692">
        <v>31</v>
      </c>
      <c r="B692" t="s">
        <v>43</v>
      </c>
      <c r="C692" t="s">
        <v>64</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_xlfn.IFS(Table1[[#This Row],[Age]]&lt;30,"Young",Table1[[#This Row],[Age]]&lt;=40,"Adult",Table1[[#This Row],[Age]]&gt;40,"Senior")</f>
        <v>Adult</v>
      </c>
      <c r="AK692" t="str" cm="1">
        <f t="array" ref="AK692">_xlfn.IFS(Table1[[#This Row],[MonthlyIncome]]&lt;5000,"Low",Table1[[#This Row],[MonthlyIncome]]&lt;10000,"Medium",Table1[[#This Row],[MonthlyIncome]]&gt;10000,"High")</f>
        <v>Medium</v>
      </c>
      <c r="AL692" t="str" cm="1">
        <f t="array" ref="AL692">_xlfn.IFS(Table1[[#This Row],[Attrition]]="Yes","Resigned",Table1[[#This Row],[Attrition]]="No","Active")</f>
        <v>Active</v>
      </c>
      <c r="AM692" t="str" cm="1">
        <f t="array" ref="AM692">_xlfn.IFS(Table1[[#This Row],[YearsAtCompany]]&lt;=1,"0-1 Year",Table1[[#This Row],[YearsAtCompany]]&lt;=2,"1-2 Years",Table1[[#This Row],[YearsAtCompany]]&lt;=3,"2-3 Years",Table1[[#This Row],[YearsAtCompany]]&lt;=4,"3-4 Years",Table1[[#This Row],[YearsAtCompany]]&lt;=5,"4-5 Years",Table1[[#This Row],[YearsAtCompany]]&gt;5,"&gt;5 Years")</f>
        <v>&gt;5 Years</v>
      </c>
    </row>
    <row r="693" spans="1:39" hidden="1" x14ac:dyDescent="0.45">
      <c r="A693">
        <v>40</v>
      </c>
      <c r="B693" t="s">
        <v>43</v>
      </c>
      <c r="C693" t="s">
        <v>63</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_xlfn.IFS(Table1[[#This Row],[Age]]&lt;30,"Young",Table1[[#This Row],[Age]]&lt;=40,"Adult",Table1[[#This Row],[Age]]&gt;40,"Senior")</f>
        <v>Adult</v>
      </c>
      <c r="AK693" t="str" cm="1">
        <f t="array" ref="AK693">_xlfn.IFS(Table1[[#This Row],[MonthlyIncome]]&lt;5000,"Low",Table1[[#This Row],[MonthlyIncome]]&lt;10000,"Medium",Table1[[#This Row],[MonthlyIncome]]&gt;10000,"High")</f>
        <v>Low</v>
      </c>
      <c r="AL693" t="str" cm="1">
        <f t="array" ref="AL693">_xlfn.IFS(Table1[[#This Row],[Attrition]]="Yes","Resigned",Table1[[#This Row],[Attrition]]="No","Active")</f>
        <v>Active</v>
      </c>
      <c r="AM693" t="str" cm="1">
        <f t="array" ref="AM693">_xlfn.IFS(Table1[[#This Row],[YearsAtCompany]]&lt;=1,"0-1 Year",Table1[[#This Row],[YearsAtCompany]]&lt;=2,"1-2 Years",Table1[[#This Row],[YearsAtCompany]]&lt;=3,"2-3 Years",Table1[[#This Row],[YearsAtCompany]]&lt;=4,"3-4 Years",Table1[[#This Row],[YearsAtCompany]]&lt;=5,"4-5 Years",Table1[[#This Row],[YearsAtCompany]]&gt;5,"&gt;5 Years")</f>
        <v>0-1 Year</v>
      </c>
    </row>
    <row r="694" spans="1:39" hidden="1" x14ac:dyDescent="0.45">
      <c r="A694">
        <v>32</v>
      </c>
      <c r="B694" t="s">
        <v>43</v>
      </c>
      <c r="C694" t="s">
        <v>64</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_xlfn.IFS(Table1[[#This Row],[Age]]&lt;30,"Young",Table1[[#This Row],[Age]]&lt;=40,"Adult",Table1[[#This Row],[Age]]&gt;40,"Senior")</f>
        <v>Adult</v>
      </c>
      <c r="AK694" t="str" cm="1">
        <f t="array" ref="AK694">_xlfn.IFS(Table1[[#This Row],[MonthlyIncome]]&lt;5000,"Low",Table1[[#This Row],[MonthlyIncome]]&lt;10000,"Medium",Table1[[#This Row],[MonthlyIncome]]&gt;10000,"High")</f>
        <v>Medium</v>
      </c>
      <c r="AL694" t="str" cm="1">
        <f t="array" ref="AL694">_xlfn.IFS(Table1[[#This Row],[Attrition]]="Yes","Resigned",Table1[[#This Row],[Attrition]]="No","Active")</f>
        <v>Active</v>
      </c>
      <c r="AM694" t="str" cm="1">
        <f t="array" ref="AM694">_xlfn.IFS(Table1[[#This Row],[YearsAtCompany]]&lt;=1,"0-1 Year",Table1[[#This Row],[YearsAtCompany]]&lt;=2,"1-2 Years",Table1[[#This Row],[YearsAtCompany]]&lt;=3,"2-3 Years",Table1[[#This Row],[YearsAtCompany]]&lt;=4,"3-4 Years",Table1[[#This Row],[YearsAtCompany]]&lt;=5,"4-5 Years",Table1[[#This Row],[YearsAtCompany]]&gt;5,"&gt;5 Years")</f>
        <v>&gt;5 Years</v>
      </c>
    </row>
    <row r="695" spans="1:39" x14ac:dyDescent="0.45">
      <c r="A695">
        <v>36</v>
      </c>
      <c r="B695" t="s">
        <v>35</v>
      </c>
      <c r="C695" t="s">
        <v>64</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_xlfn.IFS(Table1[[#This Row],[Age]]&lt;30,"Young",Table1[[#This Row],[Age]]&lt;=40,"Adult",Table1[[#This Row],[Age]]&gt;40,"Senior")</f>
        <v>Adult</v>
      </c>
      <c r="AK695" t="str" cm="1">
        <f t="array" ref="AK695">_xlfn.IFS(Table1[[#This Row],[MonthlyIncome]]&lt;5000,"Low",Table1[[#This Row],[MonthlyIncome]]&lt;10000,"Medium",Table1[[#This Row],[MonthlyIncome]]&gt;10000,"High")</f>
        <v>High</v>
      </c>
      <c r="AL695" t="str" cm="1">
        <f t="array" ref="AL695">_xlfn.IFS(Table1[[#This Row],[Attrition]]="Yes","Resigned",Table1[[#This Row],[Attrition]]="No","Active")</f>
        <v>Resigned</v>
      </c>
      <c r="AM695" t="str" cm="1">
        <f t="array" ref="AM695">_xlfn.IFS(Table1[[#This Row],[YearsAtCompany]]&lt;=1,"0-1 Year",Table1[[#This Row],[YearsAtCompany]]&lt;=2,"1-2 Years",Table1[[#This Row],[YearsAtCompany]]&lt;=3,"2-3 Years",Table1[[#This Row],[YearsAtCompany]]&lt;=4,"3-4 Years",Table1[[#This Row],[YearsAtCompany]]&lt;=5,"4-5 Years",Table1[[#This Row],[YearsAtCompany]]&gt;5,"&gt;5 Years")</f>
        <v>&gt;5 Years</v>
      </c>
    </row>
    <row r="696" spans="1:39" hidden="1" x14ac:dyDescent="0.45">
      <c r="A696">
        <v>33</v>
      </c>
      <c r="B696" t="s">
        <v>43</v>
      </c>
      <c r="C696" t="s">
        <v>64</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_xlfn.IFS(Table1[[#This Row],[Age]]&lt;30,"Young",Table1[[#This Row],[Age]]&lt;=40,"Adult",Table1[[#This Row],[Age]]&gt;40,"Senior")</f>
        <v>Adult</v>
      </c>
      <c r="AK696" t="str" cm="1">
        <f t="array" ref="AK696">_xlfn.IFS(Table1[[#This Row],[MonthlyIncome]]&lt;5000,"Low",Table1[[#This Row],[MonthlyIncome]]&lt;10000,"Medium",Table1[[#This Row],[MonthlyIncome]]&gt;10000,"High")</f>
        <v>Medium</v>
      </c>
      <c r="AL696" t="str" cm="1">
        <f t="array" ref="AL696">_xlfn.IFS(Table1[[#This Row],[Attrition]]="Yes","Resigned",Table1[[#This Row],[Attrition]]="No","Active")</f>
        <v>Active</v>
      </c>
      <c r="AM696" t="str" cm="1">
        <f t="array" ref="AM696">_xlfn.IFS(Table1[[#This Row],[YearsAtCompany]]&lt;=1,"0-1 Year",Table1[[#This Row],[YearsAtCompany]]&lt;=2,"1-2 Years",Table1[[#This Row],[YearsAtCompany]]&lt;=3,"2-3 Years",Table1[[#This Row],[YearsAtCompany]]&lt;=4,"3-4 Years",Table1[[#This Row],[YearsAtCompany]]&lt;=5,"4-5 Years",Table1[[#This Row],[YearsAtCompany]]&gt;5,"&gt;5 Years")</f>
        <v>4-5 Years</v>
      </c>
    </row>
    <row r="697" spans="1:39" x14ac:dyDescent="0.45">
      <c r="A697">
        <v>37</v>
      </c>
      <c r="B697" t="s">
        <v>35</v>
      </c>
      <c r="C697" t="s">
        <v>64</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_xlfn.IFS(Table1[[#This Row],[Age]]&lt;30,"Young",Table1[[#This Row],[Age]]&lt;=40,"Adult",Table1[[#This Row],[Age]]&gt;40,"Senior")</f>
        <v>Adult</v>
      </c>
      <c r="AK697" t="str" cm="1">
        <f t="array" ref="AK697">_xlfn.IFS(Table1[[#This Row],[MonthlyIncome]]&lt;5000,"Low",Table1[[#This Row],[MonthlyIncome]]&lt;10000,"Medium",Table1[[#This Row],[MonthlyIncome]]&gt;10000,"High")</f>
        <v>High</v>
      </c>
      <c r="AL697" t="str" cm="1">
        <f t="array" ref="AL697">_xlfn.IFS(Table1[[#This Row],[Attrition]]="Yes","Resigned",Table1[[#This Row],[Attrition]]="No","Active")</f>
        <v>Resigned</v>
      </c>
      <c r="AM697" t="str" cm="1">
        <f t="array" ref="AM697">_xlfn.IFS(Table1[[#This Row],[YearsAtCompany]]&lt;=1,"0-1 Year",Table1[[#This Row],[YearsAtCompany]]&lt;=2,"1-2 Years",Table1[[#This Row],[YearsAtCompany]]&lt;=3,"2-3 Years",Table1[[#This Row],[YearsAtCompany]]&lt;=4,"3-4 Years",Table1[[#This Row],[YearsAtCompany]]&lt;=5,"4-5 Years",Table1[[#This Row],[YearsAtCompany]]&gt;5,"&gt;5 Years")</f>
        <v>&gt;5 Years</v>
      </c>
    </row>
    <row r="698" spans="1:39" hidden="1" x14ac:dyDescent="0.45">
      <c r="A698">
        <v>45</v>
      </c>
      <c r="B698" t="s">
        <v>43</v>
      </c>
      <c r="C698" t="s">
        <v>62</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_xlfn.IFS(Table1[[#This Row],[Age]]&lt;30,"Young",Table1[[#This Row],[Age]]&lt;=40,"Adult",Table1[[#This Row],[Age]]&gt;40,"Senior")</f>
        <v>Senior</v>
      </c>
      <c r="AK698" t="str" cm="1">
        <f t="array" ref="AK698">_xlfn.IFS(Table1[[#This Row],[MonthlyIncome]]&lt;5000,"Low",Table1[[#This Row],[MonthlyIncome]]&lt;10000,"Medium",Table1[[#This Row],[MonthlyIncome]]&gt;10000,"High")</f>
        <v>Low</v>
      </c>
      <c r="AL698" t="str" cm="1">
        <f t="array" ref="AL698">_xlfn.IFS(Table1[[#This Row],[Attrition]]="Yes","Resigned",Table1[[#This Row],[Attrition]]="No","Active")</f>
        <v>Active</v>
      </c>
      <c r="AM698" t="str" cm="1">
        <f t="array" ref="AM698">_xlfn.IFS(Table1[[#This Row],[YearsAtCompany]]&lt;=1,"0-1 Year",Table1[[#This Row],[YearsAtCompany]]&lt;=2,"1-2 Years",Table1[[#This Row],[YearsAtCompany]]&lt;=3,"2-3 Years",Table1[[#This Row],[YearsAtCompany]]&lt;=4,"3-4 Years",Table1[[#This Row],[YearsAtCompany]]&lt;=5,"4-5 Years",Table1[[#This Row],[YearsAtCompany]]&gt;5,"&gt;5 Years")</f>
        <v>&gt;5 Years</v>
      </c>
    </row>
    <row r="699" spans="1:39" x14ac:dyDescent="0.45">
      <c r="A699">
        <v>29</v>
      </c>
      <c r="B699" t="s">
        <v>43</v>
      </c>
      <c r="C699" t="s">
        <v>63</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_xlfn.IFS(Table1[[#This Row],[Age]]&lt;30,"Young",Table1[[#This Row],[Age]]&lt;=40,"Adult",Table1[[#This Row],[Age]]&gt;40,"Senior")</f>
        <v>Young</v>
      </c>
      <c r="AK699" t="str" cm="1">
        <f t="array" ref="AK699">_xlfn.IFS(Table1[[#This Row],[MonthlyIncome]]&lt;5000,"Low",Table1[[#This Row],[MonthlyIncome]]&lt;10000,"Medium",Table1[[#This Row],[MonthlyIncome]]&gt;10000,"High")</f>
        <v>Low</v>
      </c>
      <c r="AL699" t="str" cm="1">
        <f t="array" ref="AL699">_xlfn.IFS(Table1[[#This Row],[Attrition]]="Yes","Resigned",Table1[[#This Row],[Attrition]]="No","Active")</f>
        <v>Active</v>
      </c>
      <c r="AM699" t="str" cm="1">
        <f t="array" ref="AM699">_xlfn.IFS(Table1[[#This Row],[YearsAtCompany]]&lt;=1,"0-1 Year",Table1[[#This Row],[YearsAtCompany]]&lt;=2,"1-2 Years",Table1[[#This Row],[YearsAtCompany]]&lt;=3,"2-3 Years",Table1[[#This Row],[YearsAtCompany]]&lt;=4,"3-4 Years",Table1[[#This Row],[YearsAtCompany]]&lt;=5,"4-5 Years",Table1[[#This Row],[YearsAtCompany]]&gt;5,"&gt;5 Years")</f>
        <v>2-3 Years</v>
      </c>
    </row>
    <row r="700" spans="1:39" x14ac:dyDescent="0.45">
      <c r="A700">
        <v>35</v>
      </c>
      <c r="B700" t="s">
        <v>43</v>
      </c>
      <c r="C700" t="s">
        <v>64</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_xlfn.IFS(Table1[[#This Row],[Age]]&lt;30,"Young",Table1[[#This Row],[Age]]&lt;=40,"Adult",Table1[[#This Row],[Age]]&gt;40,"Senior")</f>
        <v>Adult</v>
      </c>
      <c r="AK700" t="str" cm="1">
        <f t="array" ref="AK700">_xlfn.IFS(Table1[[#This Row],[MonthlyIncome]]&lt;5000,"Low",Table1[[#This Row],[MonthlyIncome]]&lt;10000,"Medium",Table1[[#This Row],[MonthlyIncome]]&gt;10000,"High")</f>
        <v>Low</v>
      </c>
      <c r="AL700" t="str" cm="1">
        <f t="array" ref="AL700">_xlfn.IFS(Table1[[#This Row],[Attrition]]="Yes","Resigned",Table1[[#This Row],[Attrition]]="No","Active")</f>
        <v>Active</v>
      </c>
      <c r="AM700" t="str" cm="1">
        <f t="array" ref="AM700">_xlfn.IFS(Table1[[#This Row],[YearsAtCompany]]&lt;=1,"0-1 Year",Table1[[#This Row],[YearsAtCompany]]&lt;=2,"1-2 Years",Table1[[#This Row],[YearsAtCompany]]&lt;=3,"2-3 Years",Table1[[#This Row],[YearsAtCompany]]&lt;=4,"3-4 Years",Table1[[#This Row],[YearsAtCompany]]&lt;=5,"4-5 Years",Table1[[#This Row],[YearsAtCompany]]&gt;5,"&gt;5 Years")</f>
        <v>4-5 Years</v>
      </c>
    </row>
    <row r="701" spans="1:39" hidden="1" x14ac:dyDescent="0.45">
      <c r="A701">
        <v>52</v>
      </c>
      <c r="B701" t="s">
        <v>43</v>
      </c>
      <c r="C701" t="s">
        <v>64</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_xlfn.IFS(Table1[[#This Row],[Age]]&lt;30,"Young",Table1[[#This Row],[Age]]&lt;=40,"Adult",Table1[[#This Row],[Age]]&gt;40,"Senior")</f>
        <v>Senior</v>
      </c>
      <c r="AK701" t="str" cm="1">
        <f t="array" ref="AK701">_xlfn.IFS(Table1[[#This Row],[MonthlyIncome]]&lt;5000,"Low",Table1[[#This Row],[MonthlyIncome]]&lt;10000,"Medium",Table1[[#This Row],[MonthlyIncome]]&gt;10000,"High")</f>
        <v>High</v>
      </c>
      <c r="AL701" t="str" cm="1">
        <f t="array" ref="AL701">_xlfn.IFS(Table1[[#This Row],[Attrition]]="Yes","Resigned",Table1[[#This Row],[Attrition]]="No","Active")</f>
        <v>Active</v>
      </c>
      <c r="AM701" t="str" cm="1">
        <f t="array" ref="AM701">_xlfn.IFS(Table1[[#This Row],[YearsAtCompany]]&lt;=1,"0-1 Year",Table1[[#This Row],[YearsAtCompany]]&lt;=2,"1-2 Years",Table1[[#This Row],[YearsAtCompany]]&lt;=3,"2-3 Years",Table1[[#This Row],[YearsAtCompany]]&lt;=4,"3-4 Years",Table1[[#This Row],[YearsAtCompany]]&lt;=5,"4-5 Years",Table1[[#This Row],[YearsAtCompany]]&gt;5,"&gt;5 Years")</f>
        <v>&gt;5 Years</v>
      </c>
    </row>
    <row r="702" spans="1:39" hidden="1" x14ac:dyDescent="0.45">
      <c r="A702">
        <v>58</v>
      </c>
      <c r="B702" t="s">
        <v>35</v>
      </c>
      <c r="C702" t="s">
        <v>64</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_xlfn.IFS(Table1[[#This Row],[Age]]&lt;30,"Young",Table1[[#This Row],[Age]]&lt;=40,"Adult",Table1[[#This Row],[Age]]&gt;40,"Senior")</f>
        <v>Senior</v>
      </c>
      <c r="AK702" t="str" cm="1">
        <f t="array" ref="AK702">_xlfn.IFS(Table1[[#This Row],[MonthlyIncome]]&lt;5000,"Low",Table1[[#This Row],[MonthlyIncome]]&lt;10000,"Medium",Table1[[#This Row],[MonthlyIncome]]&gt;10000,"High")</f>
        <v>Low</v>
      </c>
      <c r="AL702" t="str" cm="1">
        <f t="array" ref="AL702">_xlfn.IFS(Table1[[#This Row],[Attrition]]="Yes","Resigned",Table1[[#This Row],[Attrition]]="No","Active")</f>
        <v>Resigned</v>
      </c>
      <c r="AM702" t="str" cm="1">
        <f t="array" ref="AM702">_xlfn.IFS(Table1[[#This Row],[YearsAtCompany]]&lt;=1,"0-1 Year",Table1[[#This Row],[YearsAtCompany]]&lt;=2,"1-2 Years",Table1[[#This Row],[YearsAtCompany]]&lt;=3,"2-3 Years",Table1[[#This Row],[YearsAtCompany]]&lt;=4,"3-4 Years",Table1[[#This Row],[YearsAtCompany]]&lt;=5,"4-5 Years",Table1[[#This Row],[YearsAtCompany]]&gt;5,"&gt;5 Years")</f>
        <v>0-1 Year</v>
      </c>
    </row>
    <row r="703" spans="1:39" x14ac:dyDescent="0.45">
      <c r="A703">
        <v>53</v>
      </c>
      <c r="B703" t="s">
        <v>43</v>
      </c>
      <c r="C703" t="s">
        <v>64</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_xlfn.IFS(Table1[[#This Row],[Age]]&lt;30,"Young",Table1[[#This Row],[Age]]&lt;=40,"Adult",Table1[[#This Row],[Age]]&gt;40,"Senior")</f>
        <v>Senior</v>
      </c>
      <c r="AK703" t="str" cm="1">
        <f t="array" ref="AK703">_xlfn.IFS(Table1[[#This Row],[MonthlyIncome]]&lt;5000,"Low",Table1[[#This Row],[MonthlyIncome]]&lt;10000,"Medium",Table1[[#This Row],[MonthlyIncome]]&gt;10000,"High")</f>
        <v>High</v>
      </c>
      <c r="AL703" t="str" cm="1">
        <f t="array" ref="AL703">_xlfn.IFS(Table1[[#This Row],[Attrition]]="Yes","Resigned",Table1[[#This Row],[Attrition]]="No","Active")</f>
        <v>Active</v>
      </c>
      <c r="AM703" t="str" cm="1">
        <f t="array" ref="AM703">_xlfn.IFS(Table1[[#This Row],[YearsAtCompany]]&lt;=1,"0-1 Year",Table1[[#This Row],[YearsAtCompany]]&lt;=2,"1-2 Years",Table1[[#This Row],[YearsAtCompany]]&lt;=3,"2-3 Years",Table1[[#This Row],[YearsAtCompany]]&lt;=4,"3-4 Years",Table1[[#This Row],[YearsAtCompany]]&lt;=5,"4-5 Years",Table1[[#This Row],[YearsAtCompany]]&gt;5,"&gt;5 Years")</f>
        <v>&gt;5 Years</v>
      </c>
    </row>
    <row r="704" spans="1:39" x14ac:dyDescent="0.45">
      <c r="A704">
        <v>30</v>
      </c>
      <c r="B704" t="s">
        <v>43</v>
      </c>
      <c r="C704" t="s">
        <v>64</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_xlfn.IFS(Table1[[#This Row],[Age]]&lt;30,"Young",Table1[[#This Row],[Age]]&lt;=40,"Adult",Table1[[#This Row],[Age]]&gt;40,"Senior")</f>
        <v>Adult</v>
      </c>
      <c r="AK704" t="str" cm="1">
        <f t="array" ref="AK704">_xlfn.IFS(Table1[[#This Row],[MonthlyIncome]]&lt;5000,"Low",Table1[[#This Row],[MonthlyIncome]]&lt;10000,"Medium",Table1[[#This Row],[MonthlyIncome]]&gt;10000,"High")</f>
        <v>Medium</v>
      </c>
      <c r="AL704" t="str" cm="1">
        <f t="array" ref="AL704">_xlfn.IFS(Table1[[#This Row],[Attrition]]="Yes","Resigned",Table1[[#This Row],[Attrition]]="No","Active")</f>
        <v>Active</v>
      </c>
      <c r="AM704" t="str" cm="1">
        <f t="array" ref="AM704">_xlfn.IFS(Table1[[#This Row],[YearsAtCompany]]&lt;=1,"0-1 Year",Table1[[#This Row],[YearsAtCompany]]&lt;=2,"1-2 Years",Table1[[#This Row],[YearsAtCompany]]&lt;=3,"2-3 Years",Table1[[#This Row],[YearsAtCompany]]&lt;=4,"3-4 Years",Table1[[#This Row],[YearsAtCompany]]&lt;=5,"4-5 Years",Table1[[#This Row],[YearsAtCompany]]&gt;5,"&gt;5 Years")</f>
        <v>&gt;5 Years</v>
      </c>
    </row>
    <row r="705" spans="1:39" x14ac:dyDescent="0.45">
      <c r="A705">
        <v>38</v>
      </c>
      <c r="B705" t="s">
        <v>43</v>
      </c>
      <c r="C705" t="s">
        <v>62</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_xlfn.IFS(Table1[[#This Row],[Age]]&lt;30,"Young",Table1[[#This Row],[Age]]&lt;=40,"Adult",Table1[[#This Row],[Age]]&gt;40,"Senior")</f>
        <v>Adult</v>
      </c>
      <c r="AK705" t="str" cm="1">
        <f t="array" ref="AK705">_xlfn.IFS(Table1[[#This Row],[MonthlyIncome]]&lt;5000,"Low",Table1[[#This Row],[MonthlyIncome]]&lt;10000,"Medium",Table1[[#This Row],[MonthlyIncome]]&gt;10000,"High")</f>
        <v>Medium</v>
      </c>
      <c r="AL705" t="str" cm="1">
        <f t="array" ref="AL705">_xlfn.IFS(Table1[[#This Row],[Attrition]]="Yes","Resigned",Table1[[#This Row],[Attrition]]="No","Active")</f>
        <v>Active</v>
      </c>
      <c r="AM705" t="str" cm="1">
        <f t="array" ref="AM705">_xlfn.IFS(Table1[[#This Row],[YearsAtCompany]]&lt;=1,"0-1 Year",Table1[[#This Row],[YearsAtCompany]]&lt;=2,"1-2 Years",Table1[[#This Row],[YearsAtCompany]]&lt;=3,"2-3 Years",Table1[[#This Row],[YearsAtCompany]]&lt;=4,"3-4 Years",Table1[[#This Row],[YearsAtCompany]]&lt;=5,"4-5 Years",Table1[[#This Row],[YearsAtCompany]]&gt;5,"&gt;5 Years")</f>
        <v>4-5 Years</v>
      </c>
    </row>
    <row r="706" spans="1:39" x14ac:dyDescent="0.45">
      <c r="A706">
        <v>35</v>
      </c>
      <c r="B706" t="s">
        <v>43</v>
      </c>
      <c r="C706" t="s">
        <v>64</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_xlfn.IFS(Table1[[#This Row],[Age]]&lt;30,"Young",Table1[[#This Row],[Age]]&lt;=40,"Adult",Table1[[#This Row],[Age]]&gt;40,"Senior")</f>
        <v>Adult</v>
      </c>
      <c r="AK706" t="str" cm="1">
        <f t="array" ref="AK706">_xlfn.IFS(Table1[[#This Row],[MonthlyIncome]]&lt;5000,"Low",Table1[[#This Row],[MonthlyIncome]]&lt;10000,"Medium",Table1[[#This Row],[MonthlyIncome]]&gt;10000,"High")</f>
        <v>Medium</v>
      </c>
      <c r="AL706" t="str" cm="1">
        <f t="array" ref="AL706">_xlfn.IFS(Table1[[#This Row],[Attrition]]="Yes","Resigned",Table1[[#This Row],[Attrition]]="No","Active")</f>
        <v>Active</v>
      </c>
      <c r="AM706" t="str" cm="1">
        <f t="array" ref="AM706">_xlfn.IFS(Table1[[#This Row],[YearsAtCompany]]&lt;=1,"0-1 Year",Table1[[#This Row],[YearsAtCompany]]&lt;=2,"1-2 Years",Table1[[#This Row],[YearsAtCompany]]&lt;=3,"2-3 Years",Table1[[#This Row],[YearsAtCompany]]&lt;=4,"3-4 Years",Table1[[#This Row],[YearsAtCompany]]&lt;=5,"4-5 Years",Table1[[#This Row],[YearsAtCompany]]&gt;5,"&gt;5 Years")</f>
        <v>&gt;5 Years</v>
      </c>
    </row>
    <row r="707" spans="1:39" x14ac:dyDescent="0.45">
      <c r="A707">
        <v>39</v>
      </c>
      <c r="B707" t="s">
        <v>43</v>
      </c>
      <c r="C707" t="s">
        <v>64</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_xlfn.IFS(Table1[[#This Row],[Age]]&lt;30,"Young",Table1[[#This Row],[Age]]&lt;=40,"Adult",Table1[[#This Row],[Age]]&gt;40,"Senior")</f>
        <v>Adult</v>
      </c>
      <c r="AK707" t="str" cm="1">
        <f t="array" ref="AK707">_xlfn.IFS(Table1[[#This Row],[MonthlyIncome]]&lt;5000,"Low",Table1[[#This Row],[MonthlyIncome]]&lt;10000,"Medium",Table1[[#This Row],[MonthlyIncome]]&gt;10000,"High")</f>
        <v>Medium</v>
      </c>
      <c r="AL707" t="str" cm="1">
        <f t="array" ref="AL707">_xlfn.IFS(Table1[[#This Row],[Attrition]]="Yes","Resigned",Table1[[#This Row],[Attrition]]="No","Active")</f>
        <v>Active</v>
      </c>
      <c r="AM707" t="str" cm="1">
        <f t="array" ref="AM707">_xlfn.IFS(Table1[[#This Row],[YearsAtCompany]]&lt;=1,"0-1 Year",Table1[[#This Row],[YearsAtCompany]]&lt;=2,"1-2 Years",Table1[[#This Row],[YearsAtCompany]]&lt;=3,"2-3 Years",Table1[[#This Row],[YearsAtCompany]]&lt;=4,"3-4 Years",Table1[[#This Row],[YearsAtCompany]]&lt;=5,"4-5 Years",Table1[[#This Row],[YearsAtCompany]]&gt;5,"&gt;5 Years")</f>
        <v>&gt;5 Years</v>
      </c>
    </row>
    <row r="708" spans="1:39" x14ac:dyDescent="0.45">
      <c r="A708">
        <v>40</v>
      </c>
      <c r="B708" t="s">
        <v>35</v>
      </c>
      <c r="C708" t="s">
        <v>62</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_xlfn.IFS(Table1[[#This Row],[Age]]&lt;30,"Young",Table1[[#This Row],[Age]]&lt;=40,"Adult",Table1[[#This Row],[Age]]&gt;40,"Senior")</f>
        <v>Adult</v>
      </c>
      <c r="AK708" t="str" cm="1">
        <f t="array" ref="AK708">_xlfn.IFS(Table1[[#This Row],[MonthlyIncome]]&lt;5000,"Low",Table1[[#This Row],[MonthlyIncome]]&lt;10000,"Medium",Table1[[#This Row],[MonthlyIncome]]&gt;10000,"High")</f>
        <v>High</v>
      </c>
      <c r="AL708" t="str" cm="1">
        <f t="array" ref="AL708">_xlfn.IFS(Table1[[#This Row],[Attrition]]="Yes","Resigned",Table1[[#This Row],[Attrition]]="No","Active")</f>
        <v>Resigned</v>
      </c>
      <c r="AM708" t="str" cm="1">
        <f t="array" ref="AM708">_xlfn.IFS(Table1[[#This Row],[YearsAtCompany]]&lt;=1,"0-1 Year",Table1[[#This Row],[YearsAtCompany]]&lt;=2,"1-2 Years",Table1[[#This Row],[YearsAtCompany]]&lt;=3,"2-3 Years",Table1[[#This Row],[YearsAtCompany]]&lt;=4,"3-4 Years",Table1[[#This Row],[YearsAtCompany]]&lt;=5,"4-5 Years",Table1[[#This Row],[YearsAtCompany]]&gt;5,"&gt;5 Years")</f>
        <v>0-1 Year</v>
      </c>
    </row>
    <row r="709" spans="1:39" hidden="1" x14ac:dyDescent="0.45">
      <c r="A709">
        <v>47</v>
      </c>
      <c r="B709" t="s">
        <v>43</v>
      </c>
      <c r="C709" t="s">
        <v>63</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_xlfn.IFS(Table1[[#This Row],[Age]]&lt;30,"Young",Table1[[#This Row],[Age]]&lt;=40,"Adult",Table1[[#This Row],[Age]]&gt;40,"Senior")</f>
        <v>Senior</v>
      </c>
      <c r="AK709" t="str" cm="1">
        <f t="array" ref="AK709">_xlfn.IFS(Table1[[#This Row],[MonthlyIncome]]&lt;5000,"Low",Table1[[#This Row],[MonthlyIncome]]&lt;10000,"Medium",Table1[[#This Row],[MonthlyIncome]]&gt;10000,"High")</f>
        <v>Medium</v>
      </c>
      <c r="AL709" t="str" cm="1">
        <f t="array" ref="AL709">_xlfn.IFS(Table1[[#This Row],[Attrition]]="Yes","Resigned",Table1[[#This Row],[Attrition]]="No","Active")</f>
        <v>Active</v>
      </c>
      <c r="AM709" t="str" cm="1">
        <f t="array" ref="AM709">_xlfn.IFS(Table1[[#This Row],[YearsAtCompany]]&lt;=1,"0-1 Year",Table1[[#This Row],[YearsAtCompany]]&lt;=2,"1-2 Years",Table1[[#This Row],[YearsAtCompany]]&lt;=3,"2-3 Years",Table1[[#This Row],[YearsAtCompany]]&lt;=4,"3-4 Years",Table1[[#This Row],[YearsAtCompany]]&lt;=5,"4-5 Years",Table1[[#This Row],[YearsAtCompany]]&gt;5,"&gt;5 Years")</f>
        <v>&gt;5 Years</v>
      </c>
    </row>
    <row r="710" spans="1:39" x14ac:dyDescent="0.45">
      <c r="A710">
        <v>36</v>
      </c>
      <c r="B710" t="s">
        <v>43</v>
      </c>
      <c r="C710" t="s">
        <v>62</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_xlfn.IFS(Table1[[#This Row],[Age]]&lt;30,"Young",Table1[[#This Row],[Age]]&lt;=40,"Adult",Table1[[#This Row],[Age]]&gt;40,"Senior")</f>
        <v>Adult</v>
      </c>
      <c r="AK710" t="str" cm="1">
        <f t="array" ref="AK710">_xlfn.IFS(Table1[[#This Row],[MonthlyIncome]]&lt;5000,"Low",Table1[[#This Row],[MonthlyIncome]]&lt;10000,"Medium",Table1[[#This Row],[MonthlyIncome]]&gt;10000,"High")</f>
        <v>Medium</v>
      </c>
      <c r="AL710" t="str" cm="1">
        <f t="array" ref="AL710">_xlfn.IFS(Table1[[#This Row],[Attrition]]="Yes","Resigned",Table1[[#This Row],[Attrition]]="No","Active")</f>
        <v>Active</v>
      </c>
      <c r="AM710" t="str" cm="1">
        <f t="array" ref="AM710">_xlfn.IFS(Table1[[#This Row],[YearsAtCompany]]&lt;=1,"0-1 Year",Table1[[#This Row],[YearsAtCompany]]&lt;=2,"1-2 Years",Table1[[#This Row],[YearsAtCompany]]&lt;=3,"2-3 Years",Table1[[#This Row],[YearsAtCompany]]&lt;=4,"3-4 Years",Table1[[#This Row],[YearsAtCompany]]&lt;=5,"4-5 Years",Table1[[#This Row],[YearsAtCompany]]&gt;5,"&gt;5 Years")</f>
        <v>&gt;5 Years</v>
      </c>
    </row>
    <row r="711" spans="1:39" hidden="1" x14ac:dyDescent="0.45">
      <c r="A711">
        <v>31</v>
      </c>
      <c r="B711" t="s">
        <v>35</v>
      </c>
      <c r="C711" t="s">
        <v>62</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_xlfn.IFS(Table1[[#This Row],[Age]]&lt;30,"Young",Table1[[#This Row],[Age]]&lt;=40,"Adult",Table1[[#This Row],[Age]]&gt;40,"Senior")</f>
        <v>Adult</v>
      </c>
      <c r="AK711" t="str" cm="1">
        <f t="array" ref="AK711">_xlfn.IFS(Table1[[#This Row],[MonthlyIncome]]&lt;5000,"Low",Table1[[#This Row],[MonthlyIncome]]&lt;10000,"Medium",Table1[[#This Row],[MonthlyIncome]]&gt;10000,"High")</f>
        <v>Low</v>
      </c>
      <c r="AL711" t="str" cm="1">
        <f t="array" ref="AL711">_xlfn.IFS(Table1[[#This Row],[Attrition]]="Yes","Resigned",Table1[[#This Row],[Attrition]]="No","Active")</f>
        <v>Resigned</v>
      </c>
      <c r="AM711" t="str" cm="1">
        <f t="array" ref="AM711">_xlfn.IFS(Table1[[#This Row],[YearsAtCompany]]&lt;=1,"0-1 Year",Table1[[#This Row],[YearsAtCompany]]&lt;=2,"1-2 Years",Table1[[#This Row],[YearsAtCompany]]&lt;=3,"2-3 Years",Table1[[#This Row],[YearsAtCompany]]&lt;=4,"3-4 Years",Table1[[#This Row],[YearsAtCompany]]&lt;=5,"4-5 Years",Table1[[#This Row],[YearsAtCompany]]&gt;5,"&gt;5 Years")</f>
        <v>2-3 Years</v>
      </c>
    </row>
    <row r="712" spans="1:39" x14ac:dyDescent="0.45">
      <c r="A712">
        <v>33</v>
      </c>
      <c r="B712" t="s">
        <v>43</v>
      </c>
      <c r="C712" t="s">
        <v>62</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_xlfn.IFS(Table1[[#This Row],[Age]]&lt;30,"Young",Table1[[#This Row],[Age]]&lt;=40,"Adult",Table1[[#This Row],[Age]]&gt;40,"Senior")</f>
        <v>Adult</v>
      </c>
      <c r="AK712" t="str" cm="1">
        <f t="array" ref="AK712">_xlfn.IFS(Table1[[#This Row],[MonthlyIncome]]&lt;5000,"Low",Table1[[#This Row],[MonthlyIncome]]&lt;10000,"Medium",Table1[[#This Row],[MonthlyIncome]]&gt;10000,"High")</f>
        <v>High</v>
      </c>
      <c r="AL712" t="str" cm="1">
        <f t="array" ref="AL712">_xlfn.IFS(Table1[[#This Row],[Attrition]]="Yes","Resigned",Table1[[#This Row],[Attrition]]="No","Active")</f>
        <v>Active</v>
      </c>
      <c r="AM712" t="str" cm="1">
        <f t="array" ref="AM712">_xlfn.IFS(Table1[[#This Row],[YearsAtCompany]]&lt;=1,"0-1 Year",Table1[[#This Row],[YearsAtCompany]]&lt;=2,"1-2 Years",Table1[[#This Row],[YearsAtCompany]]&lt;=3,"2-3 Years",Table1[[#This Row],[YearsAtCompany]]&lt;=4,"3-4 Years",Table1[[#This Row],[YearsAtCompany]]&lt;=5,"4-5 Years",Table1[[#This Row],[YearsAtCompany]]&gt;5,"&gt;5 Years")</f>
        <v>&gt;5 Years</v>
      </c>
    </row>
    <row r="713" spans="1:39" hidden="1" x14ac:dyDescent="0.45">
      <c r="A713">
        <v>29</v>
      </c>
      <c r="B713" t="s">
        <v>35</v>
      </c>
      <c r="C713" t="s">
        <v>64</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_xlfn.IFS(Table1[[#This Row],[Age]]&lt;30,"Young",Table1[[#This Row],[Age]]&lt;=40,"Adult",Table1[[#This Row],[Age]]&gt;40,"Senior")</f>
        <v>Young</v>
      </c>
      <c r="AK713" t="str" cm="1">
        <f t="array" ref="AK713">_xlfn.IFS(Table1[[#This Row],[MonthlyIncome]]&lt;5000,"Low",Table1[[#This Row],[MonthlyIncome]]&lt;10000,"Medium",Table1[[#This Row],[MonthlyIncome]]&gt;10000,"High")</f>
        <v>Low</v>
      </c>
      <c r="AL713" t="str" cm="1">
        <f t="array" ref="AL713">_xlfn.IFS(Table1[[#This Row],[Attrition]]="Yes","Resigned",Table1[[#This Row],[Attrition]]="No","Active")</f>
        <v>Resigned</v>
      </c>
      <c r="AM713" t="str" cm="1">
        <f t="array" ref="AM713">_xlfn.IFS(Table1[[#This Row],[YearsAtCompany]]&lt;=1,"0-1 Year",Table1[[#This Row],[YearsAtCompany]]&lt;=2,"1-2 Years",Table1[[#This Row],[YearsAtCompany]]&lt;=3,"2-3 Years",Table1[[#This Row],[YearsAtCompany]]&lt;=4,"3-4 Years",Table1[[#This Row],[YearsAtCompany]]&lt;=5,"4-5 Years",Table1[[#This Row],[YearsAtCompany]]&gt;5,"&gt;5 Years")</f>
        <v>0-1 Year</v>
      </c>
    </row>
    <row r="714" spans="1:39" hidden="1" x14ac:dyDescent="0.45">
      <c r="A714">
        <v>33</v>
      </c>
      <c r="B714" t="s">
        <v>43</v>
      </c>
      <c r="C714" t="s">
        <v>64</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_xlfn.IFS(Table1[[#This Row],[Age]]&lt;30,"Young",Table1[[#This Row],[Age]]&lt;=40,"Adult",Table1[[#This Row],[Age]]&gt;40,"Senior")</f>
        <v>Adult</v>
      </c>
      <c r="AK714" t="str" cm="1">
        <f t="array" ref="AK714">_xlfn.IFS(Table1[[#This Row],[MonthlyIncome]]&lt;5000,"Low",Table1[[#This Row],[MonthlyIncome]]&lt;10000,"Medium",Table1[[#This Row],[MonthlyIncome]]&gt;10000,"High")</f>
        <v>Low</v>
      </c>
      <c r="AL714" t="str" cm="1">
        <f t="array" ref="AL714">_xlfn.IFS(Table1[[#This Row],[Attrition]]="Yes","Resigned",Table1[[#This Row],[Attrition]]="No","Active")</f>
        <v>Active</v>
      </c>
      <c r="AM714" t="str" cm="1">
        <f t="array" ref="AM714">_xlfn.IFS(Table1[[#This Row],[YearsAtCompany]]&lt;=1,"0-1 Year",Table1[[#This Row],[YearsAtCompany]]&lt;=2,"1-2 Years",Table1[[#This Row],[YearsAtCompany]]&lt;=3,"2-3 Years",Table1[[#This Row],[YearsAtCompany]]&lt;=4,"3-4 Years",Table1[[#This Row],[YearsAtCompany]]&lt;=5,"4-5 Years",Table1[[#This Row],[YearsAtCompany]]&gt;5,"&gt;5 Years")</f>
        <v>2-3 Years</v>
      </c>
    </row>
    <row r="715" spans="1:39" hidden="1" x14ac:dyDescent="0.45">
      <c r="A715">
        <v>45</v>
      </c>
      <c r="B715" t="s">
        <v>43</v>
      </c>
      <c r="C715" t="s">
        <v>64</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_xlfn.IFS(Table1[[#This Row],[Age]]&lt;30,"Young",Table1[[#This Row],[Age]]&lt;=40,"Adult",Table1[[#This Row],[Age]]&gt;40,"Senior")</f>
        <v>Senior</v>
      </c>
      <c r="AK715" t="str" cm="1">
        <f t="array" ref="AK715">_xlfn.IFS(Table1[[#This Row],[MonthlyIncome]]&lt;5000,"Low",Table1[[#This Row],[MonthlyIncome]]&lt;10000,"Medium",Table1[[#This Row],[MonthlyIncome]]&gt;10000,"High")</f>
        <v>Low</v>
      </c>
      <c r="AL715" t="str" cm="1">
        <f t="array" ref="AL715">_xlfn.IFS(Table1[[#This Row],[Attrition]]="Yes","Resigned",Table1[[#This Row],[Attrition]]="No","Active")</f>
        <v>Active</v>
      </c>
      <c r="AM715" t="str" cm="1">
        <f t="array" ref="AM715">_xlfn.IFS(Table1[[#This Row],[YearsAtCompany]]&lt;=1,"0-1 Year",Table1[[#This Row],[YearsAtCompany]]&lt;=2,"1-2 Years",Table1[[#This Row],[YearsAtCompany]]&lt;=3,"2-3 Years",Table1[[#This Row],[YearsAtCompany]]&lt;=4,"3-4 Years",Table1[[#This Row],[YearsAtCompany]]&lt;=5,"4-5 Years",Table1[[#This Row],[YearsAtCompany]]&gt;5,"&gt;5 Years")</f>
        <v>4-5 Years</v>
      </c>
    </row>
    <row r="716" spans="1:39" hidden="1" x14ac:dyDescent="0.45">
      <c r="A716">
        <v>50</v>
      </c>
      <c r="B716" t="s">
        <v>43</v>
      </c>
      <c r="C716" t="s">
        <v>64</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_xlfn.IFS(Table1[[#This Row],[Age]]&lt;30,"Young",Table1[[#This Row],[Age]]&lt;=40,"Adult",Table1[[#This Row],[Age]]&gt;40,"Senior")</f>
        <v>Senior</v>
      </c>
      <c r="AK716" t="str" cm="1">
        <f t="array" ref="AK716">_xlfn.IFS(Table1[[#This Row],[MonthlyIncome]]&lt;5000,"Low",Table1[[#This Row],[MonthlyIncome]]&lt;10000,"Medium",Table1[[#This Row],[MonthlyIncome]]&gt;10000,"High")</f>
        <v>High</v>
      </c>
      <c r="AL716" t="str" cm="1">
        <f t="array" ref="AL716">_xlfn.IFS(Table1[[#This Row],[Attrition]]="Yes","Resigned",Table1[[#This Row],[Attrition]]="No","Active")</f>
        <v>Active</v>
      </c>
      <c r="AM716" t="str" cm="1">
        <f t="array" ref="AM716">_xlfn.IFS(Table1[[#This Row],[YearsAtCompany]]&lt;=1,"0-1 Year",Table1[[#This Row],[YearsAtCompany]]&lt;=2,"1-2 Years",Table1[[#This Row],[YearsAtCompany]]&lt;=3,"2-3 Years",Table1[[#This Row],[YearsAtCompany]]&lt;=4,"3-4 Years",Table1[[#This Row],[YearsAtCompany]]&lt;=5,"4-5 Years",Table1[[#This Row],[YearsAtCompany]]&gt;5,"&gt;5 Years")</f>
        <v>4-5 Years</v>
      </c>
    </row>
    <row r="717" spans="1:39" hidden="1" x14ac:dyDescent="0.45">
      <c r="A717">
        <v>33</v>
      </c>
      <c r="B717" t="s">
        <v>43</v>
      </c>
      <c r="C717" t="s">
        <v>63</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_xlfn.IFS(Table1[[#This Row],[Age]]&lt;30,"Young",Table1[[#This Row],[Age]]&lt;=40,"Adult",Table1[[#This Row],[Age]]&gt;40,"Senior")</f>
        <v>Adult</v>
      </c>
      <c r="AK717" t="str" cm="1">
        <f t="array" ref="AK717">_xlfn.IFS(Table1[[#This Row],[MonthlyIncome]]&lt;5000,"Low",Table1[[#This Row],[MonthlyIncome]]&lt;10000,"Medium",Table1[[#This Row],[MonthlyIncome]]&gt;10000,"High")</f>
        <v>Medium</v>
      </c>
      <c r="AL717" t="str" cm="1">
        <f t="array" ref="AL717">_xlfn.IFS(Table1[[#This Row],[Attrition]]="Yes","Resigned",Table1[[#This Row],[Attrition]]="No","Active")</f>
        <v>Active</v>
      </c>
      <c r="AM717" t="str" cm="1">
        <f t="array" ref="AM717">_xlfn.IFS(Table1[[#This Row],[YearsAtCompany]]&lt;=1,"0-1 Year",Table1[[#This Row],[YearsAtCompany]]&lt;=2,"1-2 Years",Table1[[#This Row],[YearsAtCompany]]&lt;=3,"2-3 Years",Table1[[#This Row],[YearsAtCompany]]&lt;=4,"3-4 Years",Table1[[#This Row],[YearsAtCompany]]&lt;=5,"4-5 Years",Table1[[#This Row],[YearsAtCompany]]&gt;5,"&gt;5 Years")</f>
        <v>&gt;5 Years</v>
      </c>
    </row>
    <row r="718" spans="1:39" hidden="1" x14ac:dyDescent="0.45">
      <c r="A718">
        <v>41</v>
      </c>
      <c r="B718" t="s">
        <v>43</v>
      </c>
      <c r="C718" t="s">
        <v>63</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_xlfn.IFS(Table1[[#This Row],[Age]]&lt;30,"Young",Table1[[#This Row],[Age]]&lt;=40,"Adult",Table1[[#This Row],[Age]]&gt;40,"Senior")</f>
        <v>Senior</v>
      </c>
      <c r="AK718" t="str" cm="1">
        <f t="array" ref="AK718">_xlfn.IFS(Table1[[#This Row],[MonthlyIncome]]&lt;5000,"Low",Table1[[#This Row],[MonthlyIncome]]&lt;10000,"Medium",Table1[[#This Row],[MonthlyIncome]]&gt;10000,"High")</f>
        <v>High</v>
      </c>
      <c r="AL718" t="str" cm="1">
        <f t="array" ref="AL718">_xlfn.IFS(Table1[[#This Row],[Attrition]]="Yes","Resigned",Table1[[#This Row],[Attrition]]="No","Active")</f>
        <v>Active</v>
      </c>
      <c r="AM718" t="str" cm="1">
        <f t="array" ref="AM718">_xlfn.IFS(Table1[[#This Row],[YearsAtCompany]]&lt;=1,"0-1 Year",Table1[[#This Row],[YearsAtCompany]]&lt;=2,"1-2 Years",Table1[[#This Row],[YearsAtCompany]]&lt;=3,"2-3 Years",Table1[[#This Row],[YearsAtCompany]]&lt;=4,"3-4 Years",Table1[[#This Row],[YearsAtCompany]]&lt;=5,"4-5 Years",Table1[[#This Row],[YearsAtCompany]]&gt;5,"&gt;5 Years")</f>
        <v>&gt;5 Years</v>
      </c>
    </row>
    <row r="719" spans="1:39" hidden="1" x14ac:dyDescent="0.45">
      <c r="A719">
        <v>27</v>
      </c>
      <c r="B719" t="s">
        <v>43</v>
      </c>
      <c r="C719" t="s">
        <v>64</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_xlfn.IFS(Table1[[#This Row],[Age]]&lt;30,"Young",Table1[[#This Row],[Age]]&lt;=40,"Adult",Table1[[#This Row],[Age]]&gt;40,"Senior")</f>
        <v>Young</v>
      </c>
      <c r="AK719" t="str" cm="1">
        <f t="array" ref="AK719">_xlfn.IFS(Table1[[#This Row],[MonthlyIncome]]&lt;5000,"Low",Table1[[#This Row],[MonthlyIncome]]&lt;10000,"Medium",Table1[[#This Row],[MonthlyIncome]]&gt;10000,"High")</f>
        <v>Low</v>
      </c>
      <c r="AL719" t="str" cm="1">
        <f t="array" ref="AL719">_xlfn.IFS(Table1[[#This Row],[Attrition]]="Yes","Resigned",Table1[[#This Row],[Attrition]]="No","Active")</f>
        <v>Active</v>
      </c>
      <c r="AM719" t="str" cm="1">
        <f t="array" ref="AM719">_xlfn.IFS(Table1[[#This Row],[YearsAtCompany]]&lt;=1,"0-1 Year",Table1[[#This Row],[YearsAtCompany]]&lt;=2,"1-2 Years",Table1[[#This Row],[YearsAtCompany]]&lt;=3,"2-3 Years",Table1[[#This Row],[YearsAtCompany]]&lt;=4,"3-4 Years",Table1[[#This Row],[YearsAtCompany]]&lt;=5,"4-5 Years",Table1[[#This Row],[YearsAtCompany]]&gt;5,"&gt;5 Years")</f>
        <v>1-2 Years</v>
      </c>
    </row>
    <row r="720" spans="1:39" hidden="1" x14ac:dyDescent="0.45">
      <c r="A720">
        <v>45</v>
      </c>
      <c r="B720" t="s">
        <v>43</v>
      </c>
      <c r="C720" t="s">
        <v>62</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_xlfn.IFS(Table1[[#This Row],[Age]]&lt;30,"Young",Table1[[#This Row],[Age]]&lt;=40,"Adult",Table1[[#This Row],[Age]]&gt;40,"Senior")</f>
        <v>Senior</v>
      </c>
      <c r="AK720" t="str" cm="1">
        <f t="array" ref="AK720">_xlfn.IFS(Table1[[#This Row],[MonthlyIncome]]&lt;5000,"Low",Table1[[#This Row],[MonthlyIncome]]&lt;10000,"Medium",Table1[[#This Row],[MonthlyIncome]]&gt;10000,"High")</f>
        <v>Low</v>
      </c>
      <c r="AL720" t="str" cm="1">
        <f t="array" ref="AL720">_xlfn.IFS(Table1[[#This Row],[Attrition]]="Yes","Resigned",Table1[[#This Row],[Attrition]]="No","Active")</f>
        <v>Active</v>
      </c>
      <c r="AM720" t="str" cm="1">
        <f t="array" ref="AM720">_xlfn.IFS(Table1[[#This Row],[YearsAtCompany]]&lt;=1,"0-1 Year",Table1[[#This Row],[YearsAtCompany]]&lt;=2,"1-2 Years",Table1[[#This Row],[YearsAtCompany]]&lt;=3,"2-3 Years",Table1[[#This Row],[YearsAtCompany]]&lt;=4,"3-4 Years",Table1[[#This Row],[YearsAtCompany]]&lt;=5,"4-5 Years",Table1[[#This Row],[YearsAtCompany]]&gt;5,"&gt;5 Years")</f>
        <v>&gt;5 Years</v>
      </c>
    </row>
    <row r="721" spans="1:39" x14ac:dyDescent="0.45">
      <c r="A721">
        <v>47</v>
      </c>
      <c r="B721" t="s">
        <v>43</v>
      </c>
      <c r="C721" t="s">
        <v>64</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_xlfn.IFS(Table1[[#This Row],[Age]]&lt;30,"Young",Table1[[#This Row],[Age]]&lt;=40,"Adult",Table1[[#This Row],[Age]]&gt;40,"Senior")</f>
        <v>Senior</v>
      </c>
      <c r="AK721" t="str" cm="1">
        <f t="array" ref="AK721">_xlfn.IFS(Table1[[#This Row],[MonthlyIncome]]&lt;5000,"Low",Table1[[#This Row],[MonthlyIncome]]&lt;10000,"Medium",Table1[[#This Row],[MonthlyIncome]]&gt;10000,"High")</f>
        <v>Low</v>
      </c>
      <c r="AL721" t="str" cm="1">
        <f t="array" ref="AL721">_xlfn.IFS(Table1[[#This Row],[Attrition]]="Yes","Resigned",Table1[[#This Row],[Attrition]]="No","Active")</f>
        <v>Active</v>
      </c>
      <c r="AM721" t="str" cm="1">
        <f t="array" ref="AM721">_xlfn.IFS(Table1[[#This Row],[YearsAtCompany]]&lt;=1,"0-1 Year",Table1[[#This Row],[YearsAtCompany]]&lt;=2,"1-2 Years",Table1[[#This Row],[YearsAtCompany]]&lt;=3,"2-3 Years",Table1[[#This Row],[YearsAtCompany]]&lt;=4,"3-4 Years",Table1[[#This Row],[YearsAtCompany]]&lt;=5,"4-5 Years",Table1[[#This Row],[YearsAtCompany]]&gt;5,"&gt;5 Years")</f>
        <v>&gt;5 Years</v>
      </c>
    </row>
    <row r="722" spans="1:39" hidden="1" x14ac:dyDescent="0.45">
      <c r="A722">
        <v>30</v>
      </c>
      <c r="B722" t="s">
        <v>35</v>
      </c>
      <c r="C722" t="s">
        <v>64</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_xlfn.IFS(Table1[[#This Row],[Age]]&lt;30,"Young",Table1[[#This Row],[Age]]&lt;=40,"Adult",Table1[[#This Row],[Age]]&gt;40,"Senior")</f>
        <v>Adult</v>
      </c>
      <c r="AK722" t="str" cm="1">
        <f t="array" ref="AK722">_xlfn.IFS(Table1[[#This Row],[MonthlyIncome]]&lt;5000,"Low",Table1[[#This Row],[MonthlyIncome]]&lt;10000,"Medium",Table1[[#This Row],[MonthlyIncome]]&gt;10000,"High")</f>
        <v>Low</v>
      </c>
      <c r="AL722" t="str" cm="1">
        <f t="array" ref="AL722">_xlfn.IFS(Table1[[#This Row],[Attrition]]="Yes","Resigned",Table1[[#This Row],[Attrition]]="No","Active")</f>
        <v>Resigned</v>
      </c>
      <c r="AM722" t="str" cm="1">
        <f t="array" ref="AM722">_xlfn.IFS(Table1[[#This Row],[YearsAtCompany]]&lt;=1,"0-1 Year",Table1[[#This Row],[YearsAtCompany]]&lt;=2,"1-2 Years",Table1[[#This Row],[YearsAtCompany]]&lt;=3,"2-3 Years",Table1[[#This Row],[YearsAtCompany]]&lt;=4,"3-4 Years",Table1[[#This Row],[YearsAtCompany]]&lt;=5,"4-5 Years",Table1[[#This Row],[YearsAtCompany]]&gt;5,"&gt;5 Years")</f>
        <v>4-5 Years</v>
      </c>
    </row>
    <row r="723" spans="1:39" hidden="1" x14ac:dyDescent="0.45">
      <c r="A723">
        <v>50</v>
      </c>
      <c r="B723" t="s">
        <v>43</v>
      </c>
      <c r="C723" t="s">
        <v>64</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_xlfn.IFS(Table1[[#This Row],[Age]]&lt;30,"Young",Table1[[#This Row],[Age]]&lt;=40,"Adult",Table1[[#This Row],[Age]]&gt;40,"Senior")</f>
        <v>Senior</v>
      </c>
      <c r="AK723" t="str" cm="1">
        <f t="array" ref="AK723">_xlfn.IFS(Table1[[#This Row],[MonthlyIncome]]&lt;5000,"Low",Table1[[#This Row],[MonthlyIncome]]&lt;10000,"Medium",Table1[[#This Row],[MonthlyIncome]]&gt;10000,"High")</f>
        <v>High</v>
      </c>
      <c r="AL723" t="str" cm="1">
        <f t="array" ref="AL723">_xlfn.IFS(Table1[[#This Row],[Attrition]]="Yes","Resigned",Table1[[#This Row],[Attrition]]="No","Active")</f>
        <v>Active</v>
      </c>
      <c r="AM723" t="str" cm="1">
        <f t="array" ref="AM723">_xlfn.IFS(Table1[[#This Row],[YearsAtCompany]]&lt;=1,"0-1 Year",Table1[[#This Row],[YearsAtCompany]]&lt;=2,"1-2 Years",Table1[[#This Row],[YearsAtCompany]]&lt;=3,"2-3 Years",Table1[[#This Row],[YearsAtCompany]]&lt;=4,"3-4 Years",Table1[[#This Row],[YearsAtCompany]]&lt;=5,"4-5 Years",Table1[[#This Row],[YearsAtCompany]]&gt;5,"&gt;5 Years")</f>
        <v>&gt;5 Years</v>
      </c>
    </row>
    <row r="724" spans="1:39" hidden="1" x14ac:dyDescent="0.45">
      <c r="A724">
        <v>38</v>
      </c>
      <c r="B724" t="s">
        <v>43</v>
      </c>
      <c r="C724" t="s">
        <v>63</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_xlfn.IFS(Table1[[#This Row],[Age]]&lt;30,"Young",Table1[[#This Row],[Age]]&lt;=40,"Adult",Table1[[#This Row],[Age]]&gt;40,"Senior")</f>
        <v>Adult</v>
      </c>
      <c r="AK724" t="str" cm="1">
        <f t="array" ref="AK724">_xlfn.IFS(Table1[[#This Row],[MonthlyIncome]]&lt;5000,"Low",Table1[[#This Row],[MonthlyIncome]]&lt;10000,"Medium",Table1[[#This Row],[MonthlyIncome]]&gt;10000,"High")</f>
        <v>Low</v>
      </c>
      <c r="AL724" t="str" cm="1">
        <f t="array" ref="AL724">_xlfn.IFS(Table1[[#This Row],[Attrition]]="Yes","Resigned",Table1[[#This Row],[Attrition]]="No","Active")</f>
        <v>Active</v>
      </c>
      <c r="AM724" t="str" cm="1">
        <f t="array" ref="AM724">_xlfn.IFS(Table1[[#This Row],[YearsAtCompany]]&lt;=1,"0-1 Year",Table1[[#This Row],[YearsAtCompany]]&lt;=2,"1-2 Years",Table1[[#This Row],[YearsAtCompany]]&lt;=3,"2-3 Years",Table1[[#This Row],[YearsAtCompany]]&lt;=4,"3-4 Years",Table1[[#This Row],[YearsAtCompany]]&lt;=5,"4-5 Years",Table1[[#This Row],[YearsAtCompany]]&gt;5,"&gt;5 Years")</f>
        <v>1-2 Years</v>
      </c>
    </row>
    <row r="725" spans="1:39" hidden="1" x14ac:dyDescent="0.45">
      <c r="A725">
        <v>46</v>
      </c>
      <c r="B725" t="s">
        <v>43</v>
      </c>
      <c r="C725" t="s">
        <v>64</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_xlfn.IFS(Table1[[#This Row],[Age]]&lt;30,"Young",Table1[[#This Row],[Age]]&lt;=40,"Adult",Table1[[#This Row],[Age]]&gt;40,"Senior")</f>
        <v>Senior</v>
      </c>
      <c r="AK725" t="str" cm="1">
        <f t="array" ref="AK725">_xlfn.IFS(Table1[[#This Row],[MonthlyIncome]]&lt;5000,"Low",Table1[[#This Row],[MonthlyIncome]]&lt;10000,"Medium",Table1[[#This Row],[MonthlyIncome]]&gt;10000,"High")</f>
        <v>High</v>
      </c>
      <c r="AL725" t="str" cm="1">
        <f t="array" ref="AL725">_xlfn.IFS(Table1[[#This Row],[Attrition]]="Yes","Resigned",Table1[[#This Row],[Attrition]]="No","Active")</f>
        <v>Active</v>
      </c>
      <c r="AM725" t="str" cm="1">
        <f t="array" ref="AM725">_xlfn.IFS(Table1[[#This Row],[YearsAtCompany]]&lt;=1,"0-1 Year",Table1[[#This Row],[YearsAtCompany]]&lt;=2,"1-2 Years",Table1[[#This Row],[YearsAtCompany]]&lt;=3,"2-3 Years",Table1[[#This Row],[YearsAtCompany]]&lt;=4,"3-4 Years",Table1[[#This Row],[YearsAtCompany]]&lt;=5,"4-5 Years",Table1[[#This Row],[YearsAtCompany]]&gt;5,"&gt;5 Years")</f>
        <v>&gt;5 Years</v>
      </c>
    </row>
    <row r="726" spans="1:39" hidden="1" x14ac:dyDescent="0.45">
      <c r="A726">
        <v>24</v>
      </c>
      <c r="B726" t="s">
        <v>43</v>
      </c>
      <c r="C726" t="s">
        <v>64</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_xlfn.IFS(Table1[[#This Row],[Age]]&lt;30,"Young",Table1[[#This Row],[Age]]&lt;=40,"Adult",Table1[[#This Row],[Age]]&gt;40,"Senior")</f>
        <v>Young</v>
      </c>
      <c r="AK726" t="str" cm="1">
        <f t="array" ref="AK726">_xlfn.IFS(Table1[[#This Row],[MonthlyIncome]]&lt;5000,"Low",Table1[[#This Row],[MonthlyIncome]]&lt;10000,"Medium",Table1[[#This Row],[MonthlyIncome]]&gt;10000,"High")</f>
        <v>Low</v>
      </c>
      <c r="AL726" t="str" cm="1">
        <f t="array" ref="AL726">_xlfn.IFS(Table1[[#This Row],[Attrition]]="Yes","Resigned",Table1[[#This Row],[Attrition]]="No","Active")</f>
        <v>Active</v>
      </c>
      <c r="AM726" t="str" cm="1">
        <f t="array" ref="AM726">_xlfn.IFS(Table1[[#This Row],[YearsAtCompany]]&lt;=1,"0-1 Year",Table1[[#This Row],[YearsAtCompany]]&lt;=2,"1-2 Years",Table1[[#This Row],[YearsAtCompany]]&lt;=3,"2-3 Years",Table1[[#This Row],[YearsAtCompany]]&lt;=4,"3-4 Years",Table1[[#This Row],[YearsAtCompany]]&lt;=5,"4-5 Years",Table1[[#This Row],[YearsAtCompany]]&gt;5,"&gt;5 Years")</f>
        <v>3-4 Years</v>
      </c>
    </row>
    <row r="727" spans="1:39" hidden="1" x14ac:dyDescent="0.45">
      <c r="A727">
        <v>35</v>
      </c>
      <c r="B727" t="s">
        <v>35</v>
      </c>
      <c r="C727" t="s">
        <v>64</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_xlfn.IFS(Table1[[#This Row],[Age]]&lt;30,"Young",Table1[[#This Row],[Age]]&lt;=40,"Adult",Table1[[#This Row],[Age]]&gt;40,"Senior")</f>
        <v>Adult</v>
      </c>
      <c r="AK727" t="str" cm="1">
        <f t="array" ref="AK727">_xlfn.IFS(Table1[[#This Row],[MonthlyIncome]]&lt;5000,"Low",Table1[[#This Row],[MonthlyIncome]]&lt;10000,"Medium",Table1[[#This Row],[MonthlyIncome]]&gt;10000,"High")</f>
        <v>Low</v>
      </c>
      <c r="AL727" t="str" cm="1">
        <f t="array" ref="AL727">_xlfn.IFS(Table1[[#This Row],[Attrition]]="Yes","Resigned",Table1[[#This Row],[Attrition]]="No","Active")</f>
        <v>Resigned</v>
      </c>
      <c r="AM727" t="str" cm="1">
        <f t="array" ref="AM727">_xlfn.IFS(Table1[[#This Row],[YearsAtCompany]]&lt;=1,"0-1 Year",Table1[[#This Row],[YearsAtCompany]]&lt;=2,"1-2 Years",Table1[[#This Row],[YearsAtCompany]]&lt;=3,"2-3 Years",Table1[[#This Row],[YearsAtCompany]]&lt;=4,"3-4 Years",Table1[[#This Row],[YearsAtCompany]]&lt;=5,"4-5 Years",Table1[[#This Row],[YearsAtCompany]]&gt;5,"&gt;5 Years")</f>
        <v>3-4 Years</v>
      </c>
    </row>
    <row r="728" spans="1:39" hidden="1" x14ac:dyDescent="0.45">
      <c r="A728">
        <v>31</v>
      </c>
      <c r="B728" t="s">
        <v>43</v>
      </c>
      <c r="C728" t="s">
        <v>63</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_xlfn.IFS(Table1[[#This Row],[Age]]&lt;30,"Young",Table1[[#This Row],[Age]]&lt;=40,"Adult",Table1[[#This Row],[Age]]&gt;40,"Senior")</f>
        <v>Adult</v>
      </c>
      <c r="AK728" t="str" cm="1">
        <f t="array" ref="AK728">_xlfn.IFS(Table1[[#This Row],[MonthlyIncome]]&lt;5000,"Low",Table1[[#This Row],[MonthlyIncome]]&lt;10000,"Medium",Table1[[#This Row],[MonthlyIncome]]&gt;10000,"High")</f>
        <v>Low</v>
      </c>
      <c r="AL728" t="str" cm="1">
        <f t="array" ref="AL728">_xlfn.IFS(Table1[[#This Row],[Attrition]]="Yes","Resigned",Table1[[#This Row],[Attrition]]="No","Active")</f>
        <v>Active</v>
      </c>
      <c r="AM728" t="str" cm="1">
        <f t="array" ref="AM728">_xlfn.IFS(Table1[[#This Row],[YearsAtCompany]]&lt;=1,"0-1 Year",Table1[[#This Row],[YearsAtCompany]]&lt;=2,"1-2 Years",Table1[[#This Row],[YearsAtCompany]]&lt;=3,"2-3 Years",Table1[[#This Row],[YearsAtCompany]]&lt;=4,"3-4 Years",Table1[[#This Row],[YearsAtCompany]]&lt;=5,"4-5 Years",Table1[[#This Row],[YearsAtCompany]]&gt;5,"&gt;5 Years")</f>
        <v>3-4 Years</v>
      </c>
    </row>
    <row r="729" spans="1:39" hidden="1" x14ac:dyDescent="0.45">
      <c r="A729">
        <v>18</v>
      </c>
      <c r="B729" t="s">
        <v>43</v>
      </c>
      <c r="C729" t="s">
        <v>62</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_xlfn.IFS(Table1[[#This Row],[Age]]&lt;30,"Young",Table1[[#This Row],[Age]]&lt;=40,"Adult",Table1[[#This Row],[Age]]&gt;40,"Senior")</f>
        <v>Young</v>
      </c>
      <c r="AK729" t="str" cm="1">
        <f t="array" ref="AK729">_xlfn.IFS(Table1[[#This Row],[MonthlyIncome]]&lt;5000,"Low",Table1[[#This Row],[MonthlyIncome]]&lt;10000,"Medium",Table1[[#This Row],[MonthlyIncome]]&gt;10000,"High")</f>
        <v>Low</v>
      </c>
      <c r="AL729" t="str" cm="1">
        <f t="array" ref="AL729">_xlfn.IFS(Table1[[#This Row],[Attrition]]="Yes","Resigned",Table1[[#This Row],[Attrition]]="No","Active")</f>
        <v>Active</v>
      </c>
      <c r="AM729" t="str" cm="1">
        <f t="array" ref="AM729">_xlfn.IFS(Table1[[#This Row],[YearsAtCompany]]&lt;=1,"0-1 Year",Table1[[#This Row],[YearsAtCompany]]&lt;=2,"1-2 Years",Table1[[#This Row],[YearsAtCompany]]&lt;=3,"2-3 Years",Table1[[#This Row],[YearsAtCompany]]&lt;=4,"3-4 Years",Table1[[#This Row],[YearsAtCompany]]&lt;=5,"4-5 Years",Table1[[#This Row],[YearsAtCompany]]&gt;5,"&gt;5 Years")</f>
        <v>0-1 Year</v>
      </c>
    </row>
    <row r="730" spans="1:39" hidden="1" x14ac:dyDescent="0.45">
      <c r="A730">
        <v>54</v>
      </c>
      <c r="B730" t="s">
        <v>43</v>
      </c>
      <c r="C730" t="s">
        <v>64</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_xlfn.IFS(Table1[[#This Row],[Age]]&lt;30,"Young",Table1[[#This Row],[Age]]&lt;=40,"Adult",Table1[[#This Row],[Age]]&gt;40,"Senior")</f>
        <v>Senior</v>
      </c>
      <c r="AK730" t="str" cm="1">
        <f t="array" ref="AK730">_xlfn.IFS(Table1[[#This Row],[MonthlyIncome]]&lt;5000,"Low",Table1[[#This Row],[MonthlyIncome]]&lt;10000,"Medium",Table1[[#This Row],[MonthlyIncome]]&gt;10000,"High")</f>
        <v>High</v>
      </c>
      <c r="AL730" t="str" cm="1">
        <f t="array" ref="AL730">_xlfn.IFS(Table1[[#This Row],[Attrition]]="Yes","Resigned",Table1[[#This Row],[Attrition]]="No","Active")</f>
        <v>Active</v>
      </c>
      <c r="AM730" t="str" cm="1">
        <f t="array" ref="AM730">_xlfn.IFS(Table1[[#This Row],[YearsAtCompany]]&lt;=1,"0-1 Year",Table1[[#This Row],[YearsAtCompany]]&lt;=2,"1-2 Years",Table1[[#This Row],[YearsAtCompany]]&lt;=3,"2-3 Years",Table1[[#This Row],[YearsAtCompany]]&lt;=4,"3-4 Years",Table1[[#This Row],[YearsAtCompany]]&lt;=5,"4-5 Years",Table1[[#This Row],[YearsAtCompany]]&gt;5,"&gt;5 Years")</f>
        <v>&gt;5 Years</v>
      </c>
    </row>
    <row r="731" spans="1:39" hidden="1" x14ac:dyDescent="0.45">
      <c r="A731">
        <v>35</v>
      </c>
      <c r="B731" t="s">
        <v>43</v>
      </c>
      <c r="C731" t="s">
        <v>64</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_xlfn.IFS(Table1[[#This Row],[Age]]&lt;30,"Young",Table1[[#This Row],[Age]]&lt;=40,"Adult",Table1[[#This Row],[Age]]&gt;40,"Senior")</f>
        <v>Adult</v>
      </c>
      <c r="AK731" t="str" cm="1">
        <f t="array" ref="AK731">_xlfn.IFS(Table1[[#This Row],[MonthlyIncome]]&lt;5000,"Low",Table1[[#This Row],[MonthlyIncome]]&lt;10000,"Medium",Table1[[#This Row],[MonthlyIncome]]&gt;10000,"High")</f>
        <v>High</v>
      </c>
      <c r="AL731" t="str" cm="1">
        <f t="array" ref="AL731">_xlfn.IFS(Table1[[#This Row],[Attrition]]="Yes","Resigned",Table1[[#This Row],[Attrition]]="No","Active")</f>
        <v>Active</v>
      </c>
      <c r="AM731" t="str" cm="1">
        <f t="array" ref="AM731">_xlfn.IFS(Table1[[#This Row],[YearsAtCompany]]&lt;=1,"0-1 Year",Table1[[#This Row],[YearsAtCompany]]&lt;=2,"1-2 Years",Table1[[#This Row],[YearsAtCompany]]&lt;=3,"2-3 Years",Table1[[#This Row],[YearsAtCompany]]&lt;=4,"3-4 Years",Table1[[#This Row],[YearsAtCompany]]&lt;=5,"4-5 Years",Table1[[#This Row],[YearsAtCompany]]&gt;5,"&gt;5 Years")</f>
        <v>&gt;5 Years</v>
      </c>
    </row>
    <row r="732" spans="1:39" hidden="1" x14ac:dyDescent="0.45">
      <c r="A732">
        <v>30</v>
      </c>
      <c r="B732" t="s">
        <v>43</v>
      </c>
      <c r="C732" t="s">
        <v>64</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_xlfn.IFS(Table1[[#This Row],[Age]]&lt;30,"Young",Table1[[#This Row],[Age]]&lt;=40,"Adult",Table1[[#This Row],[Age]]&gt;40,"Senior")</f>
        <v>Adult</v>
      </c>
      <c r="AK732" t="str" cm="1">
        <f t="array" ref="AK732">_xlfn.IFS(Table1[[#This Row],[MonthlyIncome]]&lt;5000,"Low",Table1[[#This Row],[MonthlyIncome]]&lt;10000,"Medium",Table1[[#This Row],[MonthlyIncome]]&gt;10000,"High")</f>
        <v>High</v>
      </c>
      <c r="AL732" t="str" cm="1">
        <f t="array" ref="AL732">_xlfn.IFS(Table1[[#This Row],[Attrition]]="Yes","Resigned",Table1[[#This Row],[Attrition]]="No","Active")</f>
        <v>Active</v>
      </c>
      <c r="AM732" t="str" cm="1">
        <f t="array" ref="AM732">_xlfn.IFS(Table1[[#This Row],[YearsAtCompany]]&lt;=1,"0-1 Year",Table1[[#This Row],[YearsAtCompany]]&lt;=2,"1-2 Years",Table1[[#This Row],[YearsAtCompany]]&lt;=3,"2-3 Years",Table1[[#This Row],[YearsAtCompany]]&lt;=4,"3-4 Years",Table1[[#This Row],[YearsAtCompany]]&lt;=5,"4-5 Years",Table1[[#This Row],[YearsAtCompany]]&gt;5,"&gt;5 Years")</f>
        <v>&gt;5 Years</v>
      </c>
    </row>
    <row r="733" spans="1:39" hidden="1" x14ac:dyDescent="0.45">
      <c r="A733">
        <v>20</v>
      </c>
      <c r="B733" t="s">
        <v>35</v>
      </c>
      <c r="C733" t="s">
        <v>64</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_xlfn.IFS(Table1[[#This Row],[Age]]&lt;30,"Young",Table1[[#This Row],[Age]]&lt;=40,"Adult",Table1[[#This Row],[Age]]&gt;40,"Senior")</f>
        <v>Young</v>
      </c>
      <c r="AK733" t="str" cm="1">
        <f t="array" ref="AK733">_xlfn.IFS(Table1[[#This Row],[MonthlyIncome]]&lt;5000,"Low",Table1[[#This Row],[MonthlyIncome]]&lt;10000,"Medium",Table1[[#This Row],[MonthlyIncome]]&gt;10000,"High")</f>
        <v>Low</v>
      </c>
      <c r="AL733" t="str" cm="1">
        <f t="array" ref="AL733">_xlfn.IFS(Table1[[#This Row],[Attrition]]="Yes","Resigned",Table1[[#This Row],[Attrition]]="No","Active")</f>
        <v>Resigned</v>
      </c>
      <c r="AM733" t="str" cm="1">
        <f t="array" ref="AM733">_xlfn.IFS(Table1[[#This Row],[YearsAtCompany]]&lt;=1,"0-1 Year",Table1[[#This Row],[YearsAtCompany]]&lt;=2,"1-2 Years",Table1[[#This Row],[YearsAtCompany]]&lt;=3,"2-3 Years",Table1[[#This Row],[YearsAtCompany]]&lt;=4,"3-4 Years",Table1[[#This Row],[YearsAtCompany]]&lt;=5,"4-5 Years",Table1[[#This Row],[YearsAtCompany]]&gt;5,"&gt;5 Years")</f>
        <v>0-1 Year</v>
      </c>
    </row>
    <row r="734" spans="1:39" hidden="1" x14ac:dyDescent="0.45">
      <c r="A734">
        <v>30</v>
      </c>
      <c r="B734" t="s">
        <v>35</v>
      </c>
      <c r="C734" t="s">
        <v>63</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_xlfn.IFS(Table1[[#This Row],[Age]]&lt;30,"Young",Table1[[#This Row],[Age]]&lt;=40,"Adult",Table1[[#This Row],[Age]]&gt;40,"Senior")</f>
        <v>Adult</v>
      </c>
      <c r="AK734" t="str" cm="1">
        <f t="array" ref="AK734">_xlfn.IFS(Table1[[#This Row],[MonthlyIncome]]&lt;5000,"Low",Table1[[#This Row],[MonthlyIncome]]&lt;10000,"Medium",Table1[[#This Row],[MonthlyIncome]]&gt;10000,"High")</f>
        <v>Low</v>
      </c>
      <c r="AL734" t="str" cm="1">
        <f t="array" ref="AL734">_xlfn.IFS(Table1[[#This Row],[Attrition]]="Yes","Resigned",Table1[[#This Row],[Attrition]]="No","Active")</f>
        <v>Resigned</v>
      </c>
      <c r="AM734" t="str" cm="1">
        <f t="array" ref="AM734">_xlfn.IFS(Table1[[#This Row],[YearsAtCompany]]&lt;=1,"0-1 Year",Table1[[#This Row],[YearsAtCompany]]&lt;=2,"1-2 Years",Table1[[#This Row],[YearsAtCompany]]&lt;=3,"2-3 Years",Table1[[#This Row],[YearsAtCompany]]&lt;=4,"3-4 Years",Table1[[#This Row],[YearsAtCompany]]&lt;=5,"4-5 Years",Table1[[#This Row],[YearsAtCompany]]&gt;5,"&gt;5 Years")</f>
        <v>2-3 Years</v>
      </c>
    </row>
    <row r="735" spans="1:39" hidden="1" x14ac:dyDescent="0.45">
      <c r="A735">
        <v>26</v>
      </c>
      <c r="B735" t="s">
        <v>43</v>
      </c>
      <c r="C735" t="s">
        <v>64</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_xlfn.IFS(Table1[[#This Row],[Age]]&lt;30,"Young",Table1[[#This Row],[Age]]&lt;=40,"Adult",Table1[[#This Row],[Age]]&gt;40,"Senior")</f>
        <v>Young</v>
      </c>
      <c r="AK735" t="str" cm="1">
        <f t="array" ref="AK735">_xlfn.IFS(Table1[[#This Row],[MonthlyIncome]]&lt;5000,"Low",Table1[[#This Row],[MonthlyIncome]]&lt;10000,"Medium",Table1[[#This Row],[MonthlyIncome]]&gt;10000,"High")</f>
        <v>Medium</v>
      </c>
      <c r="AL735" t="str" cm="1">
        <f t="array" ref="AL735">_xlfn.IFS(Table1[[#This Row],[Attrition]]="Yes","Resigned",Table1[[#This Row],[Attrition]]="No","Active")</f>
        <v>Active</v>
      </c>
      <c r="AM735" t="str" cm="1">
        <f t="array" ref="AM735">_xlfn.IFS(Table1[[#This Row],[YearsAtCompany]]&lt;=1,"0-1 Year",Table1[[#This Row],[YearsAtCompany]]&lt;=2,"1-2 Years",Table1[[#This Row],[YearsAtCompany]]&lt;=3,"2-3 Years",Table1[[#This Row],[YearsAtCompany]]&lt;=4,"3-4 Years",Table1[[#This Row],[YearsAtCompany]]&lt;=5,"4-5 Years",Table1[[#This Row],[YearsAtCompany]]&gt;5,"&gt;5 Years")</f>
        <v>&gt;5 Years</v>
      </c>
    </row>
    <row r="736" spans="1:39" hidden="1" x14ac:dyDescent="0.45">
      <c r="A736">
        <v>22</v>
      </c>
      <c r="B736" t="s">
        <v>43</v>
      </c>
      <c r="C736" t="s">
        <v>64</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_xlfn.IFS(Table1[[#This Row],[Age]]&lt;30,"Young",Table1[[#This Row],[Age]]&lt;=40,"Adult",Table1[[#This Row],[Age]]&gt;40,"Senior")</f>
        <v>Young</v>
      </c>
      <c r="AK736" t="str" cm="1">
        <f t="array" ref="AK736">_xlfn.IFS(Table1[[#This Row],[MonthlyIncome]]&lt;5000,"Low",Table1[[#This Row],[MonthlyIncome]]&lt;10000,"Medium",Table1[[#This Row],[MonthlyIncome]]&gt;10000,"High")</f>
        <v>Low</v>
      </c>
      <c r="AL736" t="str" cm="1">
        <f t="array" ref="AL736">_xlfn.IFS(Table1[[#This Row],[Attrition]]="Yes","Resigned",Table1[[#This Row],[Attrition]]="No","Active")</f>
        <v>Active</v>
      </c>
      <c r="AM736" t="str" cm="1">
        <f t="array" ref="AM736">_xlfn.IFS(Table1[[#This Row],[YearsAtCompany]]&lt;=1,"0-1 Year",Table1[[#This Row],[YearsAtCompany]]&lt;=2,"1-2 Years",Table1[[#This Row],[YearsAtCompany]]&lt;=3,"2-3 Years",Table1[[#This Row],[YearsAtCompany]]&lt;=4,"3-4 Years",Table1[[#This Row],[YearsAtCompany]]&lt;=5,"4-5 Years",Table1[[#This Row],[YearsAtCompany]]&gt;5,"&gt;5 Years")</f>
        <v>3-4 Years</v>
      </c>
    </row>
    <row r="737" spans="1:39" hidden="1" x14ac:dyDescent="0.45">
      <c r="A737">
        <v>48</v>
      </c>
      <c r="B737" t="s">
        <v>43</v>
      </c>
      <c r="C737" t="s">
        <v>64</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_xlfn.IFS(Table1[[#This Row],[Age]]&lt;30,"Young",Table1[[#This Row],[Age]]&lt;=40,"Adult",Table1[[#This Row],[Age]]&gt;40,"Senior")</f>
        <v>Senior</v>
      </c>
      <c r="AK737" t="str" cm="1">
        <f t="array" ref="AK737">_xlfn.IFS(Table1[[#This Row],[MonthlyIncome]]&lt;5000,"Low",Table1[[#This Row],[MonthlyIncome]]&lt;10000,"Medium",Table1[[#This Row],[MonthlyIncome]]&gt;10000,"High")</f>
        <v>Low</v>
      </c>
      <c r="AL737" t="str" cm="1">
        <f t="array" ref="AL737">_xlfn.IFS(Table1[[#This Row],[Attrition]]="Yes","Resigned",Table1[[#This Row],[Attrition]]="No","Active")</f>
        <v>Active</v>
      </c>
      <c r="AM737" t="str" cm="1">
        <f t="array" ref="AM737">_xlfn.IFS(Table1[[#This Row],[YearsAtCompany]]&lt;=1,"0-1 Year",Table1[[#This Row],[YearsAtCompany]]&lt;=2,"1-2 Years",Table1[[#This Row],[YearsAtCompany]]&lt;=3,"2-3 Years",Table1[[#This Row],[YearsAtCompany]]&lt;=4,"3-4 Years",Table1[[#This Row],[YearsAtCompany]]&lt;=5,"4-5 Years",Table1[[#This Row],[YearsAtCompany]]&gt;5,"&gt;5 Years")</f>
        <v>1-2 Years</v>
      </c>
    </row>
    <row r="738" spans="1:39" hidden="1" x14ac:dyDescent="0.45">
      <c r="A738">
        <v>48</v>
      </c>
      <c r="B738" t="s">
        <v>43</v>
      </c>
      <c r="C738" t="s">
        <v>64</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_xlfn.IFS(Table1[[#This Row],[Age]]&lt;30,"Young",Table1[[#This Row],[Age]]&lt;=40,"Adult",Table1[[#This Row],[Age]]&gt;40,"Senior")</f>
        <v>Senior</v>
      </c>
      <c r="AK738" t="str" cm="1">
        <f t="array" ref="AK738">_xlfn.IFS(Table1[[#This Row],[MonthlyIncome]]&lt;5000,"Low",Table1[[#This Row],[MonthlyIncome]]&lt;10000,"Medium",Table1[[#This Row],[MonthlyIncome]]&gt;10000,"High")</f>
        <v>High</v>
      </c>
      <c r="AL738" t="str" cm="1">
        <f t="array" ref="AL738">_xlfn.IFS(Table1[[#This Row],[Attrition]]="Yes","Resigned",Table1[[#This Row],[Attrition]]="No","Active")</f>
        <v>Active</v>
      </c>
      <c r="AM738" t="str" cm="1">
        <f t="array" ref="AM738">_xlfn.IFS(Table1[[#This Row],[YearsAtCompany]]&lt;=1,"0-1 Year",Table1[[#This Row],[YearsAtCompany]]&lt;=2,"1-2 Years",Table1[[#This Row],[YearsAtCompany]]&lt;=3,"2-3 Years",Table1[[#This Row],[YearsAtCompany]]&lt;=4,"3-4 Years",Table1[[#This Row],[YearsAtCompany]]&lt;=5,"4-5 Years",Table1[[#This Row],[YearsAtCompany]]&gt;5,"&gt;5 Years")</f>
        <v>&gt;5 Years</v>
      </c>
    </row>
    <row r="739" spans="1:39" hidden="1" x14ac:dyDescent="0.45">
      <c r="A739">
        <v>41</v>
      </c>
      <c r="B739" t="s">
        <v>43</v>
      </c>
      <c r="C739" t="s">
        <v>64</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_xlfn.IFS(Table1[[#This Row],[Age]]&lt;30,"Young",Table1[[#This Row],[Age]]&lt;=40,"Adult",Table1[[#This Row],[Age]]&gt;40,"Senior")</f>
        <v>Senior</v>
      </c>
      <c r="AK739" t="str" cm="1">
        <f t="array" ref="AK739">_xlfn.IFS(Table1[[#This Row],[MonthlyIncome]]&lt;5000,"Low",Table1[[#This Row],[MonthlyIncome]]&lt;10000,"Medium",Table1[[#This Row],[MonthlyIncome]]&gt;10000,"High")</f>
        <v>Medium</v>
      </c>
      <c r="AL739" t="str" cm="1">
        <f t="array" ref="AL739">_xlfn.IFS(Table1[[#This Row],[Attrition]]="Yes","Resigned",Table1[[#This Row],[Attrition]]="No","Active")</f>
        <v>Active</v>
      </c>
      <c r="AM739" t="str" cm="1">
        <f t="array" ref="AM739">_xlfn.IFS(Table1[[#This Row],[YearsAtCompany]]&lt;=1,"0-1 Year",Table1[[#This Row],[YearsAtCompany]]&lt;=2,"1-2 Years",Table1[[#This Row],[YearsAtCompany]]&lt;=3,"2-3 Years",Table1[[#This Row],[YearsAtCompany]]&lt;=4,"3-4 Years",Table1[[#This Row],[YearsAtCompany]]&lt;=5,"4-5 Years",Table1[[#This Row],[YearsAtCompany]]&gt;5,"&gt;5 Years")</f>
        <v>1-2 Years</v>
      </c>
    </row>
    <row r="740" spans="1:39" hidden="1" x14ac:dyDescent="0.45">
      <c r="A740">
        <v>39</v>
      </c>
      <c r="B740" t="s">
        <v>43</v>
      </c>
      <c r="C740" t="s">
        <v>64</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_xlfn.IFS(Table1[[#This Row],[Age]]&lt;30,"Young",Table1[[#This Row],[Age]]&lt;=40,"Adult",Table1[[#This Row],[Age]]&gt;40,"Senior")</f>
        <v>Adult</v>
      </c>
      <c r="AK740" t="str" cm="1">
        <f t="array" ref="AK740">_xlfn.IFS(Table1[[#This Row],[MonthlyIncome]]&lt;5000,"Low",Table1[[#This Row],[MonthlyIncome]]&lt;10000,"Medium",Table1[[#This Row],[MonthlyIncome]]&gt;10000,"High")</f>
        <v>High</v>
      </c>
      <c r="AL740" t="str" cm="1">
        <f t="array" ref="AL740">_xlfn.IFS(Table1[[#This Row],[Attrition]]="Yes","Resigned",Table1[[#This Row],[Attrition]]="No","Active")</f>
        <v>Active</v>
      </c>
      <c r="AM740" t="str" cm="1">
        <f t="array" ref="AM740">_xlfn.IFS(Table1[[#This Row],[YearsAtCompany]]&lt;=1,"0-1 Year",Table1[[#This Row],[YearsAtCompany]]&lt;=2,"1-2 Years",Table1[[#This Row],[YearsAtCompany]]&lt;=3,"2-3 Years",Table1[[#This Row],[YearsAtCompany]]&lt;=4,"3-4 Years",Table1[[#This Row],[YearsAtCompany]]&lt;=5,"4-5 Years",Table1[[#This Row],[YearsAtCompany]]&gt;5,"&gt;5 Years")</f>
        <v>&gt;5 Years</v>
      </c>
    </row>
    <row r="741" spans="1:39" hidden="1" x14ac:dyDescent="0.45">
      <c r="A741">
        <v>27</v>
      </c>
      <c r="B741" t="s">
        <v>43</v>
      </c>
      <c r="C741" t="s">
        <v>64</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_xlfn.IFS(Table1[[#This Row],[Age]]&lt;30,"Young",Table1[[#This Row],[Age]]&lt;=40,"Adult",Table1[[#This Row],[Age]]&gt;40,"Senior")</f>
        <v>Young</v>
      </c>
      <c r="AK741" t="str" cm="1">
        <f t="array" ref="AK741">_xlfn.IFS(Table1[[#This Row],[MonthlyIncome]]&lt;5000,"Low",Table1[[#This Row],[MonthlyIncome]]&lt;10000,"Medium",Table1[[#This Row],[MonthlyIncome]]&gt;10000,"High")</f>
        <v>Low</v>
      </c>
      <c r="AL741" t="str" cm="1">
        <f t="array" ref="AL741">_xlfn.IFS(Table1[[#This Row],[Attrition]]="Yes","Resigned",Table1[[#This Row],[Attrition]]="No","Active")</f>
        <v>Active</v>
      </c>
      <c r="AM741" t="str" cm="1">
        <f t="array" ref="AM741">_xlfn.IFS(Table1[[#This Row],[YearsAtCompany]]&lt;=1,"0-1 Year",Table1[[#This Row],[YearsAtCompany]]&lt;=2,"1-2 Years",Table1[[#This Row],[YearsAtCompany]]&lt;=3,"2-3 Years",Table1[[#This Row],[YearsAtCompany]]&lt;=4,"3-4 Years",Table1[[#This Row],[YearsAtCompany]]&lt;=5,"4-5 Years",Table1[[#This Row],[YearsAtCompany]]&gt;5,"&gt;5 Years")</f>
        <v>2-3 Years</v>
      </c>
    </row>
    <row r="742" spans="1:39" hidden="1" x14ac:dyDescent="0.45">
      <c r="A742">
        <v>35</v>
      </c>
      <c r="B742" t="s">
        <v>43</v>
      </c>
      <c r="C742" t="s">
        <v>64</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_xlfn.IFS(Table1[[#This Row],[Age]]&lt;30,"Young",Table1[[#This Row],[Age]]&lt;=40,"Adult",Table1[[#This Row],[Age]]&gt;40,"Senior")</f>
        <v>Adult</v>
      </c>
      <c r="AK742" t="str" cm="1">
        <f t="array" ref="AK742">_xlfn.IFS(Table1[[#This Row],[MonthlyIncome]]&lt;5000,"Low",Table1[[#This Row],[MonthlyIncome]]&lt;10000,"Medium",Table1[[#This Row],[MonthlyIncome]]&gt;10000,"High")</f>
        <v>Low</v>
      </c>
      <c r="AL742" t="str" cm="1">
        <f t="array" ref="AL742">_xlfn.IFS(Table1[[#This Row],[Attrition]]="Yes","Resigned",Table1[[#This Row],[Attrition]]="No","Active")</f>
        <v>Active</v>
      </c>
      <c r="AM742" t="str" cm="1">
        <f t="array" ref="AM742">_xlfn.IFS(Table1[[#This Row],[YearsAtCompany]]&lt;=1,"0-1 Year",Table1[[#This Row],[YearsAtCompany]]&lt;=2,"1-2 Years",Table1[[#This Row],[YearsAtCompany]]&lt;=3,"2-3 Years",Table1[[#This Row],[YearsAtCompany]]&lt;=4,"3-4 Years",Table1[[#This Row],[YearsAtCompany]]&lt;=5,"4-5 Years",Table1[[#This Row],[YearsAtCompany]]&gt;5,"&gt;5 Years")</f>
        <v>2-3 Years</v>
      </c>
    </row>
    <row r="743" spans="1:39" x14ac:dyDescent="0.45">
      <c r="A743">
        <v>42</v>
      </c>
      <c r="B743" t="s">
        <v>43</v>
      </c>
      <c r="C743" t="s">
        <v>64</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_xlfn.IFS(Table1[[#This Row],[Age]]&lt;30,"Young",Table1[[#This Row],[Age]]&lt;=40,"Adult",Table1[[#This Row],[Age]]&gt;40,"Senior")</f>
        <v>Senior</v>
      </c>
      <c r="AK743" t="str" cm="1">
        <f t="array" ref="AK743">_xlfn.IFS(Table1[[#This Row],[MonthlyIncome]]&lt;5000,"Low",Table1[[#This Row],[MonthlyIncome]]&lt;10000,"Medium",Table1[[#This Row],[MonthlyIncome]]&gt;10000,"High")</f>
        <v>High</v>
      </c>
      <c r="AL743" t="str" cm="1">
        <f t="array" ref="AL743">_xlfn.IFS(Table1[[#This Row],[Attrition]]="Yes","Resigned",Table1[[#This Row],[Attrition]]="No","Active")</f>
        <v>Active</v>
      </c>
      <c r="AM743" t="str" cm="1">
        <f t="array" ref="AM743">_xlfn.IFS(Table1[[#This Row],[YearsAtCompany]]&lt;=1,"0-1 Year",Table1[[#This Row],[YearsAtCompany]]&lt;=2,"1-2 Years",Table1[[#This Row],[YearsAtCompany]]&lt;=3,"2-3 Years",Table1[[#This Row],[YearsAtCompany]]&lt;=4,"3-4 Years",Table1[[#This Row],[YearsAtCompany]]&lt;=5,"4-5 Years",Table1[[#This Row],[YearsAtCompany]]&gt;5,"&gt;5 Years")</f>
        <v>0-1 Year</v>
      </c>
    </row>
    <row r="744" spans="1:39" hidden="1" x14ac:dyDescent="0.45">
      <c r="A744">
        <v>50</v>
      </c>
      <c r="B744" t="s">
        <v>43</v>
      </c>
      <c r="C744" t="s">
        <v>64</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_xlfn.IFS(Table1[[#This Row],[Age]]&lt;30,"Young",Table1[[#This Row],[Age]]&lt;=40,"Adult",Table1[[#This Row],[Age]]&gt;40,"Senior")</f>
        <v>Senior</v>
      </c>
      <c r="AK744" t="str" cm="1">
        <f t="array" ref="AK744">_xlfn.IFS(Table1[[#This Row],[MonthlyIncome]]&lt;5000,"Low",Table1[[#This Row],[MonthlyIncome]]&lt;10000,"Medium",Table1[[#This Row],[MonthlyIncome]]&gt;10000,"High")</f>
        <v>Low</v>
      </c>
      <c r="AL744" t="str" cm="1">
        <f t="array" ref="AL744">_xlfn.IFS(Table1[[#This Row],[Attrition]]="Yes","Resigned",Table1[[#This Row],[Attrition]]="No","Active")</f>
        <v>Active</v>
      </c>
      <c r="AM744" t="str" cm="1">
        <f t="array" ref="AM744">_xlfn.IFS(Table1[[#This Row],[YearsAtCompany]]&lt;=1,"0-1 Year",Table1[[#This Row],[YearsAtCompany]]&lt;=2,"1-2 Years",Table1[[#This Row],[YearsAtCompany]]&lt;=3,"2-3 Years",Table1[[#This Row],[YearsAtCompany]]&lt;=4,"3-4 Years",Table1[[#This Row],[YearsAtCompany]]&lt;=5,"4-5 Years",Table1[[#This Row],[YearsAtCompany]]&gt;5,"&gt;5 Years")</f>
        <v>0-1 Year</v>
      </c>
    </row>
    <row r="745" spans="1:39" hidden="1" x14ac:dyDescent="0.45">
      <c r="A745">
        <v>59</v>
      </c>
      <c r="B745" t="s">
        <v>43</v>
      </c>
      <c r="C745" t="s">
        <v>64</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_xlfn.IFS(Table1[[#This Row],[Age]]&lt;30,"Young",Table1[[#This Row],[Age]]&lt;=40,"Adult",Table1[[#This Row],[Age]]&gt;40,"Senior")</f>
        <v>Senior</v>
      </c>
      <c r="AK745" t="str" cm="1">
        <f t="array" ref="AK745">_xlfn.IFS(Table1[[#This Row],[MonthlyIncome]]&lt;5000,"Low",Table1[[#This Row],[MonthlyIncome]]&lt;10000,"Medium",Table1[[#This Row],[MonthlyIncome]]&gt;10000,"High")</f>
        <v>High</v>
      </c>
      <c r="AL745" t="str" cm="1">
        <f t="array" ref="AL745">_xlfn.IFS(Table1[[#This Row],[Attrition]]="Yes","Resigned",Table1[[#This Row],[Attrition]]="No","Active")</f>
        <v>Active</v>
      </c>
      <c r="AM745" t="str" cm="1">
        <f t="array" ref="AM745">_xlfn.IFS(Table1[[#This Row],[YearsAtCompany]]&lt;=1,"0-1 Year",Table1[[#This Row],[YearsAtCompany]]&lt;=2,"1-2 Years",Table1[[#This Row],[YearsAtCompany]]&lt;=3,"2-3 Years",Table1[[#This Row],[YearsAtCompany]]&lt;=4,"3-4 Years",Table1[[#This Row],[YearsAtCompany]]&lt;=5,"4-5 Years",Table1[[#This Row],[YearsAtCompany]]&gt;5,"&gt;5 Years")</f>
        <v>4-5 Years</v>
      </c>
    </row>
    <row r="746" spans="1:39" hidden="1" x14ac:dyDescent="0.45">
      <c r="A746">
        <v>37</v>
      </c>
      <c r="B746" t="s">
        <v>35</v>
      </c>
      <c r="C746" t="s">
        <v>64</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_xlfn.IFS(Table1[[#This Row],[Age]]&lt;30,"Young",Table1[[#This Row],[Age]]&lt;=40,"Adult",Table1[[#This Row],[Age]]&gt;40,"Senior")</f>
        <v>Adult</v>
      </c>
      <c r="AK746" t="str" cm="1">
        <f t="array" ref="AK746">_xlfn.IFS(Table1[[#This Row],[MonthlyIncome]]&lt;5000,"Low",Table1[[#This Row],[MonthlyIncome]]&lt;10000,"Medium",Table1[[#This Row],[MonthlyIncome]]&gt;10000,"High")</f>
        <v>Low</v>
      </c>
      <c r="AL746" t="str" cm="1">
        <f t="array" ref="AL746">_xlfn.IFS(Table1[[#This Row],[Attrition]]="Yes","Resigned",Table1[[#This Row],[Attrition]]="No","Active")</f>
        <v>Resigned</v>
      </c>
      <c r="AM746" t="str" cm="1">
        <f t="array" ref="AM746">_xlfn.IFS(Table1[[#This Row],[YearsAtCompany]]&lt;=1,"0-1 Year",Table1[[#This Row],[YearsAtCompany]]&lt;=2,"1-2 Years",Table1[[#This Row],[YearsAtCompany]]&lt;=3,"2-3 Years",Table1[[#This Row],[YearsAtCompany]]&lt;=4,"3-4 Years",Table1[[#This Row],[YearsAtCompany]]&lt;=5,"4-5 Years",Table1[[#This Row],[YearsAtCompany]]&gt;5,"&gt;5 Years")</f>
        <v>0-1 Year</v>
      </c>
    </row>
    <row r="747" spans="1:39" hidden="1" x14ac:dyDescent="0.45">
      <c r="A747">
        <v>55</v>
      </c>
      <c r="B747" t="s">
        <v>43</v>
      </c>
      <c r="C747" t="s">
        <v>63</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_xlfn.IFS(Table1[[#This Row],[Age]]&lt;30,"Young",Table1[[#This Row],[Age]]&lt;=40,"Adult",Table1[[#This Row],[Age]]&gt;40,"Senior")</f>
        <v>Senior</v>
      </c>
      <c r="AK747" t="str" cm="1">
        <f t="array" ref="AK747">_xlfn.IFS(Table1[[#This Row],[MonthlyIncome]]&lt;5000,"Low",Table1[[#This Row],[MonthlyIncome]]&lt;10000,"Medium",Table1[[#This Row],[MonthlyIncome]]&gt;10000,"High")</f>
        <v>Medium</v>
      </c>
      <c r="AL747" t="str" cm="1">
        <f t="array" ref="AL747">_xlfn.IFS(Table1[[#This Row],[Attrition]]="Yes","Resigned",Table1[[#This Row],[Attrition]]="No","Active")</f>
        <v>Active</v>
      </c>
      <c r="AM747" t="str" cm="1">
        <f t="array" ref="AM747">_xlfn.IFS(Table1[[#This Row],[YearsAtCompany]]&lt;=1,"0-1 Year",Table1[[#This Row],[YearsAtCompany]]&lt;=2,"1-2 Years",Table1[[#This Row],[YearsAtCompany]]&lt;=3,"2-3 Years",Table1[[#This Row],[YearsAtCompany]]&lt;=4,"3-4 Years",Table1[[#This Row],[YearsAtCompany]]&lt;=5,"4-5 Years",Table1[[#This Row],[YearsAtCompany]]&gt;5,"&gt;5 Years")</f>
        <v>&gt;5 Years</v>
      </c>
    </row>
    <row r="748" spans="1:39" hidden="1" x14ac:dyDescent="0.45">
      <c r="A748">
        <v>41</v>
      </c>
      <c r="B748" t="s">
        <v>43</v>
      </c>
      <c r="C748" t="s">
        <v>62</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_xlfn.IFS(Table1[[#This Row],[Age]]&lt;30,"Young",Table1[[#This Row],[Age]]&lt;=40,"Adult",Table1[[#This Row],[Age]]&gt;40,"Senior")</f>
        <v>Senior</v>
      </c>
      <c r="AK748" t="str" cm="1">
        <f t="array" ref="AK748">_xlfn.IFS(Table1[[#This Row],[MonthlyIncome]]&lt;5000,"Low",Table1[[#This Row],[MonthlyIncome]]&lt;10000,"Medium",Table1[[#This Row],[MonthlyIncome]]&gt;10000,"High")</f>
        <v>High</v>
      </c>
      <c r="AL748" t="str" cm="1">
        <f t="array" ref="AL748">_xlfn.IFS(Table1[[#This Row],[Attrition]]="Yes","Resigned",Table1[[#This Row],[Attrition]]="No","Active")</f>
        <v>Active</v>
      </c>
      <c r="AM748" t="str" cm="1">
        <f t="array" ref="AM748">_xlfn.IFS(Table1[[#This Row],[YearsAtCompany]]&lt;=1,"0-1 Year",Table1[[#This Row],[YearsAtCompany]]&lt;=2,"1-2 Years",Table1[[#This Row],[YearsAtCompany]]&lt;=3,"2-3 Years",Table1[[#This Row],[YearsAtCompany]]&lt;=4,"3-4 Years",Table1[[#This Row],[YearsAtCompany]]&lt;=5,"4-5 Years",Table1[[#This Row],[YearsAtCompany]]&gt;5,"&gt;5 Years")</f>
        <v>&gt;5 Years</v>
      </c>
    </row>
    <row r="749" spans="1:39" x14ac:dyDescent="0.45">
      <c r="A749">
        <v>38</v>
      </c>
      <c r="B749" t="s">
        <v>43</v>
      </c>
      <c r="C749" t="s">
        <v>64</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_xlfn.IFS(Table1[[#This Row],[Age]]&lt;30,"Young",Table1[[#This Row],[Age]]&lt;=40,"Adult",Table1[[#This Row],[Age]]&gt;40,"Senior")</f>
        <v>Adult</v>
      </c>
      <c r="AK749" t="str" cm="1">
        <f t="array" ref="AK749">_xlfn.IFS(Table1[[#This Row],[MonthlyIncome]]&lt;5000,"Low",Table1[[#This Row],[MonthlyIncome]]&lt;10000,"Medium",Table1[[#This Row],[MonthlyIncome]]&gt;10000,"High")</f>
        <v>Medium</v>
      </c>
      <c r="AL749" t="str" cm="1">
        <f t="array" ref="AL749">_xlfn.IFS(Table1[[#This Row],[Attrition]]="Yes","Resigned",Table1[[#This Row],[Attrition]]="No","Active")</f>
        <v>Active</v>
      </c>
      <c r="AM749" t="str" cm="1">
        <f t="array" ref="AM749">_xlfn.IFS(Table1[[#This Row],[YearsAtCompany]]&lt;=1,"0-1 Year",Table1[[#This Row],[YearsAtCompany]]&lt;=2,"1-2 Years",Table1[[#This Row],[YearsAtCompany]]&lt;=3,"2-3 Years",Table1[[#This Row],[YearsAtCompany]]&lt;=4,"3-4 Years",Table1[[#This Row],[YearsAtCompany]]&lt;=5,"4-5 Years",Table1[[#This Row],[YearsAtCompany]]&gt;5,"&gt;5 Years")</f>
        <v>0-1 Year</v>
      </c>
    </row>
    <row r="750" spans="1:39" x14ac:dyDescent="0.45">
      <c r="A750">
        <v>26</v>
      </c>
      <c r="B750" t="s">
        <v>35</v>
      </c>
      <c r="C750" t="s">
        <v>62</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_xlfn.IFS(Table1[[#This Row],[Age]]&lt;30,"Young",Table1[[#This Row],[Age]]&lt;=40,"Adult",Table1[[#This Row],[Age]]&gt;40,"Senior")</f>
        <v>Young</v>
      </c>
      <c r="AK750" t="str" cm="1">
        <f t="array" ref="AK750">_xlfn.IFS(Table1[[#This Row],[MonthlyIncome]]&lt;5000,"Low",Table1[[#This Row],[MonthlyIncome]]&lt;10000,"Medium",Table1[[#This Row],[MonthlyIncome]]&gt;10000,"High")</f>
        <v>Low</v>
      </c>
      <c r="AL750" t="str" cm="1">
        <f t="array" ref="AL750">_xlfn.IFS(Table1[[#This Row],[Attrition]]="Yes","Resigned",Table1[[#This Row],[Attrition]]="No","Active")</f>
        <v>Resigned</v>
      </c>
      <c r="AM750" t="str" cm="1">
        <f t="array" ref="AM750">_xlfn.IFS(Table1[[#This Row],[YearsAtCompany]]&lt;=1,"0-1 Year",Table1[[#This Row],[YearsAtCompany]]&lt;=2,"1-2 Years",Table1[[#This Row],[YearsAtCompany]]&lt;=3,"2-3 Years",Table1[[#This Row],[YearsAtCompany]]&lt;=4,"3-4 Years",Table1[[#This Row],[YearsAtCompany]]&lt;=5,"4-5 Years",Table1[[#This Row],[YearsAtCompany]]&gt;5,"&gt;5 Years")</f>
        <v>1-2 Years</v>
      </c>
    </row>
    <row r="751" spans="1:39" x14ac:dyDescent="0.45">
      <c r="A751">
        <v>52</v>
      </c>
      <c r="B751" t="s">
        <v>35</v>
      </c>
      <c r="C751" t="s">
        <v>64</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_xlfn.IFS(Table1[[#This Row],[Age]]&lt;30,"Young",Table1[[#This Row],[Age]]&lt;=40,"Adult",Table1[[#This Row],[Age]]&gt;40,"Senior")</f>
        <v>Senior</v>
      </c>
      <c r="AK751" t="str" cm="1">
        <f t="array" ref="AK751">_xlfn.IFS(Table1[[#This Row],[MonthlyIncome]]&lt;5000,"Low",Table1[[#This Row],[MonthlyIncome]]&lt;10000,"Medium",Table1[[#This Row],[MonthlyIncome]]&gt;10000,"High")</f>
        <v>High</v>
      </c>
      <c r="AL751" t="str" cm="1">
        <f t="array" ref="AL751">_xlfn.IFS(Table1[[#This Row],[Attrition]]="Yes","Resigned",Table1[[#This Row],[Attrition]]="No","Active")</f>
        <v>Resigned</v>
      </c>
      <c r="AM751" t="str" cm="1">
        <f t="array" ref="AM751">_xlfn.IFS(Table1[[#This Row],[YearsAtCompany]]&lt;=1,"0-1 Year",Table1[[#This Row],[YearsAtCompany]]&lt;=2,"1-2 Years",Table1[[#This Row],[YearsAtCompany]]&lt;=3,"2-3 Years",Table1[[#This Row],[YearsAtCompany]]&lt;=4,"3-4 Years",Table1[[#This Row],[YearsAtCompany]]&lt;=5,"4-5 Years",Table1[[#This Row],[YearsAtCompany]]&gt;5,"&gt;5 Years")</f>
        <v>&gt;5 Years</v>
      </c>
    </row>
    <row r="752" spans="1:39" x14ac:dyDescent="0.45">
      <c r="A752">
        <v>44</v>
      </c>
      <c r="B752" t="s">
        <v>43</v>
      </c>
      <c r="C752" t="s">
        <v>64</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_xlfn.IFS(Table1[[#This Row],[Age]]&lt;30,"Young",Table1[[#This Row],[Age]]&lt;=40,"Adult",Table1[[#This Row],[Age]]&gt;40,"Senior")</f>
        <v>Senior</v>
      </c>
      <c r="AK752" t="str" cm="1">
        <f t="array" ref="AK752">_xlfn.IFS(Table1[[#This Row],[MonthlyIncome]]&lt;5000,"Low",Table1[[#This Row],[MonthlyIncome]]&lt;10000,"Medium",Table1[[#This Row],[MonthlyIncome]]&gt;10000,"High")</f>
        <v>High</v>
      </c>
      <c r="AL752" t="str" cm="1">
        <f t="array" ref="AL752">_xlfn.IFS(Table1[[#This Row],[Attrition]]="Yes","Resigned",Table1[[#This Row],[Attrition]]="No","Active")</f>
        <v>Active</v>
      </c>
      <c r="AM752" t="str" cm="1">
        <f t="array" ref="AM752">_xlfn.IFS(Table1[[#This Row],[YearsAtCompany]]&lt;=1,"0-1 Year",Table1[[#This Row],[YearsAtCompany]]&lt;=2,"1-2 Years",Table1[[#This Row],[YearsAtCompany]]&lt;=3,"2-3 Years",Table1[[#This Row],[YearsAtCompany]]&lt;=4,"3-4 Years",Table1[[#This Row],[YearsAtCompany]]&lt;=5,"4-5 Years",Table1[[#This Row],[YearsAtCompany]]&gt;5,"&gt;5 Years")</f>
        <v>&gt;5 Years</v>
      </c>
    </row>
    <row r="753" spans="1:39" x14ac:dyDescent="0.45">
      <c r="A753">
        <v>50</v>
      </c>
      <c r="B753" t="s">
        <v>43</v>
      </c>
      <c r="C753" t="s">
        <v>62</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_xlfn.IFS(Table1[[#This Row],[Age]]&lt;30,"Young",Table1[[#This Row],[Age]]&lt;=40,"Adult",Table1[[#This Row],[Age]]&gt;40,"Senior")</f>
        <v>Senior</v>
      </c>
      <c r="AK753" t="str" cm="1">
        <f t="array" ref="AK753">_xlfn.IFS(Table1[[#This Row],[MonthlyIncome]]&lt;5000,"Low",Table1[[#This Row],[MonthlyIncome]]&lt;10000,"Medium",Table1[[#This Row],[MonthlyIncome]]&gt;10000,"High")</f>
        <v>Medium</v>
      </c>
      <c r="AL753" t="str" cm="1">
        <f t="array" ref="AL753">_xlfn.IFS(Table1[[#This Row],[Attrition]]="Yes","Resigned",Table1[[#This Row],[Attrition]]="No","Active")</f>
        <v>Active</v>
      </c>
      <c r="AM753" t="str" cm="1">
        <f t="array" ref="AM753">_xlfn.IFS(Table1[[#This Row],[YearsAtCompany]]&lt;=1,"0-1 Year",Table1[[#This Row],[YearsAtCompany]]&lt;=2,"1-2 Years",Table1[[#This Row],[YearsAtCompany]]&lt;=3,"2-3 Years",Table1[[#This Row],[YearsAtCompany]]&lt;=4,"3-4 Years",Table1[[#This Row],[YearsAtCompany]]&lt;=5,"4-5 Years",Table1[[#This Row],[YearsAtCompany]]&gt;5,"&gt;5 Years")</f>
        <v>&gt;5 Years</v>
      </c>
    </row>
    <row r="754" spans="1:39" hidden="1" x14ac:dyDescent="0.45">
      <c r="A754">
        <v>36</v>
      </c>
      <c r="B754" t="s">
        <v>35</v>
      </c>
      <c r="C754" t="s">
        <v>64</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_xlfn.IFS(Table1[[#This Row],[Age]]&lt;30,"Young",Table1[[#This Row],[Age]]&lt;=40,"Adult",Table1[[#This Row],[Age]]&gt;40,"Senior")</f>
        <v>Adult</v>
      </c>
      <c r="AK754" t="str" cm="1">
        <f t="array" ref="AK754">_xlfn.IFS(Table1[[#This Row],[MonthlyIncome]]&lt;5000,"Low",Table1[[#This Row],[MonthlyIncome]]&lt;10000,"Medium",Table1[[#This Row],[MonthlyIncome]]&gt;10000,"High")</f>
        <v>Low</v>
      </c>
      <c r="AL754" t="str" cm="1">
        <f t="array" ref="AL754">_xlfn.IFS(Table1[[#This Row],[Attrition]]="Yes","Resigned",Table1[[#This Row],[Attrition]]="No","Active")</f>
        <v>Resigned</v>
      </c>
      <c r="AM754" t="str" cm="1">
        <f t="array" ref="AM754">_xlfn.IFS(Table1[[#This Row],[YearsAtCompany]]&lt;=1,"0-1 Year",Table1[[#This Row],[YearsAtCompany]]&lt;=2,"1-2 Years",Table1[[#This Row],[YearsAtCompany]]&lt;=3,"2-3 Years",Table1[[#This Row],[YearsAtCompany]]&lt;=4,"3-4 Years",Table1[[#This Row],[YearsAtCompany]]&lt;=5,"4-5 Years",Table1[[#This Row],[YearsAtCompany]]&gt;5,"&gt;5 Years")</f>
        <v>&gt;5 Years</v>
      </c>
    </row>
    <row r="755" spans="1:39" hidden="1" x14ac:dyDescent="0.45">
      <c r="A755">
        <v>39</v>
      </c>
      <c r="B755" t="s">
        <v>43</v>
      </c>
      <c r="C755" t="s">
        <v>63</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_xlfn.IFS(Table1[[#This Row],[Age]]&lt;30,"Young",Table1[[#This Row],[Age]]&lt;=40,"Adult",Table1[[#This Row],[Age]]&gt;40,"Senior")</f>
        <v>Adult</v>
      </c>
      <c r="AK755" t="str" cm="1">
        <f t="array" ref="AK755">_xlfn.IFS(Table1[[#This Row],[MonthlyIncome]]&lt;5000,"Low",Table1[[#This Row],[MonthlyIncome]]&lt;10000,"Medium",Table1[[#This Row],[MonthlyIncome]]&gt;10000,"High")</f>
        <v>High</v>
      </c>
      <c r="AL755" t="str" cm="1">
        <f t="array" ref="AL755">_xlfn.IFS(Table1[[#This Row],[Attrition]]="Yes","Resigned",Table1[[#This Row],[Attrition]]="No","Active")</f>
        <v>Active</v>
      </c>
      <c r="AM755" t="str" cm="1">
        <f t="array" ref="AM755">_xlfn.IFS(Table1[[#This Row],[YearsAtCompany]]&lt;=1,"0-1 Year",Table1[[#This Row],[YearsAtCompany]]&lt;=2,"1-2 Years",Table1[[#This Row],[YearsAtCompany]]&lt;=3,"2-3 Years",Table1[[#This Row],[YearsAtCompany]]&lt;=4,"3-4 Years",Table1[[#This Row],[YearsAtCompany]]&lt;=5,"4-5 Years",Table1[[#This Row],[YearsAtCompany]]&gt;5,"&gt;5 Years")</f>
        <v>&gt;5 Years</v>
      </c>
    </row>
    <row r="756" spans="1:39" x14ac:dyDescent="0.45">
      <c r="A756">
        <v>33</v>
      </c>
      <c r="B756" t="s">
        <v>43</v>
      </c>
      <c r="C756" t="s">
        <v>62</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_xlfn.IFS(Table1[[#This Row],[Age]]&lt;30,"Young",Table1[[#This Row],[Age]]&lt;=40,"Adult",Table1[[#This Row],[Age]]&gt;40,"Senior")</f>
        <v>Adult</v>
      </c>
      <c r="AK756" t="str" cm="1">
        <f t="array" ref="AK756">_xlfn.IFS(Table1[[#This Row],[MonthlyIncome]]&lt;5000,"Low",Table1[[#This Row],[MonthlyIncome]]&lt;10000,"Medium",Table1[[#This Row],[MonthlyIncome]]&gt;10000,"High")</f>
        <v>Low</v>
      </c>
      <c r="AL756" t="str" cm="1">
        <f t="array" ref="AL756">_xlfn.IFS(Table1[[#This Row],[Attrition]]="Yes","Resigned",Table1[[#This Row],[Attrition]]="No","Active")</f>
        <v>Active</v>
      </c>
      <c r="AM756" t="str" cm="1">
        <f t="array" ref="AM756">_xlfn.IFS(Table1[[#This Row],[YearsAtCompany]]&lt;=1,"0-1 Year",Table1[[#This Row],[YearsAtCompany]]&lt;=2,"1-2 Years",Table1[[#This Row],[YearsAtCompany]]&lt;=3,"2-3 Years",Table1[[#This Row],[YearsAtCompany]]&lt;=4,"3-4 Years",Table1[[#This Row],[YearsAtCompany]]&lt;=5,"4-5 Years",Table1[[#This Row],[YearsAtCompany]]&gt;5,"&gt;5 Years")</f>
        <v>1-2 Years</v>
      </c>
    </row>
    <row r="757" spans="1:39" x14ac:dyDescent="0.45">
      <c r="A757">
        <v>45</v>
      </c>
      <c r="B757" t="s">
        <v>43</v>
      </c>
      <c r="C757" t="s">
        <v>64</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_xlfn.IFS(Table1[[#This Row],[Age]]&lt;30,"Young",Table1[[#This Row],[Age]]&lt;=40,"Adult",Table1[[#This Row],[Age]]&gt;40,"Senior")</f>
        <v>Senior</v>
      </c>
      <c r="AK757" t="str" cm="1">
        <f t="array" ref="AK757">_xlfn.IFS(Table1[[#This Row],[MonthlyIncome]]&lt;5000,"Low",Table1[[#This Row],[MonthlyIncome]]&lt;10000,"Medium",Table1[[#This Row],[MonthlyIncome]]&gt;10000,"High")</f>
        <v>High</v>
      </c>
      <c r="AL757" t="str" cm="1">
        <f t="array" ref="AL757">_xlfn.IFS(Table1[[#This Row],[Attrition]]="Yes","Resigned",Table1[[#This Row],[Attrition]]="No","Active")</f>
        <v>Active</v>
      </c>
      <c r="AM757" t="str" cm="1">
        <f t="array" ref="AM757">_xlfn.IFS(Table1[[#This Row],[YearsAtCompany]]&lt;=1,"0-1 Year",Table1[[#This Row],[YearsAtCompany]]&lt;=2,"1-2 Years",Table1[[#This Row],[YearsAtCompany]]&lt;=3,"2-3 Years",Table1[[#This Row],[YearsAtCompany]]&lt;=4,"3-4 Years",Table1[[#This Row],[YearsAtCompany]]&lt;=5,"4-5 Years",Table1[[#This Row],[YearsAtCompany]]&gt;5,"&gt;5 Years")</f>
        <v>&gt;5 Years</v>
      </c>
    </row>
    <row r="758" spans="1:39" hidden="1" x14ac:dyDescent="0.45">
      <c r="A758">
        <v>32</v>
      </c>
      <c r="B758" t="s">
        <v>43</v>
      </c>
      <c r="C758" t="s">
        <v>62</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_xlfn.IFS(Table1[[#This Row],[Age]]&lt;30,"Young",Table1[[#This Row],[Age]]&lt;=40,"Adult",Table1[[#This Row],[Age]]&gt;40,"Senior")</f>
        <v>Adult</v>
      </c>
      <c r="AK758" t="str" cm="1">
        <f t="array" ref="AK758">_xlfn.IFS(Table1[[#This Row],[MonthlyIncome]]&lt;5000,"Low",Table1[[#This Row],[MonthlyIncome]]&lt;10000,"Medium",Table1[[#This Row],[MonthlyIncome]]&gt;10000,"High")</f>
        <v>Low</v>
      </c>
      <c r="AL758" t="str" cm="1">
        <f t="array" ref="AL758">_xlfn.IFS(Table1[[#This Row],[Attrition]]="Yes","Resigned",Table1[[#This Row],[Attrition]]="No","Active")</f>
        <v>Active</v>
      </c>
      <c r="AM758" t="str" cm="1">
        <f t="array" ref="AM758">_xlfn.IFS(Table1[[#This Row],[YearsAtCompany]]&lt;=1,"0-1 Year",Table1[[#This Row],[YearsAtCompany]]&lt;=2,"1-2 Years",Table1[[#This Row],[YearsAtCompany]]&lt;=3,"2-3 Years",Table1[[#This Row],[YearsAtCompany]]&lt;=4,"3-4 Years",Table1[[#This Row],[YearsAtCompany]]&lt;=5,"4-5 Years",Table1[[#This Row],[YearsAtCompany]]&gt;5,"&gt;5 Years")</f>
        <v>&gt;5 Years</v>
      </c>
    </row>
    <row r="759" spans="1:39" x14ac:dyDescent="0.45">
      <c r="A759">
        <v>34</v>
      </c>
      <c r="B759" t="s">
        <v>43</v>
      </c>
      <c r="C759" t="s">
        <v>64</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_xlfn.IFS(Table1[[#This Row],[Age]]&lt;30,"Young",Table1[[#This Row],[Age]]&lt;=40,"Adult",Table1[[#This Row],[Age]]&gt;40,"Senior")</f>
        <v>Adult</v>
      </c>
      <c r="AK759" t="str" cm="1">
        <f t="array" ref="AK759">_xlfn.IFS(Table1[[#This Row],[MonthlyIncome]]&lt;5000,"Low",Table1[[#This Row],[MonthlyIncome]]&lt;10000,"Medium",Table1[[#This Row],[MonthlyIncome]]&gt;10000,"High")</f>
        <v>Medium</v>
      </c>
      <c r="AL759" t="str" cm="1">
        <f t="array" ref="AL759">_xlfn.IFS(Table1[[#This Row],[Attrition]]="Yes","Resigned",Table1[[#This Row],[Attrition]]="No","Active")</f>
        <v>Active</v>
      </c>
      <c r="AM759" t="str" cm="1">
        <f t="array" ref="AM759">_xlfn.IFS(Table1[[#This Row],[YearsAtCompany]]&lt;=1,"0-1 Year",Table1[[#This Row],[YearsAtCompany]]&lt;=2,"1-2 Years",Table1[[#This Row],[YearsAtCompany]]&lt;=3,"2-3 Years",Table1[[#This Row],[YearsAtCompany]]&lt;=4,"3-4 Years",Table1[[#This Row],[YearsAtCompany]]&lt;=5,"4-5 Years",Table1[[#This Row],[YearsAtCompany]]&gt;5,"&gt;5 Years")</f>
        <v>&gt;5 Years</v>
      </c>
    </row>
    <row r="760" spans="1:39" x14ac:dyDescent="0.45">
      <c r="A760">
        <v>59</v>
      </c>
      <c r="B760" t="s">
        <v>43</v>
      </c>
      <c r="C760" t="s">
        <v>64</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_xlfn.IFS(Table1[[#This Row],[Age]]&lt;30,"Young",Table1[[#This Row],[Age]]&lt;=40,"Adult",Table1[[#This Row],[Age]]&gt;40,"Senior")</f>
        <v>Senior</v>
      </c>
      <c r="AK760" t="str" cm="1">
        <f t="array" ref="AK760">_xlfn.IFS(Table1[[#This Row],[MonthlyIncome]]&lt;5000,"Low",Table1[[#This Row],[MonthlyIncome]]&lt;10000,"Medium",Table1[[#This Row],[MonthlyIncome]]&gt;10000,"High")</f>
        <v>High</v>
      </c>
      <c r="AL760" t="str" cm="1">
        <f t="array" ref="AL760">_xlfn.IFS(Table1[[#This Row],[Attrition]]="Yes","Resigned",Table1[[#This Row],[Attrition]]="No","Active")</f>
        <v>Active</v>
      </c>
      <c r="AM760" t="str" cm="1">
        <f t="array" ref="AM760">_xlfn.IFS(Table1[[#This Row],[YearsAtCompany]]&lt;=1,"0-1 Year",Table1[[#This Row],[YearsAtCompany]]&lt;=2,"1-2 Years",Table1[[#This Row],[YearsAtCompany]]&lt;=3,"2-3 Years",Table1[[#This Row],[YearsAtCompany]]&lt;=4,"3-4 Years",Table1[[#This Row],[YearsAtCompany]]&lt;=5,"4-5 Years",Table1[[#This Row],[YearsAtCompany]]&gt;5,"&gt;5 Years")</f>
        <v>&gt;5 Years</v>
      </c>
    </row>
    <row r="761" spans="1:39" hidden="1" x14ac:dyDescent="0.45">
      <c r="A761">
        <v>45</v>
      </c>
      <c r="B761" t="s">
        <v>43</v>
      </c>
      <c r="C761" t="s">
        <v>64</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_xlfn.IFS(Table1[[#This Row],[Age]]&lt;30,"Young",Table1[[#This Row],[Age]]&lt;=40,"Adult",Table1[[#This Row],[Age]]&gt;40,"Senior")</f>
        <v>Senior</v>
      </c>
      <c r="AK761" t="str" cm="1">
        <f t="array" ref="AK761">_xlfn.IFS(Table1[[#This Row],[MonthlyIncome]]&lt;5000,"Low",Table1[[#This Row],[MonthlyIncome]]&lt;10000,"Medium",Table1[[#This Row],[MonthlyIncome]]&gt;10000,"High")</f>
        <v>Low</v>
      </c>
      <c r="AL761" t="str" cm="1">
        <f t="array" ref="AL761">_xlfn.IFS(Table1[[#This Row],[Attrition]]="Yes","Resigned",Table1[[#This Row],[Attrition]]="No","Active")</f>
        <v>Active</v>
      </c>
      <c r="AM761" t="str" cm="1">
        <f t="array" ref="AM761">_xlfn.IFS(Table1[[#This Row],[YearsAtCompany]]&lt;=1,"0-1 Year",Table1[[#This Row],[YearsAtCompany]]&lt;=2,"1-2 Years",Table1[[#This Row],[YearsAtCompany]]&lt;=3,"2-3 Years",Table1[[#This Row],[YearsAtCompany]]&lt;=4,"3-4 Years",Table1[[#This Row],[YearsAtCompany]]&lt;=5,"4-5 Years",Table1[[#This Row],[YearsAtCompany]]&gt;5,"&gt;5 Years")</f>
        <v>&gt;5 Years</v>
      </c>
    </row>
    <row r="762" spans="1:39" x14ac:dyDescent="0.45">
      <c r="A762">
        <v>53</v>
      </c>
      <c r="B762" t="s">
        <v>43</v>
      </c>
      <c r="C762" t="s">
        <v>63</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_xlfn.IFS(Table1[[#This Row],[Age]]&lt;30,"Young",Table1[[#This Row],[Age]]&lt;=40,"Adult",Table1[[#This Row],[Age]]&gt;40,"Senior")</f>
        <v>Senior</v>
      </c>
      <c r="AK762" t="str" cm="1">
        <f t="array" ref="AK762">_xlfn.IFS(Table1[[#This Row],[MonthlyIncome]]&lt;5000,"Low",Table1[[#This Row],[MonthlyIncome]]&lt;10000,"Medium",Table1[[#This Row],[MonthlyIncome]]&gt;10000,"High")</f>
        <v>Medium</v>
      </c>
      <c r="AL762" t="str" cm="1">
        <f t="array" ref="AL762">_xlfn.IFS(Table1[[#This Row],[Attrition]]="Yes","Resigned",Table1[[#This Row],[Attrition]]="No","Active")</f>
        <v>Active</v>
      </c>
      <c r="AM762" t="str" cm="1">
        <f t="array" ref="AM762">_xlfn.IFS(Table1[[#This Row],[YearsAtCompany]]&lt;=1,"0-1 Year",Table1[[#This Row],[YearsAtCompany]]&lt;=2,"1-2 Years",Table1[[#This Row],[YearsAtCompany]]&lt;=3,"2-3 Years",Table1[[#This Row],[YearsAtCompany]]&lt;=4,"3-4 Years",Table1[[#This Row],[YearsAtCompany]]&lt;=5,"4-5 Years",Table1[[#This Row],[YearsAtCompany]]&gt;5,"&gt;5 Years")</f>
        <v>&gt;5 Years</v>
      </c>
    </row>
    <row r="763" spans="1:39" hidden="1" x14ac:dyDescent="0.45">
      <c r="A763">
        <v>36</v>
      </c>
      <c r="B763" t="s">
        <v>35</v>
      </c>
      <c r="C763" t="s">
        <v>64</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_xlfn.IFS(Table1[[#This Row],[Age]]&lt;30,"Young",Table1[[#This Row],[Age]]&lt;=40,"Adult",Table1[[#This Row],[Age]]&gt;40,"Senior")</f>
        <v>Adult</v>
      </c>
      <c r="AK763" t="str" cm="1">
        <f t="array" ref="AK763">_xlfn.IFS(Table1[[#This Row],[MonthlyIncome]]&lt;5000,"Low",Table1[[#This Row],[MonthlyIncome]]&lt;10000,"Medium",Table1[[#This Row],[MonthlyIncome]]&gt;10000,"High")</f>
        <v>Low</v>
      </c>
      <c r="AL763" t="str" cm="1">
        <f t="array" ref="AL763">_xlfn.IFS(Table1[[#This Row],[Attrition]]="Yes","Resigned",Table1[[#This Row],[Attrition]]="No","Active")</f>
        <v>Resigned</v>
      </c>
      <c r="AM763" t="str" cm="1">
        <f t="array" ref="AM763">_xlfn.IFS(Table1[[#This Row],[YearsAtCompany]]&lt;=1,"0-1 Year",Table1[[#This Row],[YearsAtCompany]]&lt;=2,"1-2 Years",Table1[[#This Row],[YearsAtCompany]]&lt;=3,"2-3 Years",Table1[[#This Row],[YearsAtCompany]]&lt;=4,"3-4 Years",Table1[[#This Row],[YearsAtCompany]]&lt;=5,"4-5 Years",Table1[[#This Row],[YearsAtCompany]]&gt;5,"&gt;5 Years")</f>
        <v>0-1 Year</v>
      </c>
    </row>
    <row r="764" spans="1:39" hidden="1" x14ac:dyDescent="0.45">
      <c r="A764">
        <v>26</v>
      </c>
      <c r="B764" t="s">
        <v>35</v>
      </c>
      <c r="C764" t="s">
        <v>63</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_xlfn.IFS(Table1[[#This Row],[Age]]&lt;30,"Young",Table1[[#This Row],[Age]]&lt;=40,"Adult",Table1[[#This Row],[Age]]&gt;40,"Senior")</f>
        <v>Young</v>
      </c>
      <c r="AK764" t="str" cm="1">
        <f t="array" ref="AK764">_xlfn.IFS(Table1[[#This Row],[MonthlyIncome]]&lt;5000,"Low",Table1[[#This Row],[MonthlyIncome]]&lt;10000,"Medium",Table1[[#This Row],[MonthlyIncome]]&gt;10000,"High")</f>
        <v>Low</v>
      </c>
      <c r="AL764" t="str" cm="1">
        <f t="array" ref="AL764">_xlfn.IFS(Table1[[#This Row],[Attrition]]="Yes","Resigned",Table1[[#This Row],[Attrition]]="No","Active")</f>
        <v>Resigned</v>
      </c>
      <c r="AM764" t="str" cm="1">
        <f t="array" ref="AM764">_xlfn.IFS(Table1[[#This Row],[YearsAtCompany]]&lt;=1,"0-1 Year",Table1[[#This Row],[YearsAtCompany]]&lt;=2,"1-2 Years",Table1[[#This Row],[YearsAtCompany]]&lt;=3,"2-3 Years",Table1[[#This Row],[YearsAtCompany]]&lt;=4,"3-4 Years",Table1[[#This Row],[YearsAtCompany]]&lt;=5,"4-5 Years",Table1[[#This Row],[YearsAtCompany]]&gt;5,"&gt;5 Years")</f>
        <v>2-3 Years</v>
      </c>
    </row>
    <row r="765" spans="1:39" x14ac:dyDescent="0.45">
      <c r="A765">
        <v>34</v>
      </c>
      <c r="B765" t="s">
        <v>43</v>
      </c>
      <c r="C765" t="s">
        <v>64</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_xlfn.IFS(Table1[[#This Row],[Age]]&lt;30,"Young",Table1[[#This Row],[Age]]&lt;=40,"Adult",Table1[[#This Row],[Age]]&gt;40,"Senior")</f>
        <v>Adult</v>
      </c>
      <c r="AK765" t="str" cm="1">
        <f t="array" ref="AK765">_xlfn.IFS(Table1[[#This Row],[MonthlyIncome]]&lt;5000,"Low",Table1[[#This Row],[MonthlyIncome]]&lt;10000,"Medium",Table1[[#This Row],[MonthlyIncome]]&gt;10000,"High")</f>
        <v>Low</v>
      </c>
      <c r="AL765" t="str" cm="1">
        <f t="array" ref="AL765">_xlfn.IFS(Table1[[#This Row],[Attrition]]="Yes","Resigned",Table1[[#This Row],[Attrition]]="No","Active")</f>
        <v>Active</v>
      </c>
      <c r="AM765" t="str" cm="1">
        <f t="array" ref="AM765">_xlfn.IFS(Table1[[#This Row],[YearsAtCompany]]&lt;=1,"0-1 Year",Table1[[#This Row],[YearsAtCompany]]&lt;=2,"1-2 Years",Table1[[#This Row],[YearsAtCompany]]&lt;=3,"2-3 Years",Table1[[#This Row],[YearsAtCompany]]&lt;=4,"3-4 Years",Table1[[#This Row],[YearsAtCompany]]&lt;=5,"4-5 Years",Table1[[#This Row],[YearsAtCompany]]&gt;5,"&gt;5 Years")</f>
        <v>0-1 Year</v>
      </c>
    </row>
    <row r="766" spans="1:39" x14ac:dyDescent="0.45">
      <c r="A766">
        <v>28</v>
      </c>
      <c r="B766" t="s">
        <v>43</v>
      </c>
      <c r="C766" t="s">
        <v>64</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_xlfn.IFS(Table1[[#This Row],[Age]]&lt;30,"Young",Table1[[#This Row],[Age]]&lt;=40,"Adult",Table1[[#This Row],[Age]]&gt;40,"Senior")</f>
        <v>Young</v>
      </c>
      <c r="AK766" t="str" cm="1">
        <f t="array" ref="AK766">_xlfn.IFS(Table1[[#This Row],[MonthlyIncome]]&lt;5000,"Low",Table1[[#This Row],[MonthlyIncome]]&lt;10000,"Medium",Table1[[#This Row],[MonthlyIncome]]&gt;10000,"High")</f>
        <v>Low</v>
      </c>
      <c r="AL766" t="str" cm="1">
        <f t="array" ref="AL766">_xlfn.IFS(Table1[[#This Row],[Attrition]]="Yes","Resigned",Table1[[#This Row],[Attrition]]="No","Active")</f>
        <v>Active</v>
      </c>
      <c r="AM766" t="str" cm="1">
        <f t="array" ref="AM766">_xlfn.IFS(Table1[[#This Row],[YearsAtCompany]]&lt;=1,"0-1 Year",Table1[[#This Row],[YearsAtCompany]]&lt;=2,"1-2 Years",Table1[[#This Row],[YearsAtCompany]]&lt;=3,"2-3 Years",Table1[[#This Row],[YearsAtCompany]]&lt;=4,"3-4 Years",Table1[[#This Row],[YearsAtCompany]]&lt;=5,"4-5 Years",Table1[[#This Row],[YearsAtCompany]]&gt;5,"&gt;5 Years")</f>
        <v>0-1 Year</v>
      </c>
    </row>
    <row r="767" spans="1:39" hidden="1" x14ac:dyDescent="0.45">
      <c r="A767">
        <v>38</v>
      </c>
      <c r="B767" t="s">
        <v>43</v>
      </c>
      <c r="C767" t="s">
        <v>63</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_xlfn.IFS(Table1[[#This Row],[Age]]&lt;30,"Young",Table1[[#This Row],[Age]]&lt;=40,"Adult",Table1[[#This Row],[Age]]&gt;40,"Senior")</f>
        <v>Adult</v>
      </c>
      <c r="AK767" t="str" cm="1">
        <f t="array" ref="AK767">_xlfn.IFS(Table1[[#This Row],[MonthlyIncome]]&lt;5000,"Low",Table1[[#This Row],[MonthlyIncome]]&lt;10000,"Medium",Table1[[#This Row],[MonthlyIncome]]&gt;10000,"High")</f>
        <v>Low</v>
      </c>
      <c r="AL767" t="str" cm="1">
        <f t="array" ref="AL767">_xlfn.IFS(Table1[[#This Row],[Attrition]]="Yes","Resigned",Table1[[#This Row],[Attrition]]="No","Active")</f>
        <v>Active</v>
      </c>
      <c r="AM767" t="str" cm="1">
        <f t="array" ref="AM767">_xlfn.IFS(Table1[[#This Row],[YearsAtCompany]]&lt;=1,"0-1 Year",Table1[[#This Row],[YearsAtCompany]]&lt;=2,"1-2 Years",Table1[[#This Row],[YearsAtCompany]]&lt;=3,"2-3 Years",Table1[[#This Row],[YearsAtCompany]]&lt;=4,"3-4 Years",Table1[[#This Row],[YearsAtCompany]]&lt;=5,"4-5 Years",Table1[[#This Row],[YearsAtCompany]]&gt;5,"&gt;5 Years")</f>
        <v>1-2 Years</v>
      </c>
    </row>
    <row r="768" spans="1:39" hidden="1" x14ac:dyDescent="0.45">
      <c r="A768">
        <v>50</v>
      </c>
      <c r="B768" t="s">
        <v>43</v>
      </c>
      <c r="C768" t="s">
        <v>64</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_xlfn.IFS(Table1[[#This Row],[Age]]&lt;30,"Young",Table1[[#This Row],[Age]]&lt;=40,"Adult",Table1[[#This Row],[Age]]&gt;40,"Senior")</f>
        <v>Senior</v>
      </c>
      <c r="AK768" t="str" cm="1">
        <f t="array" ref="AK768">_xlfn.IFS(Table1[[#This Row],[MonthlyIncome]]&lt;5000,"Low",Table1[[#This Row],[MonthlyIncome]]&lt;10000,"Medium",Table1[[#This Row],[MonthlyIncome]]&gt;10000,"High")</f>
        <v>High</v>
      </c>
      <c r="AL768" t="str" cm="1">
        <f t="array" ref="AL768">_xlfn.IFS(Table1[[#This Row],[Attrition]]="Yes","Resigned",Table1[[#This Row],[Attrition]]="No","Active")</f>
        <v>Active</v>
      </c>
      <c r="AM768" t="str" cm="1">
        <f t="array" ref="AM768">_xlfn.IFS(Table1[[#This Row],[YearsAtCompany]]&lt;=1,"0-1 Year",Table1[[#This Row],[YearsAtCompany]]&lt;=2,"1-2 Years",Table1[[#This Row],[YearsAtCompany]]&lt;=3,"2-3 Years",Table1[[#This Row],[YearsAtCompany]]&lt;=4,"3-4 Years",Table1[[#This Row],[YearsAtCompany]]&lt;=5,"4-5 Years",Table1[[#This Row],[YearsAtCompany]]&gt;5,"&gt;5 Years")</f>
        <v>&gt;5 Years</v>
      </c>
    </row>
    <row r="769" spans="1:39" hidden="1" x14ac:dyDescent="0.45">
      <c r="A769">
        <v>37</v>
      </c>
      <c r="B769" t="s">
        <v>43</v>
      </c>
      <c r="C769" t="s">
        <v>64</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_xlfn.IFS(Table1[[#This Row],[Age]]&lt;30,"Young",Table1[[#This Row],[Age]]&lt;=40,"Adult",Table1[[#This Row],[Age]]&gt;40,"Senior")</f>
        <v>Adult</v>
      </c>
      <c r="AK769" t="str" cm="1">
        <f t="array" ref="AK769">_xlfn.IFS(Table1[[#This Row],[MonthlyIncome]]&lt;5000,"Low",Table1[[#This Row],[MonthlyIncome]]&lt;10000,"Medium",Table1[[#This Row],[MonthlyIncome]]&gt;10000,"High")</f>
        <v>Low</v>
      </c>
      <c r="AL769" t="str" cm="1">
        <f t="array" ref="AL769">_xlfn.IFS(Table1[[#This Row],[Attrition]]="Yes","Resigned",Table1[[#This Row],[Attrition]]="No","Active")</f>
        <v>Active</v>
      </c>
      <c r="AM769" t="str" cm="1">
        <f t="array" ref="AM769">_xlfn.IFS(Table1[[#This Row],[YearsAtCompany]]&lt;=1,"0-1 Year",Table1[[#This Row],[YearsAtCompany]]&lt;=2,"1-2 Years",Table1[[#This Row],[YearsAtCompany]]&lt;=3,"2-3 Years",Table1[[#This Row],[YearsAtCompany]]&lt;=4,"3-4 Years",Table1[[#This Row],[YearsAtCompany]]&lt;=5,"4-5 Years",Table1[[#This Row],[YearsAtCompany]]&gt;5,"&gt;5 Years")</f>
        <v>3-4 Years</v>
      </c>
    </row>
    <row r="770" spans="1:39" x14ac:dyDescent="0.45">
      <c r="A770">
        <v>40</v>
      </c>
      <c r="B770" t="s">
        <v>43</v>
      </c>
      <c r="C770" t="s">
        <v>64</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_xlfn.IFS(Table1[[#This Row],[Age]]&lt;30,"Young",Table1[[#This Row],[Age]]&lt;=40,"Adult",Table1[[#This Row],[Age]]&gt;40,"Senior")</f>
        <v>Adult</v>
      </c>
      <c r="AK770" t="str" cm="1">
        <f t="array" ref="AK770">_xlfn.IFS(Table1[[#This Row],[MonthlyIncome]]&lt;5000,"Low",Table1[[#This Row],[MonthlyIncome]]&lt;10000,"Medium",Table1[[#This Row],[MonthlyIncome]]&gt;10000,"High")</f>
        <v>Medium</v>
      </c>
      <c r="AL770" t="str" cm="1">
        <f t="array" ref="AL770">_xlfn.IFS(Table1[[#This Row],[Attrition]]="Yes","Resigned",Table1[[#This Row],[Attrition]]="No","Active")</f>
        <v>Active</v>
      </c>
      <c r="AM770" t="str" cm="1">
        <f t="array" ref="AM770">_xlfn.IFS(Table1[[#This Row],[YearsAtCompany]]&lt;=1,"0-1 Year",Table1[[#This Row],[YearsAtCompany]]&lt;=2,"1-2 Years",Table1[[#This Row],[YearsAtCompany]]&lt;=3,"2-3 Years",Table1[[#This Row],[YearsAtCompany]]&lt;=4,"3-4 Years",Table1[[#This Row],[YearsAtCompany]]&lt;=5,"4-5 Years",Table1[[#This Row],[YearsAtCompany]]&gt;5,"&gt;5 Years")</f>
        <v>&gt;5 Years</v>
      </c>
    </row>
    <row r="771" spans="1:39" hidden="1" x14ac:dyDescent="0.45">
      <c r="A771">
        <v>26</v>
      </c>
      <c r="B771" t="s">
        <v>43</v>
      </c>
      <c r="C771" t="s">
        <v>63</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_xlfn.IFS(Table1[[#This Row],[Age]]&lt;30,"Young",Table1[[#This Row],[Age]]&lt;=40,"Adult",Table1[[#This Row],[Age]]&gt;40,"Senior")</f>
        <v>Young</v>
      </c>
      <c r="AK771" t="str" cm="1">
        <f t="array" ref="AK771">_xlfn.IFS(Table1[[#This Row],[MonthlyIncome]]&lt;5000,"Low",Table1[[#This Row],[MonthlyIncome]]&lt;10000,"Medium",Table1[[#This Row],[MonthlyIncome]]&gt;10000,"High")</f>
        <v>Low</v>
      </c>
      <c r="AL771" t="str" cm="1">
        <f t="array" ref="AL771">_xlfn.IFS(Table1[[#This Row],[Attrition]]="Yes","Resigned",Table1[[#This Row],[Attrition]]="No","Active")</f>
        <v>Active</v>
      </c>
      <c r="AM771" t="str" cm="1">
        <f t="array" ref="AM771">_xlfn.IFS(Table1[[#This Row],[YearsAtCompany]]&lt;=1,"0-1 Year",Table1[[#This Row],[YearsAtCompany]]&lt;=2,"1-2 Years",Table1[[#This Row],[YearsAtCompany]]&lt;=3,"2-3 Years",Table1[[#This Row],[YearsAtCompany]]&lt;=4,"3-4 Years",Table1[[#This Row],[YearsAtCompany]]&lt;=5,"4-5 Years",Table1[[#This Row],[YearsAtCompany]]&gt;5,"&gt;5 Years")</f>
        <v>4-5 Years</v>
      </c>
    </row>
    <row r="772" spans="1:39" hidden="1" x14ac:dyDescent="0.45">
      <c r="A772">
        <v>46</v>
      </c>
      <c r="B772" t="s">
        <v>43</v>
      </c>
      <c r="C772" t="s">
        <v>64</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_xlfn.IFS(Table1[[#This Row],[Age]]&lt;30,"Young",Table1[[#This Row],[Age]]&lt;=40,"Adult",Table1[[#This Row],[Age]]&gt;40,"Senior")</f>
        <v>Senior</v>
      </c>
      <c r="AK772" t="str" cm="1">
        <f t="array" ref="AK772">_xlfn.IFS(Table1[[#This Row],[MonthlyIncome]]&lt;5000,"Low",Table1[[#This Row],[MonthlyIncome]]&lt;10000,"Medium",Table1[[#This Row],[MonthlyIncome]]&gt;10000,"High")</f>
        <v>High</v>
      </c>
      <c r="AL772" t="str" cm="1">
        <f t="array" ref="AL772">_xlfn.IFS(Table1[[#This Row],[Attrition]]="Yes","Resigned",Table1[[#This Row],[Attrition]]="No","Active")</f>
        <v>Active</v>
      </c>
      <c r="AM772" t="str" cm="1">
        <f t="array" ref="AM772">_xlfn.IFS(Table1[[#This Row],[YearsAtCompany]]&lt;=1,"0-1 Year",Table1[[#This Row],[YearsAtCompany]]&lt;=2,"1-2 Years",Table1[[#This Row],[YearsAtCompany]]&lt;=3,"2-3 Years",Table1[[#This Row],[YearsAtCompany]]&lt;=4,"3-4 Years",Table1[[#This Row],[YearsAtCompany]]&lt;=5,"4-5 Years",Table1[[#This Row],[YearsAtCompany]]&gt;5,"&gt;5 Years")</f>
        <v>1-2 Years</v>
      </c>
    </row>
    <row r="773" spans="1:39" x14ac:dyDescent="0.45">
      <c r="A773">
        <v>54</v>
      </c>
      <c r="B773" t="s">
        <v>43</v>
      </c>
      <c r="C773" t="s">
        <v>64</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_xlfn.IFS(Table1[[#This Row],[Age]]&lt;30,"Young",Table1[[#This Row],[Age]]&lt;=40,"Adult",Table1[[#This Row],[Age]]&gt;40,"Senior")</f>
        <v>Senior</v>
      </c>
      <c r="AK773" t="str" cm="1">
        <f t="array" ref="AK773">_xlfn.IFS(Table1[[#This Row],[MonthlyIncome]]&lt;5000,"Low",Table1[[#This Row],[MonthlyIncome]]&lt;10000,"Medium",Table1[[#This Row],[MonthlyIncome]]&gt;10000,"High")</f>
        <v>High</v>
      </c>
      <c r="AL773" t="str" cm="1">
        <f t="array" ref="AL773">_xlfn.IFS(Table1[[#This Row],[Attrition]]="Yes","Resigned",Table1[[#This Row],[Attrition]]="No","Active")</f>
        <v>Active</v>
      </c>
      <c r="AM773" t="str" cm="1">
        <f t="array" ref="AM773">_xlfn.IFS(Table1[[#This Row],[YearsAtCompany]]&lt;=1,"0-1 Year",Table1[[#This Row],[YearsAtCompany]]&lt;=2,"1-2 Years",Table1[[#This Row],[YearsAtCompany]]&lt;=3,"2-3 Years",Table1[[#This Row],[YearsAtCompany]]&lt;=4,"3-4 Years",Table1[[#This Row],[YearsAtCompany]]&lt;=5,"4-5 Years",Table1[[#This Row],[YearsAtCompany]]&gt;5,"&gt;5 Years")</f>
        <v>&gt;5 Years</v>
      </c>
    </row>
    <row r="774" spans="1:39" hidden="1" x14ac:dyDescent="0.45">
      <c r="A774">
        <v>56</v>
      </c>
      <c r="B774" t="s">
        <v>43</v>
      </c>
      <c r="C774" t="s">
        <v>63</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_xlfn.IFS(Table1[[#This Row],[Age]]&lt;30,"Young",Table1[[#This Row],[Age]]&lt;=40,"Adult",Table1[[#This Row],[Age]]&gt;40,"Senior")</f>
        <v>Senior</v>
      </c>
      <c r="AK774" t="str" cm="1">
        <f t="array" ref="AK774">_xlfn.IFS(Table1[[#This Row],[MonthlyIncome]]&lt;5000,"Low",Table1[[#This Row],[MonthlyIncome]]&lt;10000,"Medium",Table1[[#This Row],[MonthlyIncome]]&gt;10000,"High")</f>
        <v>Low</v>
      </c>
      <c r="AL774" t="str" cm="1">
        <f t="array" ref="AL774">_xlfn.IFS(Table1[[#This Row],[Attrition]]="Yes","Resigned",Table1[[#This Row],[Attrition]]="No","Active")</f>
        <v>Active</v>
      </c>
      <c r="AM774" t="str" cm="1">
        <f t="array" ref="AM774">_xlfn.IFS(Table1[[#This Row],[YearsAtCompany]]&lt;=1,"0-1 Year",Table1[[#This Row],[YearsAtCompany]]&lt;=2,"1-2 Years",Table1[[#This Row],[YearsAtCompany]]&lt;=3,"2-3 Years",Table1[[#This Row],[YearsAtCompany]]&lt;=4,"3-4 Years",Table1[[#This Row],[YearsAtCompany]]&lt;=5,"4-5 Years",Table1[[#This Row],[YearsAtCompany]]&gt;5,"&gt;5 Years")</f>
        <v>4-5 Years</v>
      </c>
    </row>
    <row r="775" spans="1:39" hidden="1" x14ac:dyDescent="0.45">
      <c r="A775">
        <v>36</v>
      </c>
      <c r="B775" t="s">
        <v>43</v>
      </c>
      <c r="C775" t="s">
        <v>64</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_xlfn.IFS(Table1[[#This Row],[Age]]&lt;30,"Young",Table1[[#This Row],[Age]]&lt;=40,"Adult",Table1[[#This Row],[Age]]&gt;40,"Senior")</f>
        <v>Adult</v>
      </c>
      <c r="AK775" t="str" cm="1">
        <f t="array" ref="AK775">_xlfn.IFS(Table1[[#This Row],[MonthlyIncome]]&lt;5000,"Low",Table1[[#This Row],[MonthlyIncome]]&lt;10000,"Medium",Table1[[#This Row],[MonthlyIncome]]&gt;10000,"High")</f>
        <v>Medium</v>
      </c>
      <c r="AL775" t="str" cm="1">
        <f t="array" ref="AL775">_xlfn.IFS(Table1[[#This Row],[Attrition]]="Yes","Resigned",Table1[[#This Row],[Attrition]]="No","Active")</f>
        <v>Active</v>
      </c>
      <c r="AM775" t="str" cm="1">
        <f t="array" ref="AM775">_xlfn.IFS(Table1[[#This Row],[YearsAtCompany]]&lt;=1,"0-1 Year",Table1[[#This Row],[YearsAtCompany]]&lt;=2,"1-2 Years",Table1[[#This Row],[YearsAtCompany]]&lt;=3,"2-3 Years",Table1[[#This Row],[YearsAtCompany]]&lt;=4,"3-4 Years",Table1[[#This Row],[YearsAtCompany]]&lt;=5,"4-5 Years",Table1[[#This Row],[YearsAtCompany]]&gt;5,"&gt;5 Years")</f>
        <v>&gt;5 Years</v>
      </c>
    </row>
    <row r="776" spans="1:39" hidden="1" x14ac:dyDescent="0.45">
      <c r="A776">
        <v>55</v>
      </c>
      <c r="B776" t="s">
        <v>43</v>
      </c>
      <c r="C776" t="s">
        <v>62</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_xlfn.IFS(Table1[[#This Row],[Age]]&lt;30,"Young",Table1[[#This Row],[Age]]&lt;=40,"Adult",Table1[[#This Row],[Age]]&gt;40,"Senior")</f>
        <v>Senior</v>
      </c>
      <c r="AK776" t="str" cm="1">
        <f t="array" ref="AK776">_xlfn.IFS(Table1[[#This Row],[MonthlyIncome]]&lt;5000,"Low",Table1[[#This Row],[MonthlyIncome]]&lt;10000,"Medium",Table1[[#This Row],[MonthlyIncome]]&gt;10000,"High")</f>
        <v>High</v>
      </c>
      <c r="AL776" t="str" cm="1">
        <f t="array" ref="AL776">_xlfn.IFS(Table1[[#This Row],[Attrition]]="Yes","Resigned",Table1[[#This Row],[Attrition]]="No","Active")</f>
        <v>Active</v>
      </c>
      <c r="AM776" t="str" cm="1">
        <f t="array" ref="AM776">_xlfn.IFS(Table1[[#This Row],[YearsAtCompany]]&lt;=1,"0-1 Year",Table1[[#This Row],[YearsAtCompany]]&lt;=2,"1-2 Years",Table1[[#This Row],[YearsAtCompany]]&lt;=3,"2-3 Years",Table1[[#This Row],[YearsAtCompany]]&lt;=4,"3-4 Years",Table1[[#This Row],[YearsAtCompany]]&lt;=5,"4-5 Years",Table1[[#This Row],[YearsAtCompany]]&gt;5,"&gt;5 Years")</f>
        <v>&gt;5 Years</v>
      </c>
    </row>
    <row r="777" spans="1:39" x14ac:dyDescent="0.45">
      <c r="A777">
        <v>43</v>
      </c>
      <c r="B777" t="s">
        <v>43</v>
      </c>
      <c r="C777" t="s">
        <v>64</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_xlfn.IFS(Table1[[#This Row],[Age]]&lt;30,"Young",Table1[[#This Row],[Age]]&lt;=40,"Adult",Table1[[#This Row],[Age]]&gt;40,"Senior")</f>
        <v>Senior</v>
      </c>
      <c r="AK777" t="str" cm="1">
        <f t="array" ref="AK777">_xlfn.IFS(Table1[[#This Row],[MonthlyIncome]]&lt;5000,"Low",Table1[[#This Row],[MonthlyIncome]]&lt;10000,"Medium",Table1[[#This Row],[MonthlyIncome]]&gt;10000,"High")</f>
        <v>High</v>
      </c>
      <c r="AL777" t="str" cm="1">
        <f t="array" ref="AL777">_xlfn.IFS(Table1[[#This Row],[Attrition]]="Yes","Resigned",Table1[[#This Row],[Attrition]]="No","Active")</f>
        <v>Active</v>
      </c>
      <c r="AM777" t="str" cm="1">
        <f t="array" ref="AM777">_xlfn.IFS(Table1[[#This Row],[YearsAtCompany]]&lt;=1,"0-1 Year",Table1[[#This Row],[YearsAtCompany]]&lt;=2,"1-2 Years",Table1[[#This Row],[YearsAtCompany]]&lt;=3,"2-3 Years",Table1[[#This Row],[YearsAtCompany]]&lt;=4,"3-4 Years",Table1[[#This Row],[YearsAtCompany]]&lt;=5,"4-5 Years",Table1[[#This Row],[YearsAtCompany]]&gt;5,"&gt;5 Years")</f>
        <v>0-1 Year</v>
      </c>
    </row>
    <row r="778" spans="1:39" x14ac:dyDescent="0.45">
      <c r="A778">
        <v>20</v>
      </c>
      <c r="B778" t="s">
        <v>35</v>
      </c>
      <c r="C778" t="s">
        <v>63</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_xlfn.IFS(Table1[[#This Row],[Age]]&lt;30,"Young",Table1[[#This Row],[Age]]&lt;=40,"Adult",Table1[[#This Row],[Age]]&gt;40,"Senior")</f>
        <v>Young</v>
      </c>
      <c r="AK778" t="str" cm="1">
        <f t="array" ref="AK778">_xlfn.IFS(Table1[[#This Row],[MonthlyIncome]]&lt;5000,"Low",Table1[[#This Row],[MonthlyIncome]]&lt;10000,"Medium",Table1[[#This Row],[MonthlyIncome]]&gt;10000,"High")</f>
        <v>Low</v>
      </c>
      <c r="AL778" t="str" cm="1">
        <f t="array" ref="AL778">_xlfn.IFS(Table1[[#This Row],[Attrition]]="Yes","Resigned",Table1[[#This Row],[Attrition]]="No","Active")</f>
        <v>Resigned</v>
      </c>
      <c r="AM778" t="str" cm="1">
        <f t="array" ref="AM778">_xlfn.IFS(Table1[[#This Row],[YearsAtCompany]]&lt;=1,"0-1 Year",Table1[[#This Row],[YearsAtCompany]]&lt;=2,"1-2 Years",Table1[[#This Row],[YearsAtCompany]]&lt;=3,"2-3 Years",Table1[[#This Row],[YearsAtCompany]]&lt;=4,"3-4 Years",Table1[[#This Row],[YearsAtCompany]]&lt;=5,"4-5 Years",Table1[[#This Row],[YearsAtCompany]]&gt;5,"&gt;5 Years")</f>
        <v>1-2 Years</v>
      </c>
    </row>
    <row r="779" spans="1:39" hidden="1" x14ac:dyDescent="0.45">
      <c r="A779">
        <v>21</v>
      </c>
      <c r="B779" t="s">
        <v>35</v>
      </c>
      <c r="C779" t="s">
        <v>64</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_xlfn.IFS(Table1[[#This Row],[Age]]&lt;30,"Young",Table1[[#This Row],[Age]]&lt;=40,"Adult",Table1[[#This Row],[Age]]&gt;40,"Senior")</f>
        <v>Young</v>
      </c>
      <c r="AK779" t="str" cm="1">
        <f t="array" ref="AK779">_xlfn.IFS(Table1[[#This Row],[MonthlyIncome]]&lt;5000,"Low",Table1[[#This Row],[MonthlyIncome]]&lt;10000,"Medium",Table1[[#This Row],[MonthlyIncome]]&gt;10000,"High")</f>
        <v>Low</v>
      </c>
      <c r="AL779" t="str" cm="1">
        <f t="array" ref="AL779">_xlfn.IFS(Table1[[#This Row],[Attrition]]="Yes","Resigned",Table1[[#This Row],[Attrition]]="No","Active")</f>
        <v>Resigned</v>
      </c>
      <c r="AM779" t="str" cm="1">
        <f t="array" ref="AM779">_xlfn.IFS(Table1[[#This Row],[YearsAtCompany]]&lt;=1,"0-1 Year",Table1[[#This Row],[YearsAtCompany]]&lt;=2,"1-2 Years",Table1[[#This Row],[YearsAtCompany]]&lt;=3,"2-3 Years",Table1[[#This Row],[YearsAtCompany]]&lt;=4,"3-4 Years",Table1[[#This Row],[YearsAtCompany]]&lt;=5,"4-5 Years",Table1[[#This Row],[YearsAtCompany]]&gt;5,"&gt;5 Years")</f>
        <v>0-1 Year</v>
      </c>
    </row>
    <row r="780" spans="1:39" hidden="1" x14ac:dyDescent="0.45">
      <c r="A780">
        <v>46</v>
      </c>
      <c r="B780" t="s">
        <v>43</v>
      </c>
      <c r="C780" t="s">
        <v>64</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_xlfn.IFS(Table1[[#This Row],[Age]]&lt;30,"Young",Table1[[#This Row],[Age]]&lt;=40,"Adult",Table1[[#This Row],[Age]]&gt;40,"Senior")</f>
        <v>Senior</v>
      </c>
      <c r="AK780" t="str" cm="1">
        <f t="array" ref="AK780">_xlfn.IFS(Table1[[#This Row],[MonthlyIncome]]&lt;5000,"Low",Table1[[#This Row],[MonthlyIncome]]&lt;10000,"Medium",Table1[[#This Row],[MonthlyIncome]]&gt;10000,"High")</f>
        <v>Low</v>
      </c>
      <c r="AL780" t="str" cm="1">
        <f t="array" ref="AL780">_xlfn.IFS(Table1[[#This Row],[Attrition]]="Yes","Resigned",Table1[[#This Row],[Attrition]]="No","Active")</f>
        <v>Active</v>
      </c>
      <c r="AM780" t="str" cm="1">
        <f t="array" ref="AM780">_xlfn.IFS(Table1[[#This Row],[YearsAtCompany]]&lt;=1,"0-1 Year",Table1[[#This Row],[YearsAtCompany]]&lt;=2,"1-2 Years",Table1[[#This Row],[YearsAtCompany]]&lt;=3,"2-3 Years",Table1[[#This Row],[YearsAtCompany]]&lt;=4,"3-4 Years",Table1[[#This Row],[YearsAtCompany]]&lt;=5,"4-5 Years",Table1[[#This Row],[YearsAtCompany]]&gt;5,"&gt;5 Years")</f>
        <v>&gt;5 Years</v>
      </c>
    </row>
    <row r="781" spans="1:39" hidden="1" x14ac:dyDescent="0.45">
      <c r="A781">
        <v>51</v>
      </c>
      <c r="B781" t="s">
        <v>35</v>
      </c>
      <c r="C781" t="s">
        <v>64</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_xlfn.IFS(Table1[[#This Row],[Age]]&lt;30,"Young",Table1[[#This Row],[Age]]&lt;=40,"Adult",Table1[[#This Row],[Age]]&gt;40,"Senior")</f>
        <v>Senior</v>
      </c>
      <c r="AK781" t="str" cm="1">
        <f t="array" ref="AK781">_xlfn.IFS(Table1[[#This Row],[MonthlyIncome]]&lt;5000,"Low",Table1[[#This Row],[MonthlyIncome]]&lt;10000,"Medium",Table1[[#This Row],[MonthlyIncome]]&gt;10000,"High")</f>
        <v>Low</v>
      </c>
      <c r="AL781" t="str" cm="1">
        <f t="array" ref="AL781">_xlfn.IFS(Table1[[#This Row],[Attrition]]="Yes","Resigned",Table1[[#This Row],[Attrition]]="No","Active")</f>
        <v>Resigned</v>
      </c>
      <c r="AM781" t="str" cm="1">
        <f t="array" ref="AM781">_xlfn.IFS(Table1[[#This Row],[YearsAtCompany]]&lt;=1,"0-1 Year",Table1[[#This Row],[YearsAtCompany]]&lt;=2,"1-2 Years",Table1[[#This Row],[YearsAtCompany]]&lt;=3,"2-3 Years",Table1[[#This Row],[YearsAtCompany]]&lt;=4,"3-4 Years",Table1[[#This Row],[YearsAtCompany]]&lt;=5,"4-5 Years",Table1[[#This Row],[YearsAtCompany]]&gt;5,"&gt;5 Years")</f>
        <v>&gt;5 Years</v>
      </c>
    </row>
    <row r="782" spans="1:39" hidden="1" x14ac:dyDescent="0.45">
      <c r="A782">
        <v>28</v>
      </c>
      <c r="B782" t="s">
        <v>35</v>
      </c>
      <c r="C782" t="s">
        <v>62</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_xlfn.IFS(Table1[[#This Row],[Age]]&lt;30,"Young",Table1[[#This Row],[Age]]&lt;=40,"Adult",Table1[[#This Row],[Age]]&gt;40,"Senior")</f>
        <v>Young</v>
      </c>
      <c r="AK782" t="str" cm="1">
        <f t="array" ref="AK782">_xlfn.IFS(Table1[[#This Row],[MonthlyIncome]]&lt;5000,"Low",Table1[[#This Row],[MonthlyIncome]]&lt;10000,"Medium",Table1[[#This Row],[MonthlyIncome]]&gt;10000,"High")</f>
        <v>Medium</v>
      </c>
      <c r="AL782" t="str" cm="1">
        <f t="array" ref="AL782">_xlfn.IFS(Table1[[#This Row],[Attrition]]="Yes","Resigned",Table1[[#This Row],[Attrition]]="No","Active")</f>
        <v>Resigned</v>
      </c>
      <c r="AM782" t="str" cm="1">
        <f t="array" ref="AM782">_xlfn.IFS(Table1[[#This Row],[YearsAtCompany]]&lt;=1,"0-1 Year",Table1[[#This Row],[YearsAtCompany]]&lt;=2,"1-2 Years",Table1[[#This Row],[YearsAtCompany]]&lt;=3,"2-3 Years",Table1[[#This Row],[YearsAtCompany]]&lt;=4,"3-4 Years",Table1[[#This Row],[YearsAtCompany]]&lt;=5,"4-5 Years",Table1[[#This Row],[YearsAtCompany]]&gt;5,"&gt;5 Years")</f>
        <v>&gt;5 Years</v>
      </c>
    </row>
    <row r="783" spans="1:39" hidden="1" x14ac:dyDescent="0.45">
      <c r="A783">
        <v>26</v>
      </c>
      <c r="B783" t="s">
        <v>43</v>
      </c>
      <c r="C783" t="s">
        <v>64</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_xlfn.IFS(Table1[[#This Row],[Age]]&lt;30,"Young",Table1[[#This Row],[Age]]&lt;=40,"Adult",Table1[[#This Row],[Age]]&gt;40,"Senior")</f>
        <v>Young</v>
      </c>
      <c r="AK783" t="str" cm="1">
        <f t="array" ref="AK783">_xlfn.IFS(Table1[[#This Row],[MonthlyIncome]]&lt;5000,"Low",Table1[[#This Row],[MonthlyIncome]]&lt;10000,"Medium",Table1[[#This Row],[MonthlyIncome]]&gt;10000,"High")</f>
        <v>Low</v>
      </c>
      <c r="AL783" t="str" cm="1">
        <f t="array" ref="AL783">_xlfn.IFS(Table1[[#This Row],[Attrition]]="Yes","Resigned",Table1[[#This Row],[Attrition]]="No","Active")</f>
        <v>Active</v>
      </c>
      <c r="AM783" t="str" cm="1">
        <f t="array" ref="AM783">_xlfn.IFS(Table1[[#This Row],[YearsAtCompany]]&lt;=1,"0-1 Year",Table1[[#This Row],[YearsAtCompany]]&lt;=2,"1-2 Years",Table1[[#This Row],[YearsAtCompany]]&lt;=3,"2-3 Years",Table1[[#This Row],[YearsAtCompany]]&lt;=4,"3-4 Years",Table1[[#This Row],[YearsAtCompany]]&lt;=5,"4-5 Years",Table1[[#This Row],[YearsAtCompany]]&gt;5,"&gt;5 Years")</f>
        <v>4-5 Years</v>
      </c>
    </row>
    <row r="784" spans="1:39" hidden="1" x14ac:dyDescent="0.45">
      <c r="A784">
        <v>30</v>
      </c>
      <c r="B784" t="s">
        <v>43</v>
      </c>
      <c r="C784" t="s">
        <v>64</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_xlfn.IFS(Table1[[#This Row],[Age]]&lt;30,"Young",Table1[[#This Row],[Age]]&lt;=40,"Adult",Table1[[#This Row],[Age]]&gt;40,"Senior")</f>
        <v>Adult</v>
      </c>
      <c r="AK784" t="str" cm="1">
        <f t="array" ref="AK784">_xlfn.IFS(Table1[[#This Row],[MonthlyIncome]]&lt;5000,"Low",Table1[[#This Row],[MonthlyIncome]]&lt;10000,"Medium",Table1[[#This Row],[MonthlyIncome]]&gt;10000,"High")</f>
        <v>Medium</v>
      </c>
      <c r="AL784" t="str" cm="1">
        <f t="array" ref="AL784">_xlfn.IFS(Table1[[#This Row],[Attrition]]="Yes","Resigned",Table1[[#This Row],[Attrition]]="No","Active")</f>
        <v>Active</v>
      </c>
      <c r="AM784" t="str" cm="1">
        <f t="array" ref="AM784">_xlfn.IFS(Table1[[#This Row],[YearsAtCompany]]&lt;=1,"0-1 Year",Table1[[#This Row],[YearsAtCompany]]&lt;=2,"1-2 Years",Table1[[#This Row],[YearsAtCompany]]&lt;=3,"2-3 Years",Table1[[#This Row],[YearsAtCompany]]&lt;=4,"3-4 Years",Table1[[#This Row],[YearsAtCompany]]&lt;=5,"4-5 Years",Table1[[#This Row],[YearsAtCompany]]&gt;5,"&gt;5 Years")</f>
        <v>&gt;5 Years</v>
      </c>
    </row>
    <row r="785" spans="1:39" hidden="1" x14ac:dyDescent="0.45">
      <c r="A785">
        <v>41</v>
      </c>
      <c r="B785" t="s">
        <v>43</v>
      </c>
      <c r="C785" t="s">
        <v>64</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_xlfn.IFS(Table1[[#This Row],[Age]]&lt;30,"Young",Table1[[#This Row],[Age]]&lt;=40,"Adult",Table1[[#This Row],[Age]]&gt;40,"Senior")</f>
        <v>Senior</v>
      </c>
      <c r="AK785" t="str" cm="1">
        <f t="array" ref="AK785">_xlfn.IFS(Table1[[#This Row],[MonthlyIncome]]&lt;5000,"Low",Table1[[#This Row],[MonthlyIncome]]&lt;10000,"Medium",Table1[[#This Row],[MonthlyIncome]]&gt;10000,"High")</f>
        <v>Low</v>
      </c>
      <c r="AL785" t="str" cm="1">
        <f t="array" ref="AL785">_xlfn.IFS(Table1[[#This Row],[Attrition]]="Yes","Resigned",Table1[[#This Row],[Attrition]]="No","Active")</f>
        <v>Active</v>
      </c>
      <c r="AM785" t="str" cm="1">
        <f t="array" ref="AM785">_xlfn.IFS(Table1[[#This Row],[YearsAtCompany]]&lt;=1,"0-1 Year",Table1[[#This Row],[YearsAtCompany]]&lt;=2,"1-2 Years",Table1[[#This Row],[YearsAtCompany]]&lt;=3,"2-3 Years",Table1[[#This Row],[YearsAtCompany]]&lt;=4,"3-4 Years",Table1[[#This Row],[YearsAtCompany]]&lt;=5,"4-5 Years",Table1[[#This Row],[YearsAtCompany]]&gt;5,"&gt;5 Years")</f>
        <v>&gt;5 Years</v>
      </c>
    </row>
    <row r="786" spans="1:39" hidden="1" x14ac:dyDescent="0.45">
      <c r="A786">
        <v>38</v>
      </c>
      <c r="B786" t="s">
        <v>43</v>
      </c>
      <c r="C786" t="s">
        <v>64</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_xlfn.IFS(Table1[[#This Row],[Age]]&lt;30,"Young",Table1[[#This Row],[Age]]&lt;=40,"Adult",Table1[[#This Row],[Age]]&gt;40,"Senior")</f>
        <v>Adult</v>
      </c>
      <c r="AK786" t="str" cm="1">
        <f t="array" ref="AK786">_xlfn.IFS(Table1[[#This Row],[MonthlyIncome]]&lt;5000,"Low",Table1[[#This Row],[MonthlyIncome]]&lt;10000,"Medium",Table1[[#This Row],[MonthlyIncome]]&gt;10000,"High")</f>
        <v>Medium</v>
      </c>
      <c r="AL786" t="str" cm="1">
        <f t="array" ref="AL786">_xlfn.IFS(Table1[[#This Row],[Attrition]]="Yes","Resigned",Table1[[#This Row],[Attrition]]="No","Active")</f>
        <v>Active</v>
      </c>
      <c r="AM786" t="str" cm="1">
        <f t="array" ref="AM786">_xlfn.IFS(Table1[[#This Row],[YearsAtCompany]]&lt;=1,"0-1 Year",Table1[[#This Row],[YearsAtCompany]]&lt;=2,"1-2 Years",Table1[[#This Row],[YearsAtCompany]]&lt;=3,"2-3 Years",Table1[[#This Row],[YearsAtCompany]]&lt;=4,"3-4 Years",Table1[[#This Row],[YearsAtCompany]]&lt;=5,"4-5 Years",Table1[[#This Row],[YearsAtCompany]]&gt;5,"&gt;5 Years")</f>
        <v>&gt;5 Years</v>
      </c>
    </row>
    <row r="787" spans="1:39" hidden="1" x14ac:dyDescent="0.45">
      <c r="A787">
        <v>40</v>
      </c>
      <c r="B787" t="s">
        <v>43</v>
      </c>
      <c r="C787" t="s">
        <v>64</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_xlfn.IFS(Table1[[#This Row],[Age]]&lt;30,"Young",Table1[[#This Row],[Age]]&lt;=40,"Adult",Table1[[#This Row],[Age]]&gt;40,"Senior")</f>
        <v>Adult</v>
      </c>
      <c r="AK787" t="str" cm="1">
        <f t="array" ref="AK787">_xlfn.IFS(Table1[[#This Row],[MonthlyIncome]]&lt;5000,"Low",Table1[[#This Row],[MonthlyIncome]]&lt;10000,"Medium",Table1[[#This Row],[MonthlyIncome]]&gt;10000,"High")</f>
        <v>High</v>
      </c>
      <c r="AL787" t="str" cm="1">
        <f t="array" ref="AL787">_xlfn.IFS(Table1[[#This Row],[Attrition]]="Yes","Resigned",Table1[[#This Row],[Attrition]]="No","Active")</f>
        <v>Active</v>
      </c>
      <c r="AM787" t="str" cm="1">
        <f t="array" ref="AM787">_xlfn.IFS(Table1[[#This Row],[YearsAtCompany]]&lt;=1,"0-1 Year",Table1[[#This Row],[YearsAtCompany]]&lt;=2,"1-2 Years",Table1[[#This Row],[YearsAtCompany]]&lt;=3,"2-3 Years",Table1[[#This Row],[YearsAtCompany]]&lt;=4,"3-4 Years",Table1[[#This Row],[YearsAtCompany]]&lt;=5,"4-5 Years",Table1[[#This Row],[YearsAtCompany]]&gt;5,"&gt;5 Years")</f>
        <v>&gt;5 Years</v>
      </c>
    </row>
    <row r="788" spans="1:39" hidden="1" x14ac:dyDescent="0.45">
      <c r="A788">
        <v>27</v>
      </c>
      <c r="B788" t="s">
        <v>43</v>
      </c>
      <c r="C788" t="s">
        <v>62</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_xlfn.IFS(Table1[[#This Row],[Age]]&lt;30,"Young",Table1[[#This Row],[Age]]&lt;=40,"Adult",Table1[[#This Row],[Age]]&gt;40,"Senior")</f>
        <v>Young</v>
      </c>
      <c r="AK788" t="str" cm="1">
        <f t="array" ref="AK788">_xlfn.IFS(Table1[[#This Row],[MonthlyIncome]]&lt;5000,"Low",Table1[[#This Row],[MonthlyIncome]]&lt;10000,"Medium",Table1[[#This Row],[MonthlyIncome]]&gt;10000,"High")</f>
        <v>Low</v>
      </c>
      <c r="AL788" t="str" cm="1">
        <f t="array" ref="AL788">_xlfn.IFS(Table1[[#This Row],[Attrition]]="Yes","Resigned",Table1[[#This Row],[Attrition]]="No","Active")</f>
        <v>Active</v>
      </c>
      <c r="AM788" t="str" cm="1">
        <f t="array" ref="AM788">_xlfn.IFS(Table1[[#This Row],[YearsAtCompany]]&lt;=1,"0-1 Year",Table1[[#This Row],[YearsAtCompany]]&lt;=2,"1-2 Years",Table1[[#This Row],[YearsAtCompany]]&lt;=3,"2-3 Years",Table1[[#This Row],[YearsAtCompany]]&lt;=4,"3-4 Years",Table1[[#This Row],[YearsAtCompany]]&lt;=5,"4-5 Years",Table1[[#This Row],[YearsAtCompany]]&gt;5,"&gt;5 Years")</f>
        <v>2-3 Years</v>
      </c>
    </row>
    <row r="789" spans="1:39" hidden="1" x14ac:dyDescent="0.45">
      <c r="A789">
        <v>55</v>
      </c>
      <c r="B789" t="s">
        <v>43</v>
      </c>
      <c r="C789" t="s">
        <v>63</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_xlfn.IFS(Table1[[#This Row],[Age]]&lt;30,"Young",Table1[[#This Row],[Age]]&lt;=40,"Adult",Table1[[#This Row],[Age]]&gt;40,"Senior")</f>
        <v>Senior</v>
      </c>
      <c r="AK789" t="str" cm="1">
        <f t="array" ref="AK789">_xlfn.IFS(Table1[[#This Row],[MonthlyIncome]]&lt;5000,"Low",Table1[[#This Row],[MonthlyIncome]]&lt;10000,"Medium",Table1[[#This Row],[MonthlyIncome]]&gt;10000,"High")</f>
        <v>High</v>
      </c>
      <c r="AL789" t="str" cm="1">
        <f t="array" ref="AL789">_xlfn.IFS(Table1[[#This Row],[Attrition]]="Yes","Resigned",Table1[[#This Row],[Attrition]]="No","Active")</f>
        <v>Active</v>
      </c>
      <c r="AM789" t="str" cm="1">
        <f t="array" ref="AM789">_xlfn.IFS(Table1[[#This Row],[YearsAtCompany]]&lt;=1,"0-1 Year",Table1[[#This Row],[YearsAtCompany]]&lt;=2,"1-2 Years",Table1[[#This Row],[YearsAtCompany]]&lt;=3,"2-3 Years",Table1[[#This Row],[YearsAtCompany]]&lt;=4,"3-4 Years",Table1[[#This Row],[YearsAtCompany]]&lt;=5,"4-5 Years",Table1[[#This Row],[YearsAtCompany]]&gt;5,"&gt;5 Years")</f>
        <v>2-3 Years</v>
      </c>
    </row>
    <row r="790" spans="1:39" hidden="1" x14ac:dyDescent="0.45">
      <c r="A790">
        <v>28</v>
      </c>
      <c r="B790" t="s">
        <v>43</v>
      </c>
      <c r="C790" t="s">
        <v>64</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_xlfn.IFS(Table1[[#This Row],[Age]]&lt;30,"Young",Table1[[#This Row],[Age]]&lt;=40,"Adult",Table1[[#This Row],[Age]]&gt;40,"Senior")</f>
        <v>Young</v>
      </c>
      <c r="AK790" t="str" cm="1">
        <f t="array" ref="AK790">_xlfn.IFS(Table1[[#This Row],[MonthlyIncome]]&lt;5000,"Low",Table1[[#This Row],[MonthlyIncome]]&lt;10000,"Medium",Table1[[#This Row],[MonthlyIncome]]&gt;10000,"High")</f>
        <v>Low</v>
      </c>
      <c r="AL790" t="str" cm="1">
        <f t="array" ref="AL790">_xlfn.IFS(Table1[[#This Row],[Attrition]]="Yes","Resigned",Table1[[#This Row],[Attrition]]="No","Active")</f>
        <v>Active</v>
      </c>
      <c r="AM790" t="str" cm="1">
        <f t="array" ref="AM790">_xlfn.IFS(Table1[[#This Row],[YearsAtCompany]]&lt;=1,"0-1 Year",Table1[[#This Row],[YearsAtCompany]]&lt;=2,"1-2 Years",Table1[[#This Row],[YearsAtCompany]]&lt;=3,"2-3 Years",Table1[[#This Row],[YearsAtCompany]]&lt;=4,"3-4 Years",Table1[[#This Row],[YearsAtCompany]]&lt;=5,"4-5 Years",Table1[[#This Row],[YearsAtCompany]]&gt;5,"&gt;5 Years")</f>
        <v>&gt;5 Years</v>
      </c>
    </row>
    <row r="791" spans="1:39" hidden="1" x14ac:dyDescent="0.45">
      <c r="A791">
        <v>44</v>
      </c>
      <c r="B791" t="s">
        <v>35</v>
      </c>
      <c r="C791" t="s">
        <v>64</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_xlfn.IFS(Table1[[#This Row],[Age]]&lt;30,"Young",Table1[[#This Row],[Age]]&lt;=40,"Adult",Table1[[#This Row],[Age]]&gt;40,"Senior")</f>
        <v>Senior</v>
      </c>
      <c r="AK791" t="str" cm="1">
        <f t="array" ref="AK791">_xlfn.IFS(Table1[[#This Row],[MonthlyIncome]]&lt;5000,"Low",Table1[[#This Row],[MonthlyIncome]]&lt;10000,"Medium",Table1[[#This Row],[MonthlyIncome]]&gt;10000,"High")</f>
        <v>High</v>
      </c>
      <c r="AL791" t="str" cm="1">
        <f t="array" ref="AL791">_xlfn.IFS(Table1[[#This Row],[Attrition]]="Yes","Resigned",Table1[[#This Row],[Attrition]]="No","Active")</f>
        <v>Resigned</v>
      </c>
      <c r="AM791" t="str" cm="1">
        <f t="array" ref="AM791">_xlfn.IFS(Table1[[#This Row],[YearsAtCompany]]&lt;=1,"0-1 Year",Table1[[#This Row],[YearsAtCompany]]&lt;=2,"1-2 Years",Table1[[#This Row],[YearsAtCompany]]&lt;=3,"2-3 Years",Table1[[#This Row],[YearsAtCompany]]&lt;=4,"3-4 Years",Table1[[#This Row],[YearsAtCompany]]&lt;=5,"4-5 Years",Table1[[#This Row],[YearsAtCompany]]&gt;5,"&gt;5 Years")</f>
        <v>&gt;5 Years</v>
      </c>
    </row>
    <row r="792" spans="1:39" hidden="1" x14ac:dyDescent="0.45">
      <c r="A792">
        <v>33</v>
      </c>
      <c r="B792" t="s">
        <v>43</v>
      </c>
      <c r="C792" t="s">
        <v>64</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_xlfn.IFS(Table1[[#This Row],[Age]]&lt;30,"Young",Table1[[#This Row],[Age]]&lt;=40,"Adult",Table1[[#This Row],[Age]]&gt;40,"Senior")</f>
        <v>Adult</v>
      </c>
      <c r="AK792" t="str" cm="1">
        <f t="array" ref="AK792">_xlfn.IFS(Table1[[#This Row],[MonthlyIncome]]&lt;5000,"Low",Table1[[#This Row],[MonthlyIncome]]&lt;10000,"Medium",Table1[[#This Row],[MonthlyIncome]]&gt;10000,"High")</f>
        <v>Medium</v>
      </c>
      <c r="AL792" t="str" cm="1">
        <f t="array" ref="AL792">_xlfn.IFS(Table1[[#This Row],[Attrition]]="Yes","Resigned",Table1[[#This Row],[Attrition]]="No","Active")</f>
        <v>Active</v>
      </c>
      <c r="AM792" t="str" cm="1">
        <f t="array" ref="AM792">_xlfn.IFS(Table1[[#This Row],[YearsAtCompany]]&lt;=1,"0-1 Year",Table1[[#This Row],[YearsAtCompany]]&lt;=2,"1-2 Years",Table1[[#This Row],[YearsAtCompany]]&lt;=3,"2-3 Years",Table1[[#This Row],[YearsAtCompany]]&lt;=4,"3-4 Years",Table1[[#This Row],[YearsAtCompany]]&lt;=5,"4-5 Years",Table1[[#This Row],[YearsAtCompany]]&gt;5,"&gt;5 Years")</f>
        <v>2-3 Years</v>
      </c>
    </row>
    <row r="793" spans="1:39" x14ac:dyDescent="0.45">
      <c r="A793">
        <v>35</v>
      </c>
      <c r="B793" t="s">
        <v>35</v>
      </c>
      <c r="C793" t="s">
        <v>64</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_xlfn.IFS(Table1[[#This Row],[Age]]&lt;30,"Young",Table1[[#This Row],[Age]]&lt;=40,"Adult",Table1[[#This Row],[Age]]&gt;40,"Senior")</f>
        <v>Adult</v>
      </c>
      <c r="AK793" t="str" cm="1">
        <f t="array" ref="AK793">_xlfn.IFS(Table1[[#This Row],[MonthlyIncome]]&lt;5000,"Low",Table1[[#This Row],[MonthlyIncome]]&lt;10000,"Medium",Table1[[#This Row],[MonthlyIncome]]&gt;10000,"High")</f>
        <v>Medium</v>
      </c>
      <c r="AL793" t="str" cm="1">
        <f t="array" ref="AL793">_xlfn.IFS(Table1[[#This Row],[Attrition]]="Yes","Resigned",Table1[[#This Row],[Attrition]]="No","Active")</f>
        <v>Resigned</v>
      </c>
      <c r="AM793" t="str" cm="1">
        <f t="array" ref="AM793">_xlfn.IFS(Table1[[#This Row],[YearsAtCompany]]&lt;=1,"0-1 Year",Table1[[#This Row],[YearsAtCompany]]&lt;=2,"1-2 Years",Table1[[#This Row],[YearsAtCompany]]&lt;=3,"2-3 Years",Table1[[#This Row],[YearsAtCompany]]&lt;=4,"3-4 Years",Table1[[#This Row],[YearsAtCompany]]&lt;=5,"4-5 Years",Table1[[#This Row],[YearsAtCompany]]&gt;5,"&gt;5 Years")</f>
        <v>&gt;5 Years</v>
      </c>
    </row>
    <row r="794" spans="1:39" hidden="1" x14ac:dyDescent="0.45">
      <c r="A794">
        <v>33</v>
      </c>
      <c r="B794" t="s">
        <v>35</v>
      </c>
      <c r="C794" t="s">
        <v>63</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_xlfn.IFS(Table1[[#This Row],[Age]]&lt;30,"Young",Table1[[#This Row],[Age]]&lt;=40,"Adult",Table1[[#This Row],[Age]]&gt;40,"Senior")</f>
        <v>Adult</v>
      </c>
      <c r="AK794" t="str" cm="1">
        <f t="array" ref="AK794">_xlfn.IFS(Table1[[#This Row],[MonthlyIncome]]&lt;5000,"Low",Table1[[#This Row],[MonthlyIncome]]&lt;10000,"Medium",Table1[[#This Row],[MonthlyIncome]]&gt;10000,"High")</f>
        <v>Low</v>
      </c>
      <c r="AL794" t="str" cm="1">
        <f t="array" ref="AL794">_xlfn.IFS(Table1[[#This Row],[Attrition]]="Yes","Resigned",Table1[[#This Row],[Attrition]]="No","Active")</f>
        <v>Resigned</v>
      </c>
      <c r="AM794" t="str" cm="1">
        <f t="array" ref="AM794">_xlfn.IFS(Table1[[#This Row],[YearsAtCompany]]&lt;=1,"0-1 Year",Table1[[#This Row],[YearsAtCompany]]&lt;=2,"1-2 Years",Table1[[#This Row],[YearsAtCompany]]&lt;=3,"2-3 Years",Table1[[#This Row],[YearsAtCompany]]&lt;=4,"3-4 Years",Table1[[#This Row],[YearsAtCompany]]&lt;=5,"4-5 Years",Table1[[#This Row],[YearsAtCompany]]&gt;5,"&gt;5 Years")</f>
        <v>&gt;5 Years</v>
      </c>
    </row>
    <row r="795" spans="1:39" hidden="1" x14ac:dyDescent="0.45">
      <c r="A795">
        <v>28</v>
      </c>
      <c r="B795" t="s">
        <v>43</v>
      </c>
      <c r="C795" t="s">
        <v>64</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_xlfn.IFS(Table1[[#This Row],[Age]]&lt;30,"Young",Table1[[#This Row],[Age]]&lt;=40,"Adult",Table1[[#This Row],[Age]]&gt;40,"Senior")</f>
        <v>Young</v>
      </c>
      <c r="AK795" t="str" cm="1">
        <f t="array" ref="AK795">_xlfn.IFS(Table1[[#This Row],[MonthlyIncome]]&lt;5000,"Low",Table1[[#This Row],[MonthlyIncome]]&lt;10000,"Medium",Table1[[#This Row],[MonthlyIncome]]&gt;10000,"High")</f>
        <v>Low</v>
      </c>
      <c r="AL795" t="str" cm="1">
        <f t="array" ref="AL795">_xlfn.IFS(Table1[[#This Row],[Attrition]]="Yes","Resigned",Table1[[#This Row],[Attrition]]="No","Active")</f>
        <v>Active</v>
      </c>
      <c r="AM795" t="str" cm="1">
        <f t="array" ref="AM795">_xlfn.IFS(Table1[[#This Row],[YearsAtCompany]]&lt;=1,"0-1 Year",Table1[[#This Row],[YearsAtCompany]]&lt;=2,"1-2 Years",Table1[[#This Row],[YearsAtCompany]]&lt;=3,"2-3 Years",Table1[[#This Row],[YearsAtCompany]]&lt;=4,"3-4 Years",Table1[[#This Row],[YearsAtCompany]]&lt;=5,"4-5 Years",Table1[[#This Row],[YearsAtCompany]]&gt;5,"&gt;5 Years")</f>
        <v>3-4 Years</v>
      </c>
    </row>
    <row r="796" spans="1:39" hidden="1" x14ac:dyDescent="0.45">
      <c r="A796">
        <v>34</v>
      </c>
      <c r="B796" t="s">
        <v>43</v>
      </c>
      <c r="C796" t="s">
        <v>63</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_xlfn.IFS(Table1[[#This Row],[Age]]&lt;30,"Young",Table1[[#This Row],[Age]]&lt;=40,"Adult",Table1[[#This Row],[Age]]&gt;40,"Senior")</f>
        <v>Adult</v>
      </c>
      <c r="AK796" t="str" cm="1">
        <f t="array" ref="AK796">_xlfn.IFS(Table1[[#This Row],[MonthlyIncome]]&lt;5000,"Low",Table1[[#This Row],[MonthlyIncome]]&lt;10000,"Medium",Table1[[#This Row],[MonthlyIncome]]&gt;10000,"High")</f>
        <v>Medium</v>
      </c>
      <c r="AL796" t="str" cm="1">
        <f t="array" ref="AL796">_xlfn.IFS(Table1[[#This Row],[Attrition]]="Yes","Resigned",Table1[[#This Row],[Attrition]]="No","Active")</f>
        <v>Active</v>
      </c>
      <c r="AM796" t="str" cm="1">
        <f t="array" ref="AM796">_xlfn.IFS(Table1[[#This Row],[YearsAtCompany]]&lt;=1,"0-1 Year",Table1[[#This Row],[YearsAtCompany]]&lt;=2,"1-2 Years",Table1[[#This Row],[YearsAtCompany]]&lt;=3,"2-3 Years",Table1[[#This Row],[YearsAtCompany]]&lt;=4,"3-4 Years",Table1[[#This Row],[YearsAtCompany]]&lt;=5,"4-5 Years",Table1[[#This Row],[YearsAtCompany]]&gt;5,"&gt;5 Years")</f>
        <v>&gt;5 Years</v>
      </c>
    </row>
    <row r="797" spans="1:39" x14ac:dyDescent="0.45">
      <c r="A797">
        <v>37</v>
      </c>
      <c r="B797" t="s">
        <v>43</v>
      </c>
      <c r="C797" t="s">
        <v>64</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_xlfn.IFS(Table1[[#This Row],[Age]]&lt;30,"Young",Table1[[#This Row],[Age]]&lt;=40,"Adult",Table1[[#This Row],[Age]]&gt;40,"Senior")</f>
        <v>Adult</v>
      </c>
      <c r="AK797" t="str" cm="1">
        <f t="array" ref="AK797">_xlfn.IFS(Table1[[#This Row],[MonthlyIncome]]&lt;5000,"Low",Table1[[#This Row],[MonthlyIncome]]&lt;10000,"Medium",Table1[[#This Row],[MonthlyIncome]]&gt;10000,"High")</f>
        <v>Medium</v>
      </c>
      <c r="AL797" t="str" cm="1">
        <f t="array" ref="AL797">_xlfn.IFS(Table1[[#This Row],[Attrition]]="Yes","Resigned",Table1[[#This Row],[Attrition]]="No","Active")</f>
        <v>Active</v>
      </c>
      <c r="AM797" t="str" cm="1">
        <f t="array" ref="AM797">_xlfn.IFS(Table1[[#This Row],[YearsAtCompany]]&lt;=1,"0-1 Year",Table1[[#This Row],[YearsAtCompany]]&lt;=2,"1-2 Years",Table1[[#This Row],[YearsAtCompany]]&lt;=3,"2-3 Years",Table1[[#This Row],[YearsAtCompany]]&lt;=4,"3-4 Years",Table1[[#This Row],[YearsAtCompany]]&lt;=5,"4-5 Years",Table1[[#This Row],[YearsAtCompany]]&gt;5,"&gt;5 Years")</f>
        <v>0-1 Year</v>
      </c>
    </row>
    <row r="798" spans="1:39" hidden="1" x14ac:dyDescent="0.45">
      <c r="A798">
        <v>25</v>
      </c>
      <c r="B798" t="s">
        <v>35</v>
      </c>
      <c r="C798" t="s">
        <v>64</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_xlfn.IFS(Table1[[#This Row],[Age]]&lt;30,"Young",Table1[[#This Row],[Age]]&lt;=40,"Adult",Table1[[#This Row],[Age]]&gt;40,"Senior")</f>
        <v>Young</v>
      </c>
      <c r="AK798" t="str" cm="1">
        <f t="array" ref="AK798">_xlfn.IFS(Table1[[#This Row],[MonthlyIncome]]&lt;5000,"Low",Table1[[#This Row],[MonthlyIncome]]&lt;10000,"Medium",Table1[[#This Row],[MonthlyIncome]]&gt;10000,"High")</f>
        <v>Low</v>
      </c>
      <c r="AL798" t="str" cm="1">
        <f t="array" ref="AL798">_xlfn.IFS(Table1[[#This Row],[Attrition]]="Yes","Resigned",Table1[[#This Row],[Attrition]]="No","Active")</f>
        <v>Resigned</v>
      </c>
      <c r="AM798" t="str" cm="1">
        <f t="array" ref="AM798">_xlfn.IFS(Table1[[#This Row],[YearsAtCompany]]&lt;=1,"0-1 Year",Table1[[#This Row],[YearsAtCompany]]&lt;=2,"1-2 Years",Table1[[#This Row],[YearsAtCompany]]&lt;=3,"2-3 Years",Table1[[#This Row],[YearsAtCompany]]&lt;=4,"3-4 Years",Table1[[#This Row],[YearsAtCompany]]&lt;=5,"4-5 Years",Table1[[#This Row],[YearsAtCompany]]&gt;5,"&gt;5 Years")</f>
        <v>&gt;5 Years</v>
      </c>
    </row>
    <row r="799" spans="1:39" hidden="1" x14ac:dyDescent="0.45">
      <c r="A799">
        <v>26</v>
      </c>
      <c r="B799" t="s">
        <v>35</v>
      </c>
      <c r="C799" t="s">
        <v>64</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_xlfn.IFS(Table1[[#This Row],[Age]]&lt;30,"Young",Table1[[#This Row],[Age]]&lt;=40,"Adult",Table1[[#This Row],[Age]]&gt;40,"Senior")</f>
        <v>Young</v>
      </c>
      <c r="AK799" t="str" cm="1">
        <f t="array" ref="AK799">_xlfn.IFS(Table1[[#This Row],[MonthlyIncome]]&lt;5000,"Low",Table1[[#This Row],[MonthlyIncome]]&lt;10000,"Medium",Table1[[#This Row],[MonthlyIncome]]&gt;10000,"High")</f>
        <v>Low</v>
      </c>
      <c r="AL799" t="str" cm="1">
        <f t="array" ref="AL799">_xlfn.IFS(Table1[[#This Row],[Attrition]]="Yes","Resigned",Table1[[#This Row],[Attrition]]="No","Active")</f>
        <v>Resigned</v>
      </c>
      <c r="AM799" t="str" cm="1">
        <f t="array" ref="AM799">_xlfn.IFS(Table1[[#This Row],[YearsAtCompany]]&lt;=1,"0-1 Year",Table1[[#This Row],[YearsAtCompany]]&lt;=2,"1-2 Years",Table1[[#This Row],[YearsAtCompany]]&lt;=3,"2-3 Years",Table1[[#This Row],[YearsAtCompany]]&lt;=4,"3-4 Years",Table1[[#This Row],[YearsAtCompany]]&lt;=5,"4-5 Years",Table1[[#This Row],[YearsAtCompany]]&gt;5,"&gt;5 Years")</f>
        <v>0-1 Year</v>
      </c>
    </row>
    <row r="800" spans="1:39" hidden="1" x14ac:dyDescent="0.45">
      <c r="A800">
        <v>33</v>
      </c>
      <c r="B800" t="s">
        <v>35</v>
      </c>
      <c r="C800" t="s">
        <v>64</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_xlfn.IFS(Table1[[#This Row],[Age]]&lt;30,"Young",Table1[[#This Row],[Age]]&lt;=40,"Adult",Table1[[#This Row],[Age]]&gt;40,"Senior")</f>
        <v>Adult</v>
      </c>
      <c r="AK800" t="str" cm="1">
        <f t="array" ref="AK800">_xlfn.IFS(Table1[[#This Row],[MonthlyIncome]]&lt;5000,"Low",Table1[[#This Row],[MonthlyIncome]]&lt;10000,"Medium",Table1[[#This Row],[MonthlyIncome]]&gt;10000,"High")</f>
        <v>Low</v>
      </c>
      <c r="AL800" t="str" cm="1">
        <f t="array" ref="AL800">_xlfn.IFS(Table1[[#This Row],[Attrition]]="Yes","Resigned",Table1[[#This Row],[Attrition]]="No","Active")</f>
        <v>Resigned</v>
      </c>
      <c r="AM800" t="str" cm="1">
        <f t="array" ref="AM800">_xlfn.IFS(Table1[[#This Row],[YearsAtCompany]]&lt;=1,"0-1 Year",Table1[[#This Row],[YearsAtCompany]]&lt;=2,"1-2 Years",Table1[[#This Row],[YearsAtCompany]]&lt;=3,"2-3 Years",Table1[[#This Row],[YearsAtCompany]]&lt;=4,"3-4 Years",Table1[[#This Row],[YearsAtCompany]]&lt;=5,"4-5 Years",Table1[[#This Row],[YearsAtCompany]]&gt;5,"&gt;5 Years")</f>
        <v>1-2 Years</v>
      </c>
    </row>
    <row r="801" spans="1:39" hidden="1" x14ac:dyDescent="0.45">
      <c r="A801">
        <v>42</v>
      </c>
      <c r="B801" t="s">
        <v>43</v>
      </c>
      <c r="C801" t="s">
        <v>64</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_xlfn.IFS(Table1[[#This Row],[Age]]&lt;30,"Young",Table1[[#This Row],[Age]]&lt;=40,"Adult",Table1[[#This Row],[Age]]&gt;40,"Senior")</f>
        <v>Senior</v>
      </c>
      <c r="AK801" t="str" cm="1">
        <f t="array" ref="AK801">_xlfn.IFS(Table1[[#This Row],[MonthlyIncome]]&lt;5000,"Low",Table1[[#This Row],[MonthlyIncome]]&lt;10000,"Medium",Table1[[#This Row],[MonthlyIncome]]&gt;10000,"High")</f>
        <v>High</v>
      </c>
      <c r="AL801" t="str" cm="1">
        <f t="array" ref="AL801">_xlfn.IFS(Table1[[#This Row],[Attrition]]="Yes","Resigned",Table1[[#This Row],[Attrition]]="No","Active")</f>
        <v>Active</v>
      </c>
      <c r="AM801" t="str" cm="1">
        <f t="array" ref="AM801">_xlfn.IFS(Table1[[#This Row],[YearsAtCompany]]&lt;=1,"0-1 Year",Table1[[#This Row],[YearsAtCompany]]&lt;=2,"1-2 Years",Table1[[#This Row],[YearsAtCompany]]&lt;=3,"2-3 Years",Table1[[#This Row],[YearsAtCompany]]&lt;=4,"3-4 Years",Table1[[#This Row],[YearsAtCompany]]&lt;=5,"4-5 Years",Table1[[#This Row],[YearsAtCompany]]&gt;5,"&gt;5 Years")</f>
        <v>&gt;5 Years</v>
      </c>
    </row>
    <row r="802" spans="1:39" hidden="1" x14ac:dyDescent="0.45">
      <c r="A802">
        <v>28</v>
      </c>
      <c r="B802" t="s">
        <v>35</v>
      </c>
      <c r="C802" t="s">
        <v>63</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_xlfn.IFS(Table1[[#This Row],[Age]]&lt;30,"Young",Table1[[#This Row],[Age]]&lt;=40,"Adult",Table1[[#This Row],[Age]]&gt;40,"Senior")</f>
        <v>Young</v>
      </c>
      <c r="AK802" t="str" cm="1">
        <f t="array" ref="AK802">_xlfn.IFS(Table1[[#This Row],[MonthlyIncome]]&lt;5000,"Low",Table1[[#This Row],[MonthlyIncome]]&lt;10000,"Medium",Table1[[#This Row],[MonthlyIncome]]&gt;10000,"High")</f>
        <v>Low</v>
      </c>
      <c r="AL802" t="str" cm="1">
        <f t="array" ref="AL802">_xlfn.IFS(Table1[[#This Row],[Attrition]]="Yes","Resigned",Table1[[#This Row],[Attrition]]="No","Active")</f>
        <v>Resigned</v>
      </c>
      <c r="AM802" t="str" cm="1">
        <f t="array" ref="AM802">_xlfn.IFS(Table1[[#This Row],[YearsAtCompany]]&lt;=1,"0-1 Year",Table1[[#This Row],[YearsAtCompany]]&lt;=2,"1-2 Years",Table1[[#This Row],[YearsAtCompany]]&lt;=3,"2-3 Years",Table1[[#This Row],[YearsAtCompany]]&lt;=4,"3-4 Years",Table1[[#This Row],[YearsAtCompany]]&lt;=5,"4-5 Years",Table1[[#This Row],[YearsAtCompany]]&gt;5,"&gt;5 Years")</f>
        <v>0-1 Year</v>
      </c>
    </row>
    <row r="803" spans="1:39" x14ac:dyDescent="0.45">
      <c r="A803">
        <v>50</v>
      </c>
      <c r="B803" t="s">
        <v>35</v>
      </c>
      <c r="C803" t="s">
        <v>63</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_xlfn.IFS(Table1[[#This Row],[Age]]&lt;30,"Young",Table1[[#This Row],[Age]]&lt;=40,"Adult",Table1[[#This Row],[Age]]&gt;40,"Senior")</f>
        <v>Senior</v>
      </c>
      <c r="AK803" t="str" cm="1">
        <f t="array" ref="AK803">_xlfn.IFS(Table1[[#This Row],[MonthlyIncome]]&lt;5000,"Low",Table1[[#This Row],[MonthlyIncome]]&lt;10000,"Medium",Table1[[#This Row],[MonthlyIncome]]&gt;10000,"High")</f>
        <v>Low</v>
      </c>
      <c r="AL803" t="str" cm="1">
        <f t="array" ref="AL803">_xlfn.IFS(Table1[[#This Row],[Attrition]]="Yes","Resigned",Table1[[#This Row],[Attrition]]="No","Active")</f>
        <v>Resigned</v>
      </c>
      <c r="AM803" t="str" cm="1">
        <f t="array" ref="AM803">_xlfn.IFS(Table1[[#This Row],[YearsAtCompany]]&lt;=1,"0-1 Year",Table1[[#This Row],[YearsAtCompany]]&lt;=2,"1-2 Years",Table1[[#This Row],[YearsAtCompany]]&lt;=3,"2-3 Years",Table1[[#This Row],[YearsAtCompany]]&lt;=4,"3-4 Years",Table1[[#This Row],[YearsAtCompany]]&lt;=5,"4-5 Years",Table1[[#This Row],[YearsAtCompany]]&gt;5,"&gt;5 Years")</f>
        <v>0-1 Year</v>
      </c>
    </row>
    <row r="804" spans="1:39" x14ac:dyDescent="0.45">
      <c r="A804">
        <v>33</v>
      </c>
      <c r="B804" t="s">
        <v>43</v>
      </c>
      <c r="C804" t="s">
        <v>63</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_xlfn.IFS(Table1[[#This Row],[Age]]&lt;30,"Young",Table1[[#This Row],[Age]]&lt;=40,"Adult",Table1[[#This Row],[Age]]&gt;40,"Senior")</f>
        <v>Adult</v>
      </c>
      <c r="AK804" t="str" cm="1">
        <f t="array" ref="AK804">_xlfn.IFS(Table1[[#This Row],[MonthlyIncome]]&lt;5000,"Low",Table1[[#This Row],[MonthlyIncome]]&lt;10000,"Medium",Table1[[#This Row],[MonthlyIncome]]&gt;10000,"High")</f>
        <v>Low</v>
      </c>
      <c r="AL804" t="str" cm="1">
        <f t="array" ref="AL804">_xlfn.IFS(Table1[[#This Row],[Attrition]]="Yes","Resigned",Table1[[#This Row],[Attrition]]="No","Active")</f>
        <v>Active</v>
      </c>
      <c r="AM804" t="str" cm="1">
        <f t="array" ref="AM804">_xlfn.IFS(Table1[[#This Row],[YearsAtCompany]]&lt;=1,"0-1 Year",Table1[[#This Row],[YearsAtCompany]]&lt;=2,"1-2 Years",Table1[[#This Row],[YearsAtCompany]]&lt;=3,"2-3 Years",Table1[[#This Row],[YearsAtCompany]]&lt;=4,"3-4 Years",Table1[[#This Row],[YearsAtCompany]]&lt;=5,"4-5 Years",Table1[[#This Row],[YearsAtCompany]]&gt;5,"&gt;5 Years")</f>
        <v>2-3 Years</v>
      </c>
    </row>
    <row r="805" spans="1:39" hidden="1" x14ac:dyDescent="0.45">
      <c r="A805">
        <v>34</v>
      </c>
      <c r="B805" t="s">
        <v>43</v>
      </c>
      <c r="C805" t="s">
        <v>62</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_xlfn.IFS(Table1[[#This Row],[Age]]&lt;30,"Young",Table1[[#This Row],[Age]]&lt;=40,"Adult",Table1[[#This Row],[Age]]&gt;40,"Senior")</f>
        <v>Adult</v>
      </c>
      <c r="AK805" t="str" cm="1">
        <f t="array" ref="AK805">_xlfn.IFS(Table1[[#This Row],[MonthlyIncome]]&lt;5000,"Low",Table1[[#This Row],[MonthlyIncome]]&lt;10000,"Medium",Table1[[#This Row],[MonthlyIncome]]&gt;10000,"High")</f>
        <v>Low</v>
      </c>
      <c r="AL805" t="str" cm="1">
        <f t="array" ref="AL805">_xlfn.IFS(Table1[[#This Row],[Attrition]]="Yes","Resigned",Table1[[#This Row],[Attrition]]="No","Active")</f>
        <v>Active</v>
      </c>
      <c r="AM805" t="str" cm="1">
        <f t="array" ref="AM805">_xlfn.IFS(Table1[[#This Row],[YearsAtCompany]]&lt;=1,"0-1 Year",Table1[[#This Row],[YearsAtCompany]]&lt;=2,"1-2 Years",Table1[[#This Row],[YearsAtCompany]]&lt;=3,"2-3 Years",Table1[[#This Row],[YearsAtCompany]]&lt;=4,"3-4 Years",Table1[[#This Row],[YearsAtCompany]]&lt;=5,"4-5 Years",Table1[[#This Row],[YearsAtCompany]]&gt;5,"&gt;5 Years")</f>
        <v>0-1 Year</v>
      </c>
    </row>
    <row r="806" spans="1:39" hidden="1" x14ac:dyDescent="0.45">
      <c r="A806">
        <v>48</v>
      </c>
      <c r="B806" t="s">
        <v>43</v>
      </c>
      <c r="C806" t="s">
        <v>62</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_xlfn.IFS(Table1[[#This Row],[Age]]&lt;30,"Young",Table1[[#This Row],[Age]]&lt;=40,"Adult",Table1[[#This Row],[Age]]&gt;40,"Senior")</f>
        <v>Senior</v>
      </c>
      <c r="AK806" t="str" cm="1">
        <f t="array" ref="AK806">_xlfn.IFS(Table1[[#This Row],[MonthlyIncome]]&lt;5000,"Low",Table1[[#This Row],[MonthlyIncome]]&lt;10000,"Medium",Table1[[#This Row],[MonthlyIncome]]&gt;10000,"High")</f>
        <v>High</v>
      </c>
      <c r="AL806" t="str" cm="1">
        <f t="array" ref="AL806">_xlfn.IFS(Table1[[#This Row],[Attrition]]="Yes","Resigned",Table1[[#This Row],[Attrition]]="No","Active")</f>
        <v>Active</v>
      </c>
      <c r="AM806" t="str" cm="1">
        <f t="array" ref="AM806">_xlfn.IFS(Table1[[#This Row],[YearsAtCompany]]&lt;=1,"0-1 Year",Table1[[#This Row],[YearsAtCompany]]&lt;=2,"1-2 Years",Table1[[#This Row],[YearsAtCompany]]&lt;=3,"2-3 Years",Table1[[#This Row],[YearsAtCompany]]&lt;=4,"3-4 Years",Table1[[#This Row],[YearsAtCompany]]&lt;=5,"4-5 Years",Table1[[#This Row],[YearsAtCompany]]&gt;5,"&gt;5 Years")</f>
        <v>4-5 Years</v>
      </c>
    </row>
    <row r="807" spans="1:39" x14ac:dyDescent="0.45">
      <c r="A807">
        <v>45</v>
      </c>
      <c r="B807" t="s">
        <v>43</v>
      </c>
      <c r="C807" t="s">
        <v>62</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_xlfn.IFS(Table1[[#This Row],[Age]]&lt;30,"Young",Table1[[#This Row],[Age]]&lt;=40,"Adult",Table1[[#This Row],[Age]]&gt;40,"Senior")</f>
        <v>Senior</v>
      </c>
      <c r="AK807" t="str" cm="1">
        <f t="array" ref="AK807">_xlfn.IFS(Table1[[#This Row],[MonthlyIncome]]&lt;5000,"Low",Table1[[#This Row],[MonthlyIncome]]&lt;10000,"Medium",Table1[[#This Row],[MonthlyIncome]]&gt;10000,"High")</f>
        <v>Medium</v>
      </c>
      <c r="AL807" t="str" cm="1">
        <f t="array" ref="AL807">_xlfn.IFS(Table1[[#This Row],[Attrition]]="Yes","Resigned",Table1[[#This Row],[Attrition]]="No","Active")</f>
        <v>Active</v>
      </c>
      <c r="AM807" t="str" cm="1">
        <f t="array" ref="AM807">_xlfn.IFS(Table1[[#This Row],[YearsAtCompany]]&lt;=1,"0-1 Year",Table1[[#This Row],[YearsAtCompany]]&lt;=2,"1-2 Years",Table1[[#This Row],[YearsAtCompany]]&lt;=3,"2-3 Years",Table1[[#This Row],[YearsAtCompany]]&lt;=4,"3-4 Years",Table1[[#This Row],[YearsAtCompany]]&lt;=5,"4-5 Years",Table1[[#This Row],[YearsAtCompany]]&gt;5,"&gt;5 Years")</f>
        <v>&gt;5 Years</v>
      </c>
    </row>
    <row r="808" spans="1:39" hidden="1" x14ac:dyDescent="0.45">
      <c r="A808">
        <v>52</v>
      </c>
      <c r="B808" t="s">
        <v>43</v>
      </c>
      <c r="C808" t="s">
        <v>64</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_xlfn.IFS(Table1[[#This Row],[Age]]&lt;30,"Young",Table1[[#This Row],[Age]]&lt;=40,"Adult",Table1[[#This Row],[Age]]&gt;40,"Senior")</f>
        <v>Senior</v>
      </c>
      <c r="AK808" t="str" cm="1">
        <f t="array" ref="AK808">_xlfn.IFS(Table1[[#This Row],[MonthlyIncome]]&lt;5000,"Low",Table1[[#This Row],[MonthlyIncome]]&lt;10000,"Medium",Table1[[#This Row],[MonthlyIncome]]&gt;10000,"High")</f>
        <v>High</v>
      </c>
      <c r="AL808" t="str" cm="1">
        <f t="array" ref="AL808">_xlfn.IFS(Table1[[#This Row],[Attrition]]="Yes","Resigned",Table1[[#This Row],[Attrition]]="No","Active")</f>
        <v>Active</v>
      </c>
      <c r="AM808" t="str" cm="1">
        <f t="array" ref="AM808">_xlfn.IFS(Table1[[#This Row],[YearsAtCompany]]&lt;=1,"0-1 Year",Table1[[#This Row],[YearsAtCompany]]&lt;=2,"1-2 Years",Table1[[#This Row],[YearsAtCompany]]&lt;=3,"2-3 Years",Table1[[#This Row],[YearsAtCompany]]&lt;=4,"3-4 Years",Table1[[#This Row],[YearsAtCompany]]&lt;=5,"4-5 Years",Table1[[#This Row],[YearsAtCompany]]&gt;5,"&gt;5 Years")</f>
        <v>&gt;5 Years</v>
      </c>
    </row>
    <row r="809" spans="1:39" x14ac:dyDescent="0.45">
      <c r="A809">
        <v>38</v>
      </c>
      <c r="B809" t="s">
        <v>43</v>
      </c>
      <c r="C809" t="s">
        <v>64</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_xlfn.IFS(Table1[[#This Row],[Age]]&lt;30,"Young",Table1[[#This Row],[Age]]&lt;=40,"Adult",Table1[[#This Row],[Age]]&gt;40,"Senior")</f>
        <v>Adult</v>
      </c>
      <c r="AK809" t="str" cm="1">
        <f t="array" ref="AK809">_xlfn.IFS(Table1[[#This Row],[MonthlyIncome]]&lt;5000,"Low",Table1[[#This Row],[MonthlyIncome]]&lt;10000,"Medium",Table1[[#This Row],[MonthlyIncome]]&gt;10000,"High")</f>
        <v>Medium</v>
      </c>
      <c r="AL809" t="str" cm="1">
        <f t="array" ref="AL809">_xlfn.IFS(Table1[[#This Row],[Attrition]]="Yes","Resigned",Table1[[#This Row],[Attrition]]="No","Active")</f>
        <v>Active</v>
      </c>
      <c r="AM809" t="str" cm="1">
        <f t="array" ref="AM809">_xlfn.IFS(Table1[[#This Row],[YearsAtCompany]]&lt;=1,"0-1 Year",Table1[[#This Row],[YearsAtCompany]]&lt;=2,"1-2 Years",Table1[[#This Row],[YearsAtCompany]]&lt;=3,"2-3 Years",Table1[[#This Row],[YearsAtCompany]]&lt;=4,"3-4 Years",Table1[[#This Row],[YearsAtCompany]]&lt;=5,"4-5 Years",Table1[[#This Row],[YearsAtCompany]]&gt;5,"&gt;5 Years")</f>
        <v>&gt;5 Years</v>
      </c>
    </row>
    <row r="810" spans="1:39" hidden="1" x14ac:dyDescent="0.45">
      <c r="A810">
        <v>29</v>
      </c>
      <c r="B810" t="s">
        <v>43</v>
      </c>
      <c r="C810" t="s">
        <v>64</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_xlfn.IFS(Table1[[#This Row],[Age]]&lt;30,"Young",Table1[[#This Row],[Age]]&lt;=40,"Adult",Table1[[#This Row],[Age]]&gt;40,"Senior")</f>
        <v>Young</v>
      </c>
      <c r="AK810" t="str" cm="1">
        <f t="array" ref="AK810">_xlfn.IFS(Table1[[#This Row],[MonthlyIncome]]&lt;5000,"Low",Table1[[#This Row],[MonthlyIncome]]&lt;10000,"Medium",Table1[[#This Row],[MonthlyIncome]]&gt;10000,"High")</f>
        <v>Low</v>
      </c>
      <c r="AL810" t="str" cm="1">
        <f t="array" ref="AL810">_xlfn.IFS(Table1[[#This Row],[Attrition]]="Yes","Resigned",Table1[[#This Row],[Attrition]]="No","Active")</f>
        <v>Active</v>
      </c>
      <c r="AM810" t="str" cm="1">
        <f t="array" ref="AM810">_xlfn.IFS(Table1[[#This Row],[YearsAtCompany]]&lt;=1,"0-1 Year",Table1[[#This Row],[YearsAtCompany]]&lt;=2,"1-2 Years",Table1[[#This Row],[YearsAtCompany]]&lt;=3,"2-3 Years",Table1[[#This Row],[YearsAtCompany]]&lt;=4,"3-4 Years",Table1[[#This Row],[YearsAtCompany]]&lt;=5,"4-5 Years",Table1[[#This Row],[YearsAtCompany]]&gt;5,"&gt;5 Years")</f>
        <v>&gt;5 Years</v>
      </c>
    </row>
    <row r="811" spans="1:39" hidden="1" x14ac:dyDescent="0.45">
      <c r="A811">
        <v>28</v>
      </c>
      <c r="B811" t="s">
        <v>43</v>
      </c>
      <c r="C811" t="s">
        <v>64</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_xlfn.IFS(Table1[[#This Row],[Age]]&lt;30,"Young",Table1[[#This Row],[Age]]&lt;=40,"Adult",Table1[[#This Row],[Age]]&gt;40,"Senior")</f>
        <v>Young</v>
      </c>
      <c r="AK811" t="str" cm="1">
        <f t="array" ref="AK811">_xlfn.IFS(Table1[[#This Row],[MonthlyIncome]]&lt;5000,"Low",Table1[[#This Row],[MonthlyIncome]]&lt;10000,"Medium",Table1[[#This Row],[MonthlyIncome]]&gt;10000,"High")</f>
        <v>Medium</v>
      </c>
      <c r="AL811" t="str" cm="1">
        <f t="array" ref="AL811">_xlfn.IFS(Table1[[#This Row],[Attrition]]="Yes","Resigned",Table1[[#This Row],[Attrition]]="No","Active")</f>
        <v>Active</v>
      </c>
      <c r="AM811" t="str" cm="1">
        <f t="array" ref="AM811">_xlfn.IFS(Table1[[#This Row],[YearsAtCompany]]&lt;=1,"0-1 Year",Table1[[#This Row],[YearsAtCompany]]&lt;=2,"1-2 Years",Table1[[#This Row],[YearsAtCompany]]&lt;=3,"2-3 Years",Table1[[#This Row],[YearsAtCompany]]&lt;=4,"3-4 Years",Table1[[#This Row],[YearsAtCompany]]&lt;=5,"4-5 Years",Table1[[#This Row],[YearsAtCompany]]&gt;5,"&gt;5 Years")</f>
        <v>&gt;5 Years</v>
      </c>
    </row>
    <row r="812" spans="1:39" x14ac:dyDescent="0.45">
      <c r="A812">
        <v>46</v>
      </c>
      <c r="B812" t="s">
        <v>43</v>
      </c>
      <c r="C812" t="s">
        <v>64</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_xlfn.IFS(Table1[[#This Row],[Age]]&lt;30,"Young",Table1[[#This Row],[Age]]&lt;=40,"Adult",Table1[[#This Row],[Age]]&gt;40,"Senior")</f>
        <v>Senior</v>
      </c>
      <c r="AK812" t="str" cm="1">
        <f t="array" ref="AK812">_xlfn.IFS(Table1[[#This Row],[MonthlyIncome]]&lt;5000,"Low",Table1[[#This Row],[MonthlyIncome]]&lt;10000,"Medium",Table1[[#This Row],[MonthlyIncome]]&gt;10000,"High")</f>
        <v>High</v>
      </c>
      <c r="AL812" t="str" cm="1">
        <f t="array" ref="AL812">_xlfn.IFS(Table1[[#This Row],[Attrition]]="Yes","Resigned",Table1[[#This Row],[Attrition]]="No","Active")</f>
        <v>Active</v>
      </c>
      <c r="AM812" t="str" cm="1">
        <f t="array" ref="AM812">_xlfn.IFS(Table1[[#This Row],[YearsAtCompany]]&lt;=1,"0-1 Year",Table1[[#This Row],[YearsAtCompany]]&lt;=2,"1-2 Years",Table1[[#This Row],[YearsAtCompany]]&lt;=3,"2-3 Years",Table1[[#This Row],[YearsAtCompany]]&lt;=4,"3-4 Years",Table1[[#This Row],[YearsAtCompany]]&lt;=5,"4-5 Years",Table1[[#This Row],[YearsAtCompany]]&gt;5,"&gt;5 Years")</f>
        <v>&gt;5 Years</v>
      </c>
    </row>
    <row r="813" spans="1:39" x14ac:dyDescent="0.45">
      <c r="A813">
        <v>38</v>
      </c>
      <c r="B813" t="s">
        <v>43</v>
      </c>
      <c r="C813" t="s">
        <v>64</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_xlfn.IFS(Table1[[#This Row],[Age]]&lt;30,"Young",Table1[[#This Row],[Age]]&lt;=40,"Adult",Table1[[#This Row],[Age]]&gt;40,"Senior")</f>
        <v>Adult</v>
      </c>
      <c r="AK813" t="str" cm="1">
        <f t="array" ref="AK813">_xlfn.IFS(Table1[[#This Row],[MonthlyIncome]]&lt;5000,"Low",Table1[[#This Row],[MonthlyIncome]]&lt;10000,"Medium",Table1[[#This Row],[MonthlyIncome]]&gt;10000,"High")</f>
        <v>Medium</v>
      </c>
      <c r="AL813" t="str" cm="1">
        <f t="array" ref="AL813">_xlfn.IFS(Table1[[#This Row],[Attrition]]="Yes","Resigned",Table1[[#This Row],[Attrition]]="No","Active")</f>
        <v>Active</v>
      </c>
      <c r="AM813" t="str" cm="1">
        <f t="array" ref="AM813">_xlfn.IFS(Table1[[#This Row],[YearsAtCompany]]&lt;=1,"0-1 Year",Table1[[#This Row],[YearsAtCompany]]&lt;=2,"1-2 Years",Table1[[#This Row],[YearsAtCompany]]&lt;=3,"2-3 Years",Table1[[#This Row],[YearsAtCompany]]&lt;=4,"3-4 Years",Table1[[#This Row],[YearsAtCompany]]&lt;=5,"4-5 Years",Table1[[#This Row],[YearsAtCompany]]&gt;5,"&gt;5 Years")</f>
        <v>0-1 Year</v>
      </c>
    </row>
    <row r="814" spans="1:39" hidden="1" x14ac:dyDescent="0.45">
      <c r="A814">
        <v>43</v>
      </c>
      <c r="B814" t="s">
        <v>43</v>
      </c>
      <c r="C814" t="s">
        <v>63</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_xlfn.IFS(Table1[[#This Row],[Age]]&lt;30,"Young",Table1[[#This Row],[Age]]&lt;=40,"Adult",Table1[[#This Row],[Age]]&gt;40,"Senior")</f>
        <v>Senior</v>
      </c>
      <c r="AK814" t="str" cm="1">
        <f t="array" ref="AK814">_xlfn.IFS(Table1[[#This Row],[MonthlyIncome]]&lt;5000,"Low",Table1[[#This Row],[MonthlyIncome]]&lt;10000,"Medium",Table1[[#This Row],[MonthlyIncome]]&gt;10000,"High")</f>
        <v>High</v>
      </c>
      <c r="AL814" t="str" cm="1">
        <f t="array" ref="AL814">_xlfn.IFS(Table1[[#This Row],[Attrition]]="Yes","Resigned",Table1[[#This Row],[Attrition]]="No","Active")</f>
        <v>Active</v>
      </c>
      <c r="AM814" t="str" cm="1">
        <f t="array" ref="AM814">_xlfn.IFS(Table1[[#This Row],[YearsAtCompany]]&lt;=1,"0-1 Year",Table1[[#This Row],[YearsAtCompany]]&lt;=2,"1-2 Years",Table1[[#This Row],[YearsAtCompany]]&lt;=3,"2-3 Years",Table1[[#This Row],[YearsAtCompany]]&lt;=4,"3-4 Years",Table1[[#This Row],[YearsAtCompany]]&lt;=5,"4-5 Years",Table1[[#This Row],[YearsAtCompany]]&gt;5,"&gt;5 Years")</f>
        <v>&gt;5 Years</v>
      </c>
    </row>
    <row r="815" spans="1:39" hidden="1" x14ac:dyDescent="0.45">
      <c r="A815">
        <v>39</v>
      </c>
      <c r="B815" t="s">
        <v>35</v>
      </c>
      <c r="C815" t="s">
        <v>63</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_xlfn.IFS(Table1[[#This Row],[Age]]&lt;30,"Young",Table1[[#This Row],[Age]]&lt;=40,"Adult",Table1[[#This Row],[Age]]&gt;40,"Senior")</f>
        <v>Adult</v>
      </c>
      <c r="AK815" t="str" cm="1">
        <f t="array" ref="AK815">_xlfn.IFS(Table1[[#This Row],[MonthlyIncome]]&lt;5000,"Low",Table1[[#This Row],[MonthlyIncome]]&lt;10000,"Medium",Table1[[#This Row],[MonthlyIncome]]&gt;10000,"High")</f>
        <v>High</v>
      </c>
      <c r="AL815" t="str" cm="1">
        <f t="array" ref="AL815">_xlfn.IFS(Table1[[#This Row],[Attrition]]="Yes","Resigned",Table1[[#This Row],[Attrition]]="No","Active")</f>
        <v>Resigned</v>
      </c>
      <c r="AM815" t="str" cm="1">
        <f t="array" ref="AM815">_xlfn.IFS(Table1[[#This Row],[YearsAtCompany]]&lt;=1,"0-1 Year",Table1[[#This Row],[YearsAtCompany]]&lt;=2,"1-2 Years",Table1[[#This Row],[YearsAtCompany]]&lt;=3,"2-3 Years",Table1[[#This Row],[YearsAtCompany]]&lt;=4,"3-4 Years",Table1[[#This Row],[YearsAtCompany]]&lt;=5,"4-5 Years",Table1[[#This Row],[YearsAtCompany]]&gt;5,"&gt;5 Years")</f>
        <v>&gt;5 Years</v>
      </c>
    </row>
    <row r="816" spans="1:39" hidden="1" x14ac:dyDescent="0.45">
      <c r="A816">
        <v>40</v>
      </c>
      <c r="B816" t="s">
        <v>43</v>
      </c>
      <c r="C816" t="s">
        <v>64</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_xlfn.IFS(Table1[[#This Row],[Age]]&lt;30,"Young",Table1[[#This Row],[Age]]&lt;=40,"Adult",Table1[[#This Row],[Age]]&gt;40,"Senior")</f>
        <v>Adult</v>
      </c>
      <c r="AK816" t="str" cm="1">
        <f t="array" ref="AK816">_xlfn.IFS(Table1[[#This Row],[MonthlyIncome]]&lt;5000,"Low",Table1[[#This Row],[MonthlyIncome]]&lt;10000,"Medium",Table1[[#This Row],[MonthlyIncome]]&gt;10000,"High")</f>
        <v>High</v>
      </c>
      <c r="AL816" t="str" cm="1">
        <f t="array" ref="AL816">_xlfn.IFS(Table1[[#This Row],[Attrition]]="Yes","Resigned",Table1[[#This Row],[Attrition]]="No","Active")</f>
        <v>Active</v>
      </c>
      <c r="AM816" t="str" cm="1">
        <f t="array" ref="AM816">_xlfn.IFS(Table1[[#This Row],[YearsAtCompany]]&lt;=1,"0-1 Year",Table1[[#This Row],[YearsAtCompany]]&lt;=2,"1-2 Years",Table1[[#This Row],[YearsAtCompany]]&lt;=3,"2-3 Years",Table1[[#This Row],[YearsAtCompany]]&lt;=4,"3-4 Years",Table1[[#This Row],[YearsAtCompany]]&lt;=5,"4-5 Years",Table1[[#This Row],[YearsAtCompany]]&gt;5,"&gt;5 Years")</f>
        <v>&gt;5 Years</v>
      </c>
    </row>
    <row r="817" spans="1:39" hidden="1" x14ac:dyDescent="0.45">
      <c r="A817">
        <v>21</v>
      </c>
      <c r="B817" t="s">
        <v>43</v>
      </c>
      <c r="C817" t="s">
        <v>64</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_xlfn.IFS(Table1[[#This Row],[Age]]&lt;30,"Young",Table1[[#This Row],[Age]]&lt;=40,"Adult",Table1[[#This Row],[Age]]&gt;40,"Senior")</f>
        <v>Young</v>
      </c>
      <c r="AK817" t="str" cm="1">
        <f t="array" ref="AK817">_xlfn.IFS(Table1[[#This Row],[MonthlyIncome]]&lt;5000,"Low",Table1[[#This Row],[MonthlyIncome]]&lt;10000,"Medium",Table1[[#This Row],[MonthlyIncome]]&gt;10000,"High")</f>
        <v>Low</v>
      </c>
      <c r="AL817" t="str" cm="1">
        <f t="array" ref="AL817">_xlfn.IFS(Table1[[#This Row],[Attrition]]="Yes","Resigned",Table1[[#This Row],[Attrition]]="No","Active")</f>
        <v>Active</v>
      </c>
      <c r="AM817" t="str" cm="1">
        <f t="array" ref="AM817">_xlfn.IFS(Table1[[#This Row],[YearsAtCompany]]&lt;=1,"0-1 Year",Table1[[#This Row],[YearsAtCompany]]&lt;=2,"1-2 Years",Table1[[#This Row],[YearsAtCompany]]&lt;=3,"2-3 Years",Table1[[#This Row],[YearsAtCompany]]&lt;=4,"3-4 Years",Table1[[#This Row],[YearsAtCompany]]&lt;=5,"4-5 Years",Table1[[#This Row],[YearsAtCompany]]&gt;5,"&gt;5 Years")</f>
        <v>1-2 Years</v>
      </c>
    </row>
    <row r="818" spans="1:39" hidden="1" x14ac:dyDescent="0.45">
      <c r="A818">
        <v>39</v>
      </c>
      <c r="B818" t="s">
        <v>43</v>
      </c>
      <c r="C818" t="s">
        <v>62</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_xlfn.IFS(Table1[[#This Row],[Age]]&lt;30,"Young",Table1[[#This Row],[Age]]&lt;=40,"Adult",Table1[[#This Row],[Age]]&gt;40,"Senior")</f>
        <v>Adult</v>
      </c>
      <c r="AK818" t="str" cm="1">
        <f t="array" ref="AK818">_xlfn.IFS(Table1[[#This Row],[MonthlyIncome]]&lt;5000,"Low",Table1[[#This Row],[MonthlyIncome]]&lt;10000,"Medium",Table1[[#This Row],[MonthlyIncome]]&gt;10000,"High")</f>
        <v>Medium</v>
      </c>
      <c r="AL818" t="str" cm="1">
        <f t="array" ref="AL818">_xlfn.IFS(Table1[[#This Row],[Attrition]]="Yes","Resigned",Table1[[#This Row],[Attrition]]="No","Active")</f>
        <v>Active</v>
      </c>
      <c r="AM818" t="str" cm="1">
        <f t="array" ref="AM818">_xlfn.IFS(Table1[[#This Row],[YearsAtCompany]]&lt;=1,"0-1 Year",Table1[[#This Row],[YearsAtCompany]]&lt;=2,"1-2 Years",Table1[[#This Row],[YearsAtCompany]]&lt;=3,"2-3 Years",Table1[[#This Row],[YearsAtCompany]]&lt;=4,"3-4 Years",Table1[[#This Row],[YearsAtCompany]]&lt;=5,"4-5 Years",Table1[[#This Row],[YearsAtCompany]]&gt;5,"&gt;5 Years")</f>
        <v>4-5 Years</v>
      </c>
    </row>
    <row r="819" spans="1:39" hidden="1" x14ac:dyDescent="0.45">
      <c r="A819">
        <v>36</v>
      </c>
      <c r="B819" t="s">
        <v>43</v>
      </c>
      <c r="C819" t="s">
        <v>62</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_xlfn.IFS(Table1[[#This Row],[Age]]&lt;30,"Young",Table1[[#This Row],[Age]]&lt;=40,"Adult",Table1[[#This Row],[Age]]&gt;40,"Senior")</f>
        <v>Adult</v>
      </c>
      <c r="AK819" t="str" cm="1">
        <f t="array" ref="AK819">_xlfn.IFS(Table1[[#This Row],[MonthlyIncome]]&lt;5000,"Low",Table1[[#This Row],[MonthlyIncome]]&lt;10000,"Medium",Table1[[#This Row],[MonthlyIncome]]&gt;10000,"High")</f>
        <v>Medium</v>
      </c>
      <c r="AL819" t="str" cm="1">
        <f t="array" ref="AL819">_xlfn.IFS(Table1[[#This Row],[Attrition]]="Yes","Resigned",Table1[[#This Row],[Attrition]]="No","Active")</f>
        <v>Active</v>
      </c>
      <c r="AM819" t="str" cm="1">
        <f t="array" ref="AM819">_xlfn.IFS(Table1[[#This Row],[YearsAtCompany]]&lt;=1,"0-1 Year",Table1[[#This Row],[YearsAtCompany]]&lt;=2,"1-2 Years",Table1[[#This Row],[YearsAtCompany]]&lt;=3,"2-3 Years",Table1[[#This Row],[YearsAtCompany]]&lt;=4,"3-4 Years",Table1[[#This Row],[YearsAtCompany]]&lt;=5,"4-5 Years",Table1[[#This Row],[YearsAtCompany]]&gt;5,"&gt;5 Years")</f>
        <v>&gt;5 Years</v>
      </c>
    </row>
    <row r="820" spans="1:39" x14ac:dyDescent="0.45">
      <c r="A820">
        <v>31</v>
      </c>
      <c r="B820" t="s">
        <v>43</v>
      </c>
      <c r="C820" t="s">
        <v>63</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_xlfn.IFS(Table1[[#This Row],[Age]]&lt;30,"Young",Table1[[#This Row],[Age]]&lt;=40,"Adult",Table1[[#This Row],[Age]]&gt;40,"Senior")</f>
        <v>Adult</v>
      </c>
      <c r="AK820" t="str" cm="1">
        <f t="array" ref="AK820">_xlfn.IFS(Table1[[#This Row],[MonthlyIncome]]&lt;5000,"Low",Table1[[#This Row],[MonthlyIncome]]&lt;10000,"Medium",Table1[[#This Row],[MonthlyIncome]]&gt;10000,"High")</f>
        <v>Low</v>
      </c>
      <c r="AL820" t="str" cm="1">
        <f t="array" ref="AL820">_xlfn.IFS(Table1[[#This Row],[Attrition]]="Yes","Resigned",Table1[[#This Row],[Attrition]]="No","Active")</f>
        <v>Active</v>
      </c>
      <c r="AM820" t="str" cm="1">
        <f t="array" ref="AM820">_xlfn.IFS(Table1[[#This Row],[YearsAtCompany]]&lt;=1,"0-1 Year",Table1[[#This Row],[YearsAtCompany]]&lt;=2,"1-2 Years",Table1[[#This Row],[YearsAtCompany]]&lt;=3,"2-3 Years",Table1[[#This Row],[YearsAtCompany]]&lt;=4,"3-4 Years",Table1[[#This Row],[YearsAtCompany]]&lt;=5,"4-5 Years",Table1[[#This Row],[YearsAtCompany]]&gt;5,"&gt;5 Years")</f>
        <v>1-2 Years</v>
      </c>
    </row>
    <row r="821" spans="1:39" hidden="1" x14ac:dyDescent="0.45">
      <c r="A821">
        <v>28</v>
      </c>
      <c r="B821" t="s">
        <v>43</v>
      </c>
      <c r="C821" t="s">
        <v>64</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_xlfn.IFS(Table1[[#This Row],[Age]]&lt;30,"Young",Table1[[#This Row],[Age]]&lt;=40,"Adult",Table1[[#This Row],[Age]]&gt;40,"Senior")</f>
        <v>Young</v>
      </c>
      <c r="AK821" t="str" cm="1">
        <f t="array" ref="AK821">_xlfn.IFS(Table1[[#This Row],[MonthlyIncome]]&lt;5000,"Low",Table1[[#This Row],[MonthlyIncome]]&lt;10000,"Medium",Table1[[#This Row],[MonthlyIncome]]&gt;10000,"High")</f>
        <v>Low</v>
      </c>
      <c r="AL821" t="str" cm="1">
        <f t="array" ref="AL821">_xlfn.IFS(Table1[[#This Row],[Attrition]]="Yes","Resigned",Table1[[#This Row],[Attrition]]="No","Active")</f>
        <v>Active</v>
      </c>
      <c r="AM821" t="str" cm="1">
        <f t="array" ref="AM821">_xlfn.IFS(Table1[[#This Row],[YearsAtCompany]]&lt;=1,"0-1 Year",Table1[[#This Row],[YearsAtCompany]]&lt;=2,"1-2 Years",Table1[[#This Row],[YearsAtCompany]]&lt;=3,"2-3 Years",Table1[[#This Row],[YearsAtCompany]]&lt;=4,"3-4 Years",Table1[[#This Row],[YearsAtCompany]]&lt;=5,"4-5 Years",Table1[[#This Row],[YearsAtCompany]]&gt;5,"&gt;5 Years")</f>
        <v>4-5 Years</v>
      </c>
    </row>
    <row r="822" spans="1:39" x14ac:dyDescent="0.45">
      <c r="A822">
        <v>35</v>
      </c>
      <c r="B822" t="s">
        <v>43</v>
      </c>
      <c r="C822" t="s">
        <v>63</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_xlfn.IFS(Table1[[#This Row],[Age]]&lt;30,"Young",Table1[[#This Row],[Age]]&lt;=40,"Adult",Table1[[#This Row],[Age]]&gt;40,"Senior")</f>
        <v>Adult</v>
      </c>
      <c r="AK822" t="str" cm="1">
        <f t="array" ref="AK822">_xlfn.IFS(Table1[[#This Row],[MonthlyIncome]]&lt;5000,"Low",Table1[[#This Row],[MonthlyIncome]]&lt;10000,"Medium",Table1[[#This Row],[MonthlyIncome]]&gt;10000,"High")</f>
        <v>Low</v>
      </c>
      <c r="AL822" t="str" cm="1">
        <f t="array" ref="AL822">_xlfn.IFS(Table1[[#This Row],[Attrition]]="Yes","Resigned",Table1[[#This Row],[Attrition]]="No","Active")</f>
        <v>Active</v>
      </c>
      <c r="AM822" t="str" cm="1">
        <f t="array" ref="AM822">_xlfn.IFS(Table1[[#This Row],[YearsAtCompany]]&lt;=1,"0-1 Year",Table1[[#This Row],[YearsAtCompany]]&lt;=2,"1-2 Years",Table1[[#This Row],[YearsAtCompany]]&lt;=3,"2-3 Years",Table1[[#This Row],[YearsAtCompany]]&lt;=4,"3-4 Years",Table1[[#This Row],[YearsAtCompany]]&lt;=5,"4-5 Years",Table1[[#This Row],[YearsAtCompany]]&gt;5,"&gt;5 Years")</f>
        <v>4-5 Years</v>
      </c>
    </row>
    <row r="823" spans="1:39" x14ac:dyDescent="0.45">
      <c r="A823">
        <v>49</v>
      </c>
      <c r="B823" t="s">
        <v>43</v>
      </c>
      <c r="C823" t="s">
        <v>64</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_xlfn.IFS(Table1[[#This Row],[Age]]&lt;30,"Young",Table1[[#This Row],[Age]]&lt;=40,"Adult",Table1[[#This Row],[Age]]&gt;40,"Senior")</f>
        <v>Senior</v>
      </c>
      <c r="AK823" t="str" cm="1">
        <f t="array" ref="AK823">_xlfn.IFS(Table1[[#This Row],[MonthlyIncome]]&lt;5000,"Low",Table1[[#This Row],[MonthlyIncome]]&lt;10000,"Medium",Table1[[#This Row],[MonthlyIncome]]&gt;10000,"High")</f>
        <v>High</v>
      </c>
      <c r="AL823" t="str" cm="1">
        <f t="array" ref="AL823">_xlfn.IFS(Table1[[#This Row],[Attrition]]="Yes","Resigned",Table1[[#This Row],[Attrition]]="No","Active")</f>
        <v>Active</v>
      </c>
      <c r="AM823" t="str" cm="1">
        <f t="array" ref="AM823">_xlfn.IFS(Table1[[#This Row],[YearsAtCompany]]&lt;=1,"0-1 Year",Table1[[#This Row],[YearsAtCompany]]&lt;=2,"1-2 Years",Table1[[#This Row],[YearsAtCompany]]&lt;=3,"2-3 Years",Table1[[#This Row],[YearsAtCompany]]&lt;=4,"3-4 Years",Table1[[#This Row],[YearsAtCompany]]&lt;=5,"4-5 Years",Table1[[#This Row],[YearsAtCompany]]&gt;5,"&gt;5 Years")</f>
        <v>&gt;5 Years</v>
      </c>
    </row>
    <row r="824" spans="1:39" hidden="1" x14ac:dyDescent="0.45">
      <c r="A824">
        <v>34</v>
      </c>
      <c r="B824" t="s">
        <v>43</v>
      </c>
      <c r="C824" t="s">
        <v>63</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_xlfn.IFS(Table1[[#This Row],[Age]]&lt;30,"Young",Table1[[#This Row],[Age]]&lt;=40,"Adult",Table1[[#This Row],[Age]]&gt;40,"Senior")</f>
        <v>Adult</v>
      </c>
      <c r="AK824" t="str" cm="1">
        <f t="array" ref="AK824">_xlfn.IFS(Table1[[#This Row],[MonthlyIncome]]&lt;5000,"Low",Table1[[#This Row],[MonthlyIncome]]&lt;10000,"Medium",Table1[[#This Row],[MonthlyIncome]]&gt;10000,"High")</f>
        <v>Low</v>
      </c>
      <c r="AL824" t="str" cm="1">
        <f t="array" ref="AL824">_xlfn.IFS(Table1[[#This Row],[Attrition]]="Yes","Resigned",Table1[[#This Row],[Attrition]]="No","Active")</f>
        <v>Active</v>
      </c>
      <c r="AM824" t="str" cm="1">
        <f t="array" ref="AM824">_xlfn.IFS(Table1[[#This Row],[YearsAtCompany]]&lt;=1,"0-1 Year",Table1[[#This Row],[YearsAtCompany]]&lt;=2,"1-2 Years",Table1[[#This Row],[YearsAtCompany]]&lt;=3,"2-3 Years",Table1[[#This Row],[YearsAtCompany]]&lt;=4,"3-4 Years",Table1[[#This Row],[YearsAtCompany]]&lt;=5,"4-5 Years",Table1[[#This Row],[YearsAtCompany]]&gt;5,"&gt;5 Years")</f>
        <v>2-3 Years</v>
      </c>
    </row>
    <row r="825" spans="1:39" hidden="1" x14ac:dyDescent="0.45">
      <c r="A825">
        <v>29</v>
      </c>
      <c r="B825" t="s">
        <v>43</v>
      </c>
      <c r="C825" t="s">
        <v>63</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_xlfn.IFS(Table1[[#This Row],[Age]]&lt;30,"Young",Table1[[#This Row],[Age]]&lt;=40,"Adult",Table1[[#This Row],[Age]]&gt;40,"Senior")</f>
        <v>Young</v>
      </c>
      <c r="AK825" t="str" cm="1">
        <f t="array" ref="AK825">_xlfn.IFS(Table1[[#This Row],[MonthlyIncome]]&lt;5000,"Low",Table1[[#This Row],[MonthlyIncome]]&lt;10000,"Medium",Table1[[#This Row],[MonthlyIncome]]&gt;10000,"High")</f>
        <v>Low</v>
      </c>
      <c r="AL825" t="str" cm="1">
        <f t="array" ref="AL825">_xlfn.IFS(Table1[[#This Row],[Attrition]]="Yes","Resigned",Table1[[#This Row],[Attrition]]="No","Active")</f>
        <v>Active</v>
      </c>
      <c r="AM825" t="str" cm="1">
        <f t="array" ref="AM825">_xlfn.IFS(Table1[[#This Row],[YearsAtCompany]]&lt;=1,"0-1 Year",Table1[[#This Row],[YearsAtCompany]]&lt;=2,"1-2 Years",Table1[[#This Row],[YearsAtCompany]]&lt;=3,"2-3 Years",Table1[[#This Row],[YearsAtCompany]]&lt;=4,"3-4 Years",Table1[[#This Row],[YearsAtCompany]]&lt;=5,"4-5 Years",Table1[[#This Row],[YearsAtCompany]]&gt;5,"&gt;5 Years")</f>
        <v>&gt;5 Years</v>
      </c>
    </row>
    <row r="826" spans="1:39" hidden="1" x14ac:dyDescent="0.45">
      <c r="A826">
        <v>42</v>
      </c>
      <c r="B826" t="s">
        <v>43</v>
      </c>
      <c r="C826" t="s">
        <v>64</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_xlfn.IFS(Table1[[#This Row],[Age]]&lt;30,"Young",Table1[[#This Row],[Age]]&lt;=40,"Adult",Table1[[#This Row],[Age]]&gt;40,"Senior")</f>
        <v>Senior</v>
      </c>
      <c r="AK826" t="str" cm="1">
        <f t="array" ref="AK826">_xlfn.IFS(Table1[[#This Row],[MonthlyIncome]]&lt;5000,"Low",Table1[[#This Row],[MonthlyIncome]]&lt;10000,"Medium",Table1[[#This Row],[MonthlyIncome]]&gt;10000,"High")</f>
        <v>Low</v>
      </c>
      <c r="AL826" t="str" cm="1">
        <f t="array" ref="AL826">_xlfn.IFS(Table1[[#This Row],[Attrition]]="Yes","Resigned",Table1[[#This Row],[Attrition]]="No","Active")</f>
        <v>Active</v>
      </c>
      <c r="AM826" t="str" cm="1">
        <f t="array" ref="AM826">_xlfn.IFS(Table1[[#This Row],[YearsAtCompany]]&lt;=1,"0-1 Year",Table1[[#This Row],[YearsAtCompany]]&lt;=2,"1-2 Years",Table1[[#This Row],[YearsAtCompany]]&lt;=3,"2-3 Years",Table1[[#This Row],[YearsAtCompany]]&lt;=4,"3-4 Years",Table1[[#This Row],[YearsAtCompany]]&lt;=5,"4-5 Years",Table1[[#This Row],[YearsAtCompany]]&gt;5,"&gt;5 Years")</f>
        <v>0-1 Year</v>
      </c>
    </row>
    <row r="827" spans="1:39" hidden="1" x14ac:dyDescent="0.45">
      <c r="A827">
        <v>29</v>
      </c>
      <c r="B827" t="s">
        <v>43</v>
      </c>
      <c r="C827" t="s">
        <v>64</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_xlfn.IFS(Table1[[#This Row],[Age]]&lt;30,"Young",Table1[[#This Row],[Age]]&lt;=40,"Adult",Table1[[#This Row],[Age]]&gt;40,"Senior")</f>
        <v>Young</v>
      </c>
      <c r="AK827" t="str" cm="1">
        <f t="array" ref="AK827">_xlfn.IFS(Table1[[#This Row],[MonthlyIncome]]&lt;5000,"Low",Table1[[#This Row],[MonthlyIncome]]&lt;10000,"Medium",Table1[[#This Row],[MonthlyIncome]]&gt;10000,"High")</f>
        <v>Medium</v>
      </c>
      <c r="AL827" t="str" cm="1">
        <f t="array" ref="AL827">_xlfn.IFS(Table1[[#This Row],[Attrition]]="Yes","Resigned",Table1[[#This Row],[Attrition]]="No","Active")</f>
        <v>Active</v>
      </c>
      <c r="AM827" t="str" cm="1">
        <f t="array" ref="AM827">_xlfn.IFS(Table1[[#This Row],[YearsAtCompany]]&lt;=1,"0-1 Year",Table1[[#This Row],[YearsAtCompany]]&lt;=2,"1-2 Years",Table1[[#This Row],[YearsAtCompany]]&lt;=3,"2-3 Years",Table1[[#This Row],[YearsAtCompany]]&lt;=4,"3-4 Years",Table1[[#This Row],[YearsAtCompany]]&lt;=5,"4-5 Years",Table1[[#This Row],[YearsAtCompany]]&gt;5,"&gt;5 Years")</f>
        <v>&gt;5 Years</v>
      </c>
    </row>
    <row r="828" spans="1:39" hidden="1" x14ac:dyDescent="0.45">
      <c r="A828">
        <v>38</v>
      </c>
      <c r="B828" t="s">
        <v>43</v>
      </c>
      <c r="C828" t="s">
        <v>64</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_xlfn.IFS(Table1[[#This Row],[Age]]&lt;30,"Young",Table1[[#This Row],[Age]]&lt;=40,"Adult",Table1[[#This Row],[Age]]&gt;40,"Senior")</f>
        <v>Adult</v>
      </c>
      <c r="AK828" t="str" cm="1">
        <f t="array" ref="AK828">_xlfn.IFS(Table1[[#This Row],[MonthlyIncome]]&lt;5000,"Low",Table1[[#This Row],[MonthlyIncome]]&lt;10000,"Medium",Table1[[#This Row],[MonthlyIncome]]&gt;10000,"High")</f>
        <v>Low</v>
      </c>
      <c r="AL828" t="str" cm="1">
        <f t="array" ref="AL828">_xlfn.IFS(Table1[[#This Row],[Attrition]]="Yes","Resigned",Table1[[#This Row],[Attrition]]="No","Active")</f>
        <v>Active</v>
      </c>
      <c r="AM828" t="str" cm="1">
        <f t="array" ref="AM828">_xlfn.IFS(Table1[[#This Row],[YearsAtCompany]]&lt;=1,"0-1 Year",Table1[[#This Row],[YearsAtCompany]]&lt;=2,"1-2 Years",Table1[[#This Row],[YearsAtCompany]]&lt;=3,"2-3 Years",Table1[[#This Row],[YearsAtCompany]]&lt;=4,"3-4 Years",Table1[[#This Row],[YearsAtCompany]]&lt;=5,"4-5 Years",Table1[[#This Row],[YearsAtCompany]]&gt;5,"&gt;5 Years")</f>
        <v>&gt;5 Years</v>
      </c>
    </row>
    <row r="829" spans="1:39" hidden="1" x14ac:dyDescent="0.45">
      <c r="A829">
        <v>28</v>
      </c>
      <c r="B829" t="s">
        <v>43</v>
      </c>
      <c r="C829" t="s">
        <v>63</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_xlfn.IFS(Table1[[#This Row],[Age]]&lt;30,"Young",Table1[[#This Row],[Age]]&lt;=40,"Adult",Table1[[#This Row],[Age]]&gt;40,"Senior")</f>
        <v>Young</v>
      </c>
      <c r="AK829" t="str" cm="1">
        <f t="array" ref="AK829">_xlfn.IFS(Table1[[#This Row],[MonthlyIncome]]&lt;5000,"Low",Table1[[#This Row],[MonthlyIncome]]&lt;10000,"Medium",Table1[[#This Row],[MonthlyIncome]]&gt;10000,"High")</f>
        <v>Low</v>
      </c>
      <c r="AL829" t="str" cm="1">
        <f t="array" ref="AL829">_xlfn.IFS(Table1[[#This Row],[Attrition]]="Yes","Resigned",Table1[[#This Row],[Attrition]]="No","Active")</f>
        <v>Active</v>
      </c>
      <c r="AM829" t="str" cm="1">
        <f t="array" ref="AM829">_xlfn.IFS(Table1[[#This Row],[YearsAtCompany]]&lt;=1,"0-1 Year",Table1[[#This Row],[YearsAtCompany]]&lt;=2,"1-2 Years",Table1[[#This Row],[YearsAtCompany]]&lt;=3,"2-3 Years",Table1[[#This Row],[YearsAtCompany]]&lt;=4,"3-4 Years",Table1[[#This Row],[YearsAtCompany]]&lt;=5,"4-5 Years",Table1[[#This Row],[YearsAtCompany]]&gt;5,"&gt;5 Years")</f>
        <v>2-3 Years</v>
      </c>
    </row>
    <row r="830" spans="1:39" hidden="1" x14ac:dyDescent="0.45">
      <c r="A830">
        <v>18</v>
      </c>
      <c r="B830" t="s">
        <v>35</v>
      </c>
      <c r="C830" t="s">
        <v>62</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_xlfn.IFS(Table1[[#This Row],[Age]]&lt;30,"Young",Table1[[#This Row],[Age]]&lt;=40,"Adult",Table1[[#This Row],[Age]]&gt;40,"Senior")</f>
        <v>Young</v>
      </c>
      <c r="AK830" t="str" cm="1">
        <f t="array" ref="AK830">_xlfn.IFS(Table1[[#This Row],[MonthlyIncome]]&lt;5000,"Low",Table1[[#This Row],[MonthlyIncome]]&lt;10000,"Medium",Table1[[#This Row],[MonthlyIncome]]&gt;10000,"High")</f>
        <v>Low</v>
      </c>
      <c r="AL830" t="str" cm="1">
        <f t="array" ref="AL830">_xlfn.IFS(Table1[[#This Row],[Attrition]]="Yes","Resigned",Table1[[#This Row],[Attrition]]="No","Active")</f>
        <v>Resigned</v>
      </c>
      <c r="AM830" t="str" cm="1">
        <f t="array" ref="AM830">_xlfn.IFS(Table1[[#This Row],[YearsAtCompany]]&lt;=1,"0-1 Year",Table1[[#This Row],[YearsAtCompany]]&lt;=2,"1-2 Years",Table1[[#This Row],[YearsAtCompany]]&lt;=3,"2-3 Years",Table1[[#This Row],[YearsAtCompany]]&lt;=4,"3-4 Years",Table1[[#This Row],[YearsAtCompany]]&lt;=5,"4-5 Years",Table1[[#This Row],[YearsAtCompany]]&gt;5,"&gt;5 Years")</f>
        <v>0-1 Year</v>
      </c>
    </row>
    <row r="831" spans="1:39" x14ac:dyDescent="0.45">
      <c r="A831">
        <v>33</v>
      </c>
      <c r="B831" t="s">
        <v>35</v>
      </c>
      <c r="C831" t="s">
        <v>64</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_xlfn.IFS(Table1[[#This Row],[Age]]&lt;30,"Young",Table1[[#This Row],[Age]]&lt;=40,"Adult",Table1[[#This Row],[Age]]&gt;40,"Senior")</f>
        <v>Adult</v>
      </c>
      <c r="AK831" t="str" cm="1">
        <f t="array" ref="AK831">_xlfn.IFS(Table1[[#This Row],[MonthlyIncome]]&lt;5000,"Low",Table1[[#This Row],[MonthlyIncome]]&lt;10000,"Medium",Table1[[#This Row],[MonthlyIncome]]&gt;10000,"High")</f>
        <v>Medium</v>
      </c>
      <c r="AL831" t="str" cm="1">
        <f t="array" ref="AL831">_xlfn.IFS(Table1[[#This Row],[Attrition]]="Yes","Resigned",Table1[[#This Row],[Attrition]]="No","Active")</f>
        <v>Resigned</v>
      </c>
      <c r="AM831" t="str" cm="1">
        <f t="array" ref="AM831">_xlfn.IFS(Table1[[#This Row],[YearsAtCompany]]&lt;=1,"0-1 Year",Table1[[#This Row],[YearsAtCompany]]&lt;=2,"1-2 Years",Table1[[#This Row],[YearsAtCompany]]&lt;=3,"2-3 Years",Table1[[#This Row],[YearsAtCompany]]&lt;=4,"3-4 Years",Table1[[#This Row],[YearsAtCompany]]&lt;=5,"4-5 Years",Table1[[#This Row],[YearsAtCompany]]&gt;5,"&gt;5 Years")</f>
        <v>4-5 Years</v>
      </c>
    </row>
    <row r="832" spans="1:39" hidden="1" x14ac:dyDescent="0.45">
      <c r="A832">
        <v>41</v>
      </c>
      <c r="B832" t="s">
        <v>43</v>
      </c>
      <c r="C832" t="s">
        <v>64</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_xlfn.IFS(Table1[[#This Row],[Age]]&lt;30,"Young",Table1[[#This Row],[Age]]&lt;=40,"Adult",Table1[[#This Row],[Age]]&gt;40,"Senior")</f>
        <v>Senior</v>
      </c>
      <c r="AK832" t="str" cm="1">
        <f t="array" ref="AK832">_xlfn.IFS(Table1[[#This Row],[MonthlyIncome]]&lt;5000,"Low",Table1[[#This Row],[MonthlyIncome]]&lt;10000,"Medium",Table1[[#This Row],[MonthlyIncome]]&gt;10000,"High")</f>
        <v>Low</v>
      </c>
      <c r="AL832" t="str" cm="1">
        <f t="array" ref="AL832">_xlfn.IFS(Table1[[#This Row],[Attrition]]="Yes","Resigned",Table1[[#This Row],[Attrition]]="No","Active")</f>
        <v>Active</v>
      </c>
      <c r="AM832" t="str" cm="1">
        <f t="array" ref="AM832">_xlfn.IFS(Table1[[#This Row],[YearsAtCompany]]&lt;=1,"0-1 Year",Table1[[#This Row],[YearsAtCompany]]&lt;=2,"1-2 Years",Table1[[#This Row],[YearsAtCompany]]&lt;=3,"2-3 Years",Table1[[#This Row],[YearsAtCompany]]&lt;=4,"3-4 Years",Table1[[#This Row],[YearsAtCompany]]&lt;=5,"4-5 Years",Table1[[#This Row],[YearsAtCompany]]&gt;5,"&gt;5 Years")</f>
        <v>0-1 Year</v>
      </c>
    </row>
    <row r="833" spans="1:39" hidden="1" x14ac:dyDescent="0.45">
      <c r="A833">
        <v>31</v>
      </c>
      <c r="B833" t="s">
        <v>35</v>
      </c>
      <c r="C833" t="s">
        <v>63</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_xlfn.IFS(Table1[[#This Row],[Age]]&lt;30,"Young",Table1[[#This Row],[Age]]&lt;=40,"Adult",Table1[[#This Row],[Age]]&gt;40,"Senior")</f>
        <v>Adult</v>
      </c>
      <c r="AK833" t="str" cm="1">
        <f t="array" ref="AK833">_xlfn.IFS(Table1[[#This Row],[MonthlyIncome]]&lt;5000,"Low",Table1[[#This Row],[MonthlyIncome]]&lt;10000,"Medium",Table1[[#This Row],[MonthlyIncome]]&gt;10000,"High")</f>
        <v>Low</v>
      </c>
      <c r="AL833" t="str" cm="1">
        <f t="array" ref="AL833">_xlfn.IFS(Table1[[#This Row],[Attrition]]="Yes","Resigned",Table1[[#This Row],[Attrition]]="No","Active")</f>
        <v>Resigned</v>
      </c>
      <c r="AM833" t="str" cm="1">
        <f t="array" ref="AM833">_xlfn.IFS(Table1[[#This Row],[YearsAtCompany]]&lt;=1,"0-1 Year",Table1[[#This Row],[YearsAtCompany]]&lt;=2,"1-2 Years",Table1[[#This Row],[YearsAtCompany]]&lt;=3,"2-3 Years",Table1[[#This Row],[YearsAtCompany]]&lt;=4,"3-4 Years",Table1[[#This Row],[YearsAtCompany]]&lt;=5,"4-5 Years",Table1[[#This Row],[YearsAtCompany]]&gt;5,"&gt;5 Years")</f>
        <v>1-2 Years</v>
      </c>
    </row>
    <row r="834" spans="1:39" hidden="1" x14ac:dyDescent="0.45">
      <c r="A834">
        <v>37</v>
      </c>
      <c r="B834" t="s">
        <v>43</v>
      </c>
      <c r="C834" t="s">
        <v>64</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_xlfn.IFS(Table1[[#This Row],[Age]]&lt;30,"Young",Table1[[#This Row],[Age]]&lt;=40,"Adult",Table1[[#This Row],[Age]]&gt;40,"Senior")</f>
        <v>Adult</v>
      </c>
      <c r="AK834" t="str" cm="1">
        <f t="array" ref="AK834">_xlfn.IFS(Table1[[#This Row],[MonthlyIncome]]&lt;5000,"Low",Table1[[#This Row],[MonthlyIncome]]&lt;10000,"Medium",Table1[[#This Row],[MonthlyIncome]]&gt;10000,"High")</f>
        <v>Medium</v>
      </c>
      <c r="AL834" t="str" cm="1">
        <f t="array" ref="AL834">_xlfn.IFS(Table1[[#This Row],[Attrition]]="Yes","Resigned",Table1[[#This Row],[Attrition]]="No","Active")</f>
        <v>Active</v>
      </c>
      <c r="AM834" t="str" cm="1">
        <f t="array" ref="AM834">_xlfn.IFS(Table1[[#This Row],[YearsAtCompany]]&lt;=1,"0-1 Year",Table1[[#This Row],[YearsAtCompany]]&lt;=2,"1-2 Years",Table1[[#This Row],[YearsAtCompany]]&lt;=3,"2-3 Years",Table1[[#This Row],[YearsAtCompany]]&lt;=4,"3-4 Years",Table1[[#This Row],[YearsAtCompany]]&lt;=5,"4-5 Years",Table1[[#This Row],[YearsAtCompany]]&gt;5,"&gt;5 Years")</f>
        <v>&gt;5 Years</v>
      </c>
    </row>
    <row r="835" spans="1:39" hidden="1" x14ac:dyDescent="0.45">
      <c r="A835">
        <v>27</v>
      </c>
      <c r="B835" t="s">
        <v>43</v>
      </c>
      <c r="C835" t="s">
        <v>64</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_xlfn.IFS(Table1[[#This Row],[Age]]&lt;30,"Young",Table1[[#This Row],[Age]]&lt;=40,"Adult",Table1[[#This Row],[Age]]&gt;40,"Senior")</f>
        <v>Young</v>
      </c>
      <c r="AK835" t="str" cm="1">
        <f t="array" ref="AK835">_xlfn.IFS(Table1[[#This Row],[MonthlyIncome]]&lt;5000,"Low",Table1[[#This Row],[MonthlyIncome]]&lt;10000,"Medium",Table1[[#This Row],[MonthlyIncome]]&gt;10000,"High")</f>
        <v>Low</v>
      </c>
      <c r="AL835" t="str" cm="1">
        <f t="array" ref="AL835">_xlfn.IFS(Table1[[#This Row],[Attrition]]="Yes","Resigned",Table1[[#This Row],[Attrition]]="No","Active")</f>
        <v>Active</v>
      </c>
      <c r="AM835" t="str" cm="1">
        <f t="array" ref="AM835">_xlfn.IFS(Table1[[#This Row],[YearsAtCompany]]&lt;=1,"0-1 Year",Table1[[#This Row],[YearsAtCompany]]&lt;=2,"1-2 Years",Table1[[#This Row],[YearsAtCompany]]&lt;=3,"2-3 Years",Table1[[#This Row],[YearsAtCompany]]&lt;=4,"3-4 Years",Table1[[#This Row],[YearsAtCompany]]&lt;=5,"4-5 Years",Table1[[#This Row],[YearsAtCompany]]&gt;5,"&gt;5 Years")</f>
        <v>3-4 Years</v>
      </c>
    </row>
    <row r="836" spans="1:39" x14ac:dyDescent="0.45">
      <c r="A836">
        <v>34</v>
      </c>
      <c r="B836" t="s">
        <v>43</v>
      </c>
      <c r="C836" t="s">
        <v>64</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_xlfn.IFS(Table1[[#This Row],[Age]]&lt;30,"Young",Table1[[#This Row],[Age]]&lt;=40,"Adult",Table1[[#This Row],[Age]]&gt;40,"Senior")</f>
        <v>Adult</v>
      </c>
      <c r="AK836" t="str" cm="1">
        <f t="array" ref="AK836">_xlfn.IFS(Table1[[#This Row],[MonthlyIncome]]&lt;5000,"Low",Table1[[#This Row],[MonthlyIncome]]&lt;10000,"Medium",Table1[[#This Row],[MonthlyIncome]]&gt;10000,"High")</f>
        <v>Medium</v>
      </c>
      <c r="AL836" t="str" cm="1">
        <f t="array" ref="AL836">_xlfn.IFS(Table1[[#This Row],[Attrition]]="Yes","Resigned",Table1[[#This Row],[Attrition]]="No","Active")</f>
        <v>Active</v>
      </c>
      <c r="AM836" t="str" cm="1">
        <f t="array" ref="AM836">_xlfn.IFS(Table1[[#This Row],[YearsAtCompany]]&lt;=1,"0-1 Year",Table1[[#This Row],[YearsAtCompany]]&lt;=2,"1-2 Years",Table1[[#This Row],[YearsAtCompany]]&lt;=3,"2-3 Years",Table1[[#This Row],[YearsAtCompany]]&lt;=4,"3-4 Years",Table1[[#This Row],[YearsAtCompany]]&lt;=5,"4-5 Years",Table1[[#This Row],[YearsAtCompany]]&gt;5,"&gt;5 Years")</f>
        <v>&gt;5 Years</v>
      </c>
    </row>
    <row r="837" spans="1:39" hidden="1" x14ac:dyDescent="0.45">
      <c r="A837">
        <v>35</v>
      </c>
      <c r="B837" t="s">
        <v>43</v>
      </c>
      <c r="C837" t="s">
        <v>64</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_xlfn.IFS(Table1[[#This Row],[Age]]&lt;30,"Young",Table1[[#This Row],[Age]]&lt;=40,"Adult",Table1[[#This Row],[Age]]&gt;40,"Senior")</f>
        <v>Adult</v>
      </c>
      <c r="AK837" t="str" cm="1">
        <f t="array" ref="AK837">_xlfn.IFS(Table1[[#This Row],[MonthlyIncome]]&lt;5000,"Low",Table1[[#This Row],[MonthlyIncome]]&lt;10000,"Medium",Table1[[#This Row],[MonthlyIncome]]&gt;10000,"High")</f>
        <v>Low</v>
      </c>
      <c r="AL837" t="str" cm="1">
        <f t="array" ref="AL837">_xlfn.IFS(Table1[[#This Row],[Attrition]]="Yes","Resigned",Table1[[#This Row],[Attrition]]="No","Active")</f>
        <v>Active</v>
      </c>
      <c r="AM837" t="str" cm="1">
        <f t="array" ref="AM837">_xlfn.IFS(Table1[[#This Row],[YearsAtCompany]]&lt;=1,"0-1 Year",Table1[[#This Row],[YearsAtCompany]]&lt;=2,"1-2 Years",Table1[[#This Row],[YearsAtCompany]]&lt;=3,"2-3 Years",Table1[[#This Row],[YearsAtCompany]]&lt;=4,"3-4 Years",Table1[[#This Row],[YearsAtCompany]]&lt;=5,"4-5 Years",Table1[[#This Row],[YearsAtCompany]]&gt;5,"&gt;5 Years")</f>
        <v>4-5 Years</v>
      </c>
    </row>
    <row r="838" spans="1:39" x14ac:dyDescent="0.45">
      <c r="A838">
        <v>29</v>
      </c>
      <c r="B838" t="s">
        <v>35</v>
      </c>
      <c r="C838" t="s">
        <v>64</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_xlfn.IFS(Table1[[#This Row],[Age]]&lt;30,"Young",Table1[[#This Row],[Age]]&lt;=40,"Adult",Table1[[#This Row],[Age]]&gt;40,"Senior")</f>
        <v>Young</v>
      </c>
      <c r="AK838" t="str" cm="1">
        <f t="array" ref="AK838">_xlfn.IFS(Table1[[#This Row],[MonthlyIncome]]&lt;5000,"Low",Table1[[#This Row],[MonthlyIncome]]&lt;10000,"Medium",Table1[[#This Row],[MonthlyIncome]]&gt;10000,"High")</f>
        <v>Medium</v>
      </c>
      <c r="AL838" t="str" cm="1">
        <f t="array" ref="AL838">_xlfn.IFS(Table1[[#This Row],[Attrition]]="Yes","Resigned",Table1[[#This Row],[Attrition]]="No","Active")</f>
        <v>Resigned</v>
      </c>
      <c r="AM838" t="str" cm="1">
        <f t="array" ref="AM838">_xlfn.IFS(Table1[[#This Row],[YearsAtCompany]]&lt;=1,"0-1 Year",Table1[[#This Row],[YearsAtCompany]]&lt;=2,"1-2 Years",Table1[[#This Row],[YearsAtCompany]]&lt;=3,"2-3 Years",Table1[[#This Row],[YearsAtCompany]]&lt;=4,"3-4 Years",Table1[[#This Row],[YearsAtCompany]]&lt;=5,"4-5 Years",Table1[[#This Row],[YearsAtCompany]]&gt;5,"&gt;5 Years")</f>
        <v>&gt;5 Years</v>
      </c>
    </row>
    <row r="839" spans="1:39" hidden="1" x14ac:dyDescent="0.45">
      <c r="A839">
        <v>40</v>
      </c>
      <c r="B839" t="s">
        <v>43</v>
      </c>
      <c r="C839" t="s">
        <v>63</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_xlfn.IFS(Table1[[#This Row],[Age]]&lt;30,"Young",Table1[[#This Row],[Age]]&lt;=40,"Adult",Table1[[#This Row],[Age]]&gt;40,"Senior")</f>
        <v>Adult</v>
      </c>
      <c r="AK839" t="str" cm="1">
        <f t="array" ref="AK839">_xlfn.IFS(Table1[[#This Row],[MonthlyIncome]]&lt;5000,"Low",Table1[[#This Row],[MonthlyIncome]]&lt;10000,"Medium",Table1[[#This Row],[MonthlyIncome]]&gt;10000,"High")</f>
        <v>High</v>
      </c>
      <c r="AL839" t="str" cm="1">
        <f t="array" ref="AL839">_xlfn.IFS(Table1[[#This Row],[Attrition]]="Yes","Resigned",Table1[[#This Row],[Attrition]]="No","Active")</f>
        <v>Active</v>
      </c>
      <c r="AM839" t="str" cm="1">
        <f t="array" ref="AM839">_xlfn.IFS(Table1[[#This Row],[YearsAtCompany]]&lt;=1,"0-1 Year",Table1[[#This Row],[YearsAtCompany]]&lt;=2,"1-2 Years",Table1[[#This Row],[YearsAtCompany]]&lt;=3,"2-3 Years",Table1[[#This Row],[YearsAtCompany]]&lt;=4,"3-4 Years",Table1[[#This Row],[YearsAtCompany]]&lt;=5,"4-5 Years",Table1[[#This Row],[YearsAtCompany]]&gt;5,"&gt;5 Years")</f>
        <v>&gt;5 Years</v>
      </c>
    </row>
    <row r="840" spans="1:39" x14ac:dyDescent="0.45">
      <c r="A840">
        <v>42</v>
      </c>
      <c r="B840" t="s">
        <v>35</v>
      </c>
      <c r="C840" t="s">
        <v>63</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_xlfn.IFS(Table1[[#This Row],[Age]]&lt;30,"Young",Table1[[#This Row],[Age]]&lt;=40,"Adult",Table1[[#This Row],[Age]]&gt;40,"Senior")</f>
        <v>Senior</v>
      </c>
      <c r="AK840" t="str" cm="1">
        <f t="array" ref="AK840">_xlfn.IFS(Table1[[#This Row],[MonthlyIncome]]&lt;5000,"Low",Table1[[#This Row],[MonthlyIncome]]&lt;10000,"Medium",Table1[[#This Row],[MonthlyIncome]]&gt;10000,"High")</f>
        <v>High</v>
      </c>
      <c r="AL840" t="str" cm="1">
        <f t="array" ref="AL840">_xlfn.IFS(Table1[[#This Row],[Attrition]]="Yes","Resigned",Table1[[#This Row],[Attrition]]="No","Active")</f>
        <v>Resigned</v>
      </c>
      <c r="AM840" t="str" cm="1">
        <f t="array" ref="AM840">_xlfn.IFS(Table1[[#This Row],[YearsAtCompany]]&lt;=1,"0-1 Year",Table1[[#This Row],[YearsAtCompany]]&lt;=2,"1-2 Years",Table1[[#This Row],[YearsAtCompany]]&lt;=3,"2-3 Years",Table1[[#This Row],[YearsAtCompany]]&lt;=4,"3-4 Years",Table1[[#This Row],[YearsAtCompany]]&lt;=5,"4-5 Years",Table1[[#This Row],[YearsAtCompany]]&gt;5,"&gt;5 Years")</f>
        <v>&gt;5 Years</v>
      </c>
    </row>
    <row r="841" spans="1:39" x14ac:dyDescent="0.45">
      <c r="A841">
        <v>42</v>
      </c>
      <c r="B841" t="s">
        <v>43</v>
      </c>
      <c r="C841" t="s">
        <v>64</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_xlfn.IFS(Table1[[#This Row],[Age]]&lt;30,"Young",Table1[[#This Row],[Age]]&lt;=40,"Adult",Table1[[#This Row],[Age]]&gt;40,"Senior")</f>
        <v>Senior</v>
      </c>
      <c r="AK841" t="str" cm="1">
        <f t="array" ref="AK841">_xlfn.IFS(Table1[[#This Row],[MonthlyIncome]]&lt;5000,"Low",Table1[[#This Row],[MonthlyIncome]]&lt;10000,"Medium",Table1[[#This Row],[MonthlyIncome]]&gt;10000,"High")</f>
        <v>Medium</v>
      </c>
      <c r="AL841" t="str" cm="1">
        <f t="array" ref="AL841">_xlfn.IFS(Table1[[#This Row],[Attrition]]="Yes","Resigned",Table1[[#This Row],[Attrition]]="No","Active")</f>
        <v>Active</v>
      </c>
      <c r="AM841" t="str" cm="1">
        <f t="array" ref="AM841">_xlfn.IFS(Table1[[#This Row],[YearsAtCompany]]&lt;=1,"0-1 Year",Table1[[#This Row],[YearsAtCompany]]&lt;=2,"1-2 Years",Table1[[#This Row],[YearsAtCompany]]&lt;=3,"2-3 Years",Table1[[#This Row],[YearsAtCompany]]&lt;=4,"3-4 Years",Table1[[#This Row],[YearsAtCompany]]&lt;=5,"4-5 Years",Table1[[#This Row],[YearsAtCompany]]&gt;5,"&gt;5 Years")</f>
        <v>&gt;5 Years</v>
      </c>
    </row>
    <row r="842" spans="1:39" hidden="1" x14ac:dyDescent="0.45">
      <c r="A842">
        <v>35</v>
      </c>
      <c r="B842" t="s">
        <v>43</v>
      </c>
      <c r="C842" t="s">
        <v>64</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_xlfn.IFS(Table1[[#This Row],[Age]]&lt;30,"Young",Table1[[#This Row],[Age]]&lt;=40,"Adult",Table1[[#This Row],[Age]]&gt;40,"Senior")</f>
        <v>Adult</v>
      </c>
      <c r="AK842" t="str" cm="1">
        <f t="array" ref="AK842">_xlfn.IFS(Table1[[#This Row],[MonthlyIncome]]&lt;5000,"Low",Table1[[#This Row],[MonthlyIncome]]&lt;10000,"Medium",Table1[[#This Row],[MonthlyIncome]]&gt;10000,"High")</f>
        <v>Low</v>
      </c>
      <c r="AL842" t="str" cm="1">
        <f t="array" ref="AL842">_xlfn.IFS(Table1[[#This Row],[Attrition]]="Yes","Resigned",Table1[[#This Row],[Attrition]]="No","Active")</f>
        <v>Active</v>
      </c>
      <c r="AM842" t="str" cm="1">
        <f t="array" ref="AM842">_xlfn.IFS(Table1[[#This Row],[YearsAtCompany]]&lt;=1,"0-1 Year",Table1[[#This Row],[YearsAtCompany]]&lt;=2,"1-2 Years",Table1[[#This Row],[YearsAtCompany]]&lt;=3,"2-3 Years",Table1[[#This Row],[YearsAtCompany]]&lt;=4,"3-4 Years",Table1[[#This Row],[YearsAtCompany]]&lt;=5,"4-5 Years",Table1[[#This Row],[YearsAtCompany]]&gt;5,"&gt;5 Years")</f>
        <v>&gt;5 Years</v>
      </c>
    </row>
    <row r="843" spans="1:39" hidden="1" x14ac:dyDescent="0.45">
      <c r="A843">
        <v>24</v>
      </c>
      <c r="B843" t="s">
        <v>43</v>
      </c>
      <c r="C843" t="s">
        <v>64</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_xlfn.IFS(Table1[[#This Row],[Age]]&lt;30,"Young",Table1[[#This Row],[Age]]&lt;=40,"Adult",Table1[[#This Row],[Age]]&gt;40,"Senior")</f>
        <v>Young</v>
      </c>
      <c r="AK843" t="str" cm="1">
        <f t="array" ref="AK843">_xlfn.IFS(Table1[[#This Row],[MonthlyIncome]]&lt;5000,"Low",Table1[[#This Row],[MonthlyIncome]]&lt;10000,"Medium",Table1[[#This Row],[MonthlyIncome]]&gt;10000,"High")</f>
        <v>Low</v>
      </c>
      <c r="AL843" t="str" cm="1">
        <f t="array" ref="AL843">_xlfn.IFS(Table1[[#This Row],[Attrition]]="Yes","Resigned",Table1[[#This Row],[Attrition]]="No","Active")</f>
        <v>Active</v>
      </c>
      <c r="AM843" t="str" cm="1">
        <f t="array" ref="AM843">_xlfn.IFS(Table1[[#This Row],[YearsAtCompany]]&lt;=1,"0-1 Year",Table1[[#This Row],[YearsAtCompany]]&lt;=2,"1-2 Years",Table1[[#This Row],[YearsAtCompany]]&lt;=3,"2-3 Years",Table1[[#This Row],[YearsAtCompany]]&lt;=4,"3-4 Years",Table1[[#This Row],[YearsAtCompany]]&lt;=5,"4-5 Years",Table1[[#This Row],[YearsAtCompany]]&gt;5,"&gt;5 Years")</f>
        <v>3-4 Years</v>
      </c>
    </row>
    <row r="844" spans="1:39" hidden="1" x14ac:dyDescent="0.45">
      <c r="A844">
        <v>28</v>
      </c>
      <c r="B844" t="s">
        <v>35</v>
      </c>
      <c r="C844" t="s">
        <v>64</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_xlfn.IFS(Table1[[#This Row],[Age]]&lt;30,"Young",Table1[[#This Row],[Age]]&lt;=40,"Adult",Table1[[#This Row],[Age]]&gt;40,"Senior")</f>
        <v>Young</v>
      </c>
      <c r="AK844" t="str" cm="1">
        <f t="array" ref="AK844">_xlfn.IFS(Table1[[#This Row],[MonthlyIncome]]&lt;5000,"Low",Table1[[#This Row],[MonthlyIncome]]&lt;10000,"Medium",Table1[[#This Row],[MonthlyIncome]]&gt;10000,"High")</f>
        <v>Low</v>
      </c>
      <c r="AL844" t="str" cm="1">
        <f t="array" ref="AL844">_xlfn.IFS(Table1[[#This Row],[Attrition]]="Yes","Resigned",Table1[[#This Row],[Attrition]]="No","Active")</f>
        <v>Resigned</v>
      </c>
      <c r="AM844" t="str" cm="1">
        <f t="array" ref="AM844">_xlfn.IFS(Table1[[#This Row],[YearsAtCompany]]&lt;=1,"0-1 Year",Table1[[#This Row],[YearsAtCompany]]&lt;=2,"1-2 Years",Table1[[#This Row],[YearsAtCompany]]&lt;=3,"2-3 Years",Table1[[#This Row],[YearsAtCompany]]&lt;=4,"3-4 Years",Table1[[#This Row],[YearsAtCompany]]&lt;=5,"4-5 Years",Table1[[#This Row],[YearsAtCompany]]&gt;5,"&gt;5 Years")</f>
        <v>0-1 Year</v>
      </c>
    </row>
    <row r="845" spans="1:39" hidden="1" x14ac:dyDescent="0.45">
      <c r="A845">
        <v>26</v>
      </c>
      <c r="B845" t="s">
        <v>43</v>
      </c>
      <c r="C845" t="s">
        <v>64</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_xlfn.IFS(Table1[[#This Row],[Age]]&lt;30,"Young",Table1[[#This Row],[Age]]&lt;=40,"Adult",Table1[[#This Row],[Age]]&gt;40,"Senior")</f>
        <v>Young</v>
      </c>
      <c r="AK845" t="str" cm="1">
        <f t="array" ref="AK845">_xlfn.IFS(Table1[[#This Row],[MonthlyIncome]]&lt;5000,"Low",Table1[[#This Row],[MonthlyIncome]]&lt;10000,"Medium",Table1[[#This Row],[MonthlyIncome]]&gt;10000,"High")</f>
        <v>Low</v>
      </c>
      <c r="AL845" t="str" cm="1">
        <f t="array" ref="AL845">_xlfn.IFS(Table1[[#This Row],[Attrition]]="Yes","Resigned",Table1[[#This Row],[Attrition]]="No","Active")</f>
        <v>Active</v>
      </c>
      <c r="AM845" t="str" cm="1">
        <f t="array" ref="AM845">_xlfn.IFS(Table1[[#This Row],[YearsAtCompany]]&lt;=1,"0-1 Year",Table1[[#This Row],[YearsAtCompany]]&lt;=2,"1-2 Years",Table1[[#This Row],[YearsAtCompany]]&lt;=3,"2-3 Years",Table1[[#This Row],[YearsAtCompany]]&lt;=4,"3-4 Years",Table1[[#This Row],[YearsAtCompany]]&lt;=5,"4-5 Years",Table1[[#This Row],[YearsAtCompany]]&gt;5,"&gt;5 Years")</f>
        <v>&gt;5 Years</v>
      </c>
    </row>
    <row r="846" spans="1:39" x14ac:dyDescent="0.45">
      <c r="A846">
        <v>30</v>
      </c>
      <c r="B846" t="s">
        <v>43</v>
      </c>
      <c r="C846" t="s">
        <v>64</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_xlfn.IFS(Table1[[#This Row],[Age]]&lt;30,"Young",Table1[[#This Row],[Age]]&lt;=40,"Adult",Table1[[#This Row],[Age]]&gt;40,"Senior")</f>
        <v>Adult</v>
      </c>
      <c r="AK846" t="str" cm="1">
        <f t="array" ref="AK846">_xlfn.IFS(Table1[[#This Row],[MonthlyIncome]]&lt;5000,"Low",Table1[[#This Row],[MonthlyIncome]]&lt;10000,"Medium",Table1[[#This Row],[MonthlyIncome]]&gt;10000,"High")</f>
        <v>Medium</v>
      </c>
      <c r="AL846" t="str" cm="1">
        <f t="array" ref="AL846">_xlfn.IFS(Table1[[#This Row],[Attrition]]="Yes","Resigned",Table1[[#This Row],[Attrition]]="No","Active")</f>
        <v>Active</v>
      </c>
      <c r="AM846" t="str" cm="1">
        <f t="array" ref="AM846">_xlfn.IFS(Table1[[#This Row],[YearsAtCompany]]&lt;=1,"0-1 Year",Table1[[#This Row],[YearsAtCompany]]&lt;=2,"1-2 Years",Table1[[#This Row],[YearsAtCompany]]&lt;=3,"2-3 Years",Table1[[#This Row],[YearsAtCompany]]&lt;=4,"3-4 Years",Table1[[#This Row],[YearsAtCompany]]&lt;=5,"4-5 Years",Table1[[#This Row],[YearsAtCompany]]&gt;5,"&gt;5 Years")</f>
        <v>&gt;5 Years</v>
      </c>
    </row>
    <row r="847" spans="1:39" hidden="1" x14ac:dyDescent="0.45">
      <c r="A847">
        <v>40</v>
      </c>
      <c r="B847" t="s">
        <v>43</v>
      </c>
      <c r="C847" t="s">
        <v>63</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_xlfn.IFS(Table1[[#This Row],[Age]]&lt;30,"Young",Table1[[#This Row],[Age]]&lt;=40,"Adult",Table1[[#This Row],[Age]]&gt;40,"Senior")</f>
        <v>Adult</v>
      </c>
      <c r="AK847" t="str" cm="1">
        <f t="array" ref="AK847">_xlfn.IFS(Table1[[#This Row],[MonthlyIncome]]&lt;5000,"Low",Table1[[#This Row],[MonthlyIncome]]&lt;10000,"Medium",Table1[[#This Row],[MonthlyIncome]]&gt;10000,"High")</f>
        <v>Low</v>
      </c>
      <c r="AL847" t="str" cm="1">
        <f t="array" ref="AL847">_xlfn.IFS(Table1[[#This Row],[Attrition]]="Yes","Resigned",Table1[[#This Row],[Attrition]]="No","Active")</f>
        <v>Active</v>
      </c>
      <c r="AM847" t="str" cm="1">
        <f t="array" ref="AM847">_xlfn.IFS(Table1[[#This Row],[YearsAtCompany]]&lt;=1,"0-1 Year",Table1[[#This Row],[YearsAtCompany]]&lt;=2,"1-2 Years",Table1[[#This Row],[YearsAtCompany]]&lt;=3,"2-3 Years",Table1[[#This Row],[YearsAtCompany]]&lt;=4,"3-4 Years",Table1[[#This Row],[YearsAtCompany]]&lt;=5,"4-5 Years",Table1[[#This Row],[YearsAtCompany]]&gt;5,"&gt;5 Years")</f>
        <v>0-1 Year</v>
      </c>
    </row>
    <row r="848" spans="1:39" hidden="1" x14ac:dyDescent="0.45">
      <c r="A848">
        <v>35</v>
      </c>
      <c r="B848" t="s">
        <v>43</v>
      </c>
      <c r="C848" t="s">
        <v>64</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_xlfn.IFS(Table1[[#This Row],[Age]]&lt;30,"Young",Table1[[#This Row],[Age]]&lt;=40,"Adult",Table1[[#This Row],[Age]]&gt;40,"Senior")</f>
        <v>Adult</v>
      </c>
      <c r="AK848" t="str" cm="1">
        <f t="array" ref="AK848">_xlfn.IFS(Table1[[#This Row],[MonthlyIncome]]&lt;5000,"Low",Table1[[#This Row],[MonthlyIncome]]&lt;10000,"Medium",Table1[[#This Row],[MonthlyIncome]]&gt;10000,"High")</f>
        <v>High</v>
      </c>
      <c r="AL848" t="str" cm="1">
        <f t="array" ref="AL848">_xlfn.IFS(Table1[[#This Row],[Attrition]]="Yes","Resigned",Table1[[#This Row],[Attrition]]="No","Active")</f>
        <v>Active</v>
      </c>
      <c r="AM848" t="str" cm="1">
        <f t="array" ref="AM848">_xlfn.IFS(Table1[[#This Row],[YearsAtCompany]]&lt;=1,"0-1 Year",Table1[[#This Row],[YearsAtCompany]]&lt;=2,"1-2 Years",Table1[[#This Row],[YearsAtCompany]]&lt;=3,"2-3 Years",Table1[[#This Row],[YearsAtCompany]]&lt;=4,"3-4 Years",Table1[[#This Row],[YearsAtCompany]]&lt;=5,"4-5 Years",Table1[[#This Row],[YearsAtCompany]]&gt;5,"&gt;5 Years")</f>
        <v>&gt;5 Years</v>
      </c>
    </row>
    <row r="849" spans="1:39" hidden="1" x14ac:dyDescent="0.45">
      <c r="A849">
        <v>34</v>
      </c>
      <c r="B849" t="s">
        <v>43</v>
      </c>
      <c r="C849" t="s">
        <v>63</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_xlfn.IFS(Table1[[#This Row],[Age]]&lt;30,"Young",Table1[[#This Row],[Age]]&lt;=40,"Adult",Table1[[#This Row],[Age]]&gt;40,"Senior")</f>
        <v>Adult</v>
      </c>
      <c r="AK849" t="str" cm="1">
        <f t="array" ref="AK849">_xlfn.IFS(Table1[[#This Row],[MonthlyIncome]]&lt;5000,"Low",Table1[[#This Row],[MonthlyIncome]]&lt;10000,"Medium",Table1[[#This Row],[MonthlyIncome]]&gt;10000,"High")</f>
        <v>Medium</v>
      </c>
      <c r="AL849" t="str" cm="1">
        <f t="array" ref="AL849">_xlfn.IFS(Table1[[#This Row],[Attrition]]="Yes","Resigned",Table1[[#This Row],[Attrition]]="No","Active")</f>
        <v>Active</v>
      </c>
      <c r="AM849" t="str" cm="1">
        <f t="array" ref="AM849">_xlfn.IFS(Table1[[#This Row],[YearsAtCompany]]&lt;=1,"0-1 Year",Table1[[#This Row],[YearsAtCompany]]&lt;=2,"1-2 Years",Table1[[#This Row],[YearsAtCompany]]&lt;=3,"2-3 Years",Table1[[#This Row],[YearsAtCompany]]&lt;=4,"3-4 Years",Table1[[#This Row],[YearsAtCompany]]&lt;=5,"4-5 Years",Table1[[#This Row],[YearsAtCompany]]&gt;5,"&gt;5 Years")</f>
        <v>&gt;5 Years</v>
      </c>
    </row>
    <row r="850" spans="1:39" hidden="1" x14ac:dyDescent="0.45">
      <c r="A850">
        <v>35</v>
      </c>
      <c r="B850" t="s">
        <v>43</v>
      </c>
      <c r="C850" t="s">
        <v>63</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_xlfn.IFS(Table1[[#This Row],[Age]]&lt;30,"Young",Table1[[#This Row],[Age]]&lt;=40,"Adult",Table1[[#This Row],[Age]]&gt;40,"Senior")</f>
        <v>Adult</v>
      </c>
      <c r="AK850" t="str" cm="1">
        <f t="array" ref="AK850">_xlfn.IFS(Table1[[#This Row],[MonthlyIncome]]&lt;5000,"Low",Table1[[#This Row],[MonthlyIncome]]&lt;10000,"Medium",Table1[[#This Row],[MonthlyIncome]]&gt;10000,"High")</f>
        <v>Low</v>
      </c>
      <c r="AL850" t="str" cm="1">
        <f t="array" ref="AL850">_xlfn.IFS(Table1[[#This Row],[Attrition]]="Yes","Resigned",Table1[[#This Row],[Attrition]]="No","Active")</f>
        <v>Active</v>
      </c>
      <c r="AM850" t="str" cm="1">
        <f t="array" ref="AM850">_xlfn.IFS(Table1[[#This Row],[YearsAtCompany]]&lt;=1,"0-1 Year",Table1[[#This Row],[YearsAtCompany]]&lt;=2,"1-2 Years",Table1[[#This Row],[YearsAtCompany]]&lt;=3,"2-3 Years",Table1[[#This Row],[YearsAtCompany]]&lt;=4,"3-4 Years",Table1[[#This Row],[YearsAtCompany]]&lt;=5,"4-5 Years",Table1[[#This Row],[YearsAtCompany]]&gt;5,"&gt;5 Years")</f>
        <v>1-2 Years</v>
      </c>
    </row>
    <row r="851" spans="1:39" x14ac:dyDescent="0.45">
      <c r="A851">
        <v>43</v>
      </c>
      <c r="B851" t="s">
        <v>35</v>
      </c>
      <c r="C851" t="s">
        <v>64</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_xlfn.IFS(Table1[[#This Row],[Age]]&lt;30,"Young",Table1[[#This Row],[Age]]&lt;=40,"Adult",Table1[[#This Row],[Age]]&gt;40,"Senior")</f>
        <v>Senior</v>
      </c>
      <c r="AK851" t="str" cm="1">
        <f t="array" ref="AK851">_xlfn.IFS(Table1[[#This Row],[MonthlyIncome]]&lt;5000,"Low",Table1[[#This Row],[MonthlyIncome]]&lt;10000,"Medium",Table1[[#This Row],[MonthlyIncome]]&gt;10000,"High")</f>
        <v>Medium</v>
      </c>
      <c r="AL851" t="str" cm="1">
        <f t="array" ref="AL851">_xlfn.IFS(Table1[[#This Row],[Attrition]]="Yes","Resigned",Table1[[#This Row],[Attrition]]="No","Active")</f>
        <v>Resigned</v>
      </c>
      <c r="AM851" t="str" cm="1">
        <f t="array" ref="AM851">_xlfn.IFS(Table1[[#This Row],[YearsAtCompany]]&lt;=1,"0-1 Year",Table1[[#This Row],[YearsAtCompany]]&lt;=2,"1-2 Years",Table1[[#This Row],[YearsAtCompany]]&lt;=3,"2-3 Years",Table1[[#This Row],[YearsAtCompany]]&lt;=4,"3-4 Years",Table1[[#This Row],[YearsAtCompany]]&lt;=5,"4-5 Years",Table1[[#This Row],[YearsAtCompany]]&gt;5,"&gt;5 Years")</f>
        <v>3-4 Years</v>
      </c>
    </row>
    <row r="852" spans="1:39" x14ac:dyDescent="0.45">
      <c r="A852">
        <v>32</v>
      </c>
      <c r="B852" t="s">
        <v>43</v>
      </c>
      <c r="C852" t="s">
        <v>62</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_xlfn.IFS(Table1[[#This Row],[Age]]&lt;30,"Young",Table1[[#This Row],[Age]]&lt;=40,"Adult",Table1[[#This Row],[Age]]&gt;40,"Senior")</f>
        <v>Adult</v>
      </c>
      <c r="AK852" t="str" cm="1">
        <f t="array" ref="AK852">_xlfn.IFS(Table1[[#This Row],[MonthlyIncome]]&lt;5000,"Low",Table1[[#This Row],[MonthlyIncome]]&lt;10000,"Medium",Table1[[#This Row],[MonthlyIncome]]&gt;10000,"High")</f>
        <v>Low</v>
      </c>
      <c r="AL852" t="str" cm="1">
        <f t="array" ref="AL852">_xlfn.IFS(Table1[[#This Row],[Attrition]]="Yes","Resigned",Table1[[#This Row],[Attrition]]="No","Active")</f>
        <v>Active</v>
      </c>
      <c r="AM852" t="str" cm="1">
        <f t="array" ref="AM852">_xlfn.IFS(Table1[[#This Row],[YearsAtCompany]]&lt;=1,"0-1 Year",Table1[[#This Row],[YearsAtCompany]]&lt;=2,"1-2 Years",Table1[[#This Row],[YearsAtCompany]]&lt;=3,"2-3 Years",Table1[[#This Row],[YearsAtCompany]]&lt;=4,"3-4 Years",Table1[[#This Row],[YearsAtCompany]]&lt;=5,"4-5 Years",Table1[[#This Row],[YearsAtCompany]]&gt;5,"&gt;5 Years")</f>
        <v>0-1 Year</v>
      </c>
    </row>
    <row r="853" spans="1:39" hidden="1" x14ac:dyDescent="0.45">
      <c r="A853">
        <v>56</v>
      </c>
      <c r="B853" t="s">
        <v>43</v>
      </c>
      <c r="C853" t="s">
        <v>64</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_xlfn.IFS(Table1[[#This Row],[Age]]&lt;30,"Young",Table1[[#This Row],[Age]]&lt;=40,"Adult",Table1[[#This Row],[Age]]&gt;40,"Senior")</f>
        <v>Senior</v>
      </c>
      <c r="AK853" t="str" cm="1">
        <f t="array" ref="AK853">_xlfn.IFS(Table1[[#This Row],[MonthlyIncome]]&lt;5000,"Low",Table1[[#This Row],[MonthlyIncome]]&lt;10000,"Medium",Table1[[#This Row],[MonthlyIncome]]&gt;10000,"High")</f>
        <v>High</v>
      </c>
      <c r="AL853" t="str" cm="1">
        <f t="array" ref="AL853">_xlfn.IFS(Table1[[#This Row],[Attrition]]="Yes","Resigned",Table1[[#This Row],[Attrition]]="No","Active")</f>
        <v>Active</v>
      </c>
      <c r="AM853" t="str" cm="1">
        <f t="array" ref="AM853">_xlfn.IFS(Table1[[#This Row],[YearsAtCompany]]&lt;=1,"0-1 Year",Table1[[#This Row],[YearsAtCompany]]&lt;=2,"1-2 Years",Table1[[#This Row],[YearsAtCompany]]&lt;=3,"2-3 Years",Table1[[#This Row],[YearsAtCompany]]&lt;=4,"3-4 Years",Table1[[#This Row],[YearsAtCompany]]&lt;=5,"4-5 Years",Table1[[#This Row],[YearsAtCompany]]&gt;5,"&gt;5 Years")</f>
        <v>4-5 Years</v>
      </c>
    </row>
    <row r="854" spans="1:39" hidden="1" x14ac:dyDescent="0.45">
      <c r="A854">
        <v>29</v>
      </c>
      <c r="B854" t="s">
        <v>43</v>
      </c>
      <c r="C854" t="s">
        <v>64</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_xlfn.IFS(Table1[[#This Row],[Age]]&lt;30,"Young",Table1[[#This Row],[Age]]&lt;=40,"Adult",Table1[[#This Row],[Age]]&gt;40,"Senior")</f>
        <v>Young</v>
      </c>
      <c r="AK854" t="str" cm="1">
        <f t="array" ref="AK854">_xlfn.IFS(Table1[[#This Row],[MonthlyIncome]]&lt;5000,"Low",Table1[[#This Row],[MonthlyIncome]]&lt;10000,"Medium",Table1[[#This Row],[MonthlyIncome]]&gt;10000,"High")</f>
        <v>Low</v>
      </c>
      <c r="AL854" t="str" cm="1">
        <f t="array" ref="AL854">_xlfn.IFS(Table1[[#This Row],[Attrition]]="Yes","Resigned",Table1[[#This Row],[Attrition]]="No","Active")</f>
        <v>Active</v>
      </c>
      <c r="AM854" t="str" cm="1">
        <f t="array" ref="AM854">_xlfn.IFS(Table1[[#This Row],[YearsAtCompany]]&lt;=1,"0-1 Year",Table1[[#This Row],[YearsAtCompany]]&lt;=2,"1-2 Years",Table1[[#This Row],[YearsAtCompany]]&lt;=3,"2-3 Years",Table1[[#This Row],[YearsAtCompany]]&lt;=4,"3-4 Years",Table1[[#This Row],[YearsAtCompany]]&lt;=5,"4-5 Years",Table1[[#This Row],[YearsAtCompany]]&gt;5,"&gt;5 Years")</f>
        <v>&gt;5 Years</v>
      </c>
    </row>
    <row r="855" spans="1:39" hidden="1" x14ac:dyDescent="0.45">
      <c r="A855">
        <v>19</v>
      </c>
      <c r="B855" t="s">
        <v>43</v>
      </c>
      <c r="C855" t="s">
        <v>64</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_xlfn.IFS(Table1[[#This Row],[Age]]&lt;30,"Young",Table1[[#This Row],[Age]]&lt;=40,"Adult",Table1[[#This Row],[Age]]&gt;40,"Senior")</f>
        <v>Young</v>
      </c>
      <c r="AK855" t="str" cm="1">
        <f t="array" ref="AK855">_xlfn.IFS(Table1[[#This Row],[MonthlyIncome]]&lt;5000,"Low",Table1[[#This Row],[MonthlyIncome]]&lt;10000,"Medium",Table1[[#This Row],[MonthlyIncome]]&gt;10000,"High")</f>
        <v>Low</v>
      </c>
      <c r="AL855" t="str" cm="1">
        <f t="array" ref="AL855">_xlfn.IFS(Table1[[#This Row],[Attrition]]="Yes","Resigned",Table1[[#This Row],[Attrition]]="No","Active")</f>
        <v>Active</v>
      </c>
      <c r="AM855" t="str" cm="1">
        <f t="array" ref="AM855">_xlfn.IFS(Table1[[#This Row],[YearsAtCompany]]&lt;=1,"0-1 Year",Table1[[#This Row],[YearsAtCompany]]&lt;=2,"1-2 Years",Table1[[#This Row],[YearsAtCompany]]&lt;=3,"2-3 Years",Table1[[#This Row],[YearsAtCompany]]&lt;=4,"3-4 Years",Table1[[#This Row],[YearsAtCompany]]&lt;=5,"4-5 Years",Table1[[#This Row],[YearsAtCompany]]&gt;5,"&gt;5 Years")</f>
        <v>0-1 Year</v>
      </c>
    </row>
    <row r="856" spans="1:39" hidden="1" x14ac:dyDescent="0.45">
      <c r="A856">
        <v>45</v>
      </c>
      <c r="B856" t="s">
        <v>43</v>
      </c>
      <c r="C856" t="s">
        <v>64</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_xlfn.IFS(Table1[[#This Row],[Age]]&lt;30,"Young",Table1[[#This Row],[Age]]&lt;=40,"Adult",Table1[[#This Row],[Age]]&gt;40,"Senior")</f>
        <v>Senior</v>
      </c>
      <c r="AK856" t="str" cm="1">
        <f t="array" ref="AK856">_xlfn.IFS(Table1[[#This Row],[MonthlyIncome]]&lt;5000,"Low",Table1[[#This Row],[MonthlyIncome]]&lt;10000,"Medium",Table1[[#This Row],[MonthlyIncome]]&gt;10000,"High")</f>
        <v>Low</v>
      </c>
      <c r="AL856" t="str" cm="1">
        <f t="array" ref="AL856">_xlfn.IFS(Table1[[#This Row],[Attrition]]="Yes","Resigned",Table1[[#This Row],[Attrition]]="No","Active")</f>
        <v>Active</v>
      </c>
      <c r="AM856" t="str" cm="1">
        <f t="array" ref="AM856">_xlfn.IFS(Table1[[#This Row],[YearsAtCompany]]&lt;=1,"0-1 Year",Table1[[#This Row],[YearsAtCompany]]&lt;=2,"1-2 Years",Table1[[#This Row],[YearsAtCompany]]&lt;=3,"2-3 Years",Table1[[#This Row],[YearsAtCompany]]&lt;=4,"3-4 Years",Table1[[#This Row],[YearsAtCompany]]&lt;=5,"4-5 Years",Table1[[#This Row],[YearsAtCompany]]&gt;5,"&gt;5 Years")</f>
        <v>2-3 Years</v>
      </c>
    </row>
    <row r="857" spans="1:39" hidden="1" x14ac:dyDescent="0.45">
      <c r="A857">
        <v>37</v>
      </c>
      <c r="B857" t="s">
        <v>43</v>
      </c>
      <c r="C857" t="s">
        <v>64</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_xlfn.IFS(Table1[[#This Row],[Age]]&lt;30,"Young",Table1[[#This Row],[Age]]&lt;=40,"Adult",Table1[[#This Row],[Age]]&gt;40,"Senior")</f>
        <v>Adult</v>
      </c>
      <c r="AK857" t="str" cm="1">
        <f t="array" ref="AK857">_xlfn.IFS(Table1[[#This Row],[MonthlyIncome]]&lt;5000,"Low",Table1[[#This Row],[MonthlyIncome]]&lt;10000,"Medium",Table1[[#This Row],[MonthlyIncome]]&gt;10000,"High")</f>
        <v>Medium</v>
      </c>
      <c r="AL857" t="str" cm="1">
        <f t="array" ref="AL857">_xlfn.IFS(Table1[[#This Row],[Attrition]]="Yes","Resigned",Table1[[#This Row],[Attrition]]="No","Active")</f>
        <v>Active</v>
      </c>
      <c r="AM857" t="str" cm="1">
        <f t="array" ref="AM857">_xlfn.IFS(Table1[[#This Row],[YearsAtCompany]]&lt;=1,"0-1 Year",Table1[[#This Row],[YearsAtCompany]]&lt;=2,"1-2 Years",Table1[[#This Row],[YearsAtCompany]]&lt;=3,"2-3 Years",Table1[[#This Row],[YearsAtCompany]]&lt;=4,"3-4 Years",Table1[[#This Row],[YearsAtCompany]]&lt;=5,"4-5 Years",Table1[[#This Row],[YearsAtCompany]]&gt;5,"&gt;5 Years")</f>
        <v>&gt;5 Years</v>
      </c>
    </row>
    <row r="858" spans="1:39" hidden="1" x14ac:dyDescent="0.45">
      <c r="A858">
        <v>20</v>
      </c>
      <c r="B858" t="s">
        <v>43</v>
      </c>
      <c r="C858" t="s">
        <v>64</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_xlfn.IFS(Table1[[#This Row],[Age]]&lt;30,"Young",Table1[[#This Row],[Age]]&lt;=40,"Adult",Table1[[#This Row],[Age]]&gt;40,"Senior")</f>
        <v>Young</v>
      </c>
      <c r="AK858" t="str" cm="1">
        <f t="array" ref="AK858">_xlfn.IFS(Table1[[#This Row],[MonthlyIncome]]&lt;5000,"Low",Table1[[#This Row],[MonthlyIncome]]&lt;10000,"Medium",Table1[[#This Row],[MonthlyIncome]]&gt;10000,"High")</f>
        <v>Low</v>
      </c>
      <c r="AL858" t="str" cm="1">
        <f t="array" ref="AL858">_xlfn.IFS(Table1[[#This Row],[Attrition]]="Yes","Resigned",Table1[[#This Row],[Attrition]]="No","Active")</f>
        <v>Active</v>
      </c>
      <c r="AM858" t="str" cm="1">
        <f t="array" ref="AM858">_xlfn.IFS(Table1[[#This Row],[YearsAtCompany]]&lt;=1,"0-1 Year",Table1[[#This Row],[YearsAtCompany]]&lt;=2,"1-2 Years",Table1[[#This Row],[YearsAtCompany]]&lt;=3,"2-3 Years",Table1[[#This Row],[YearsAtCompany]]&lt;=4,"3-4 Years",Table1[[#This Row],[YearsAtCompany]]&lt;=5,"4-5 Years",Table1[[#This Row],[YearsAtCompany]]&gt;5,"&gt;5 Years")</f>
        <v>1-2 Years</v>
      </c>
    </row>
    <row r="859" spans="1:39" hidden="1" x14ac:dyDescent="0.45">
      <c r="A859">
        <v>44</v>
      </c>
      <c r="B859" t="s">
        <v>35</v>
      </c>
      <c r="C859" t="s">
        <v>64</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_xlfn.IFS(Table1[[#This Row],[Age]]&lt;30,"Young",Table1[[#This Row],[Age]]&lt;=40,"Adult",Table1[[#This Row],[Age]]&gt;40,"Senior")</f>
        <v>Senior</v>
      </c>
      <c r="AK859" t="str" cm="1">
        <f t="array" ref="AK859">_xlfn.IFS(Table1[[#This Row],[MonthlyIncome]]&lt;5000,"Low",Table1[[#This Row],[MonthlyIncome]]&lt;10000,"Medium",Table1[[#This Row],[MonthlyIncome]]&gt;10000,"High")</f>
        <v>Low</v>
      </c>
      <c r="AL859" t="str" cm="1">
        <f t="array" ref="AL859">_xlfn.IFS(Table1[[#This Row],[Attrition]]="Yes","Resigned",Table1[[#This Row],[Attrition]]="No","Active")</f>
        <v>Resigned</v>
      </c>
      <c r="AM859" t="str" cm="1">
        <f t="array" ref="AM859">_xlfn.IFS(Table1[[#This Row],[YearsAtCompany]]&lt;=1,"0-1 Year",Table1[[#This Row],[YearsAtCompany]]&lt;=2,"1-2 Years",Table1[[#This Row],[YearsAtCompany]]&lt;=3,"2-3 Years",Table1[[#This Row],[YearsAtCompany]]&lt;=4,"3-4 Years",Table1[[#This Row],[YearsAtCompany]]&lt;=5,"4-5 Years",Table1[[#This Row],[YearsAtCompany]]&gt;5,"&gt;5 Years")</f>
        <v>&gt;5 Years</v>
      </c>
    </row>
    <row r="860" spans="1:39" hidden="1" x14ac:dyDescent="0.45">
      <c r="A860">
        <v>53</v>
      </c>
      <c r="B860" t="s">
        <v>43</v>
      </c>
      <c r="C860" t="s">
        <v>64</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_xlfn.IFS(Table1[[#This Row],[Age]]&lt;30,"Young",Table1[[#This Row],[Age]]&lt;=40,"Adult",Table1[[#This Row],[Age]]&gt;40,"Senior")</f>
        <v>Senior</v>
      </c>
      <c r="AK860" t="str" cm="1">
        <f t="array" ref="AK860">_xlfn.IFS(Table1[[#This Row],[MonthlyIncome]]&lt;5000,"Low",Table1[[#This Row],[MonthlyIncome]]&lt;10000,"Medium",Table1[[#This Row],[MonthlyIncome]]&gt;10000,"High")</f>
        <v>High</v>
      </c>
      <c r="AL860" t="str" cm="1">
        <f t="array" ref="AL860">_xlfn.IFS(Table1[[#This Row],[Attrition]]="Yes","Resigned",Table1[[#This Row],[Attrition]]="No","Active")</f>
        <v>Active</v>
      </c>
      <c r="AM860" t="str" cm="1">
        <f t="array" ref="AM860">_xlfn.IFS(Table1[[#This Row],[YearsAtCompany]]&lt;=1,"0-1 Year",Table1[[#This Row],[YearsAtCompany]]&lt;=2,"1-2 Years",Table1[[#This Row],[YearsAtCompany]]&lt;=3,"2-3 Years",Table1[[#This Row],[YearsAtCompany]]&lt;=4,"3-4 Years",Table1[[#This Row],[YearsAtCompany]]&lt;=5,"4-5 Years",Table1[[#This Row],[YearsAtCompany]]&gt;5,"&gt;5 Years")</f>
        <v>&gt;5 Years</v>
      </c>
    </row>
    <row r="861" spans="1:39" hidden="1" x14ac:dyDescent="0.45">
      <c r="A861">
        <v>29</v>
      </c>
      <c r="B861" t="s">
        <v>43</v>
      </c>
      <c r="C861" t="s">
        <v>64</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_xlfn.IFS(Table1[[#This Row],[Age]]&lt;30,"Young",Table1[[#This Row],[Age]]&lt;=40,"Adult",Table1[[#This Row],[Age]]&gt;40,"Senior")</f>
        <v>Young</v>
      </c>
      <c r="AK861" t="str" cm="1">
        <f t="array" ref="AK861">_xlfn.IFS(Table1[[#This Row],[MonthlyIncome]]&lt;5000,"Low",Table1[[#This Row],[MonthlyIncome]]&lt;10000,"Medium",Table1[[#This Row],[MonthlyIncome]]&gt;10000,"High")</f>
        <v>Low</v>
      </c>
      <c r="AL861" t="str" cm="1">
        <f t="array" ref="AL861">_xlfn.IFS(Table1[[#This Row],[Attrition]]="Yes","Resigned",Table1[[#This Row],[Attrition]]="No","Active")</f>
        <v>Active</v>
      </c>
      <c r="AM861" t="str" cm="1">
        <f t="array" ref="AM861">_xlfn.IFS(Table1[[#This Row],[YearsAtCompany]]&lt;=1,"0-1 Year",Table1[[#This Row],[YearsAtCompany]]&lt;=2,"1-2 Years",Table1[[#This Row],[YearsAtCompany]]&lt;=3,"2-3 Years",Table1[[#This Row],[YearsAtCompany]]&lt;=4,"3-4 Years",Table1[[#This Row],[YearsAtCompany]]&lt;=5,"4-5 Years",Table1[[#This Row],[YearsAtCompany]]&gt;5,"&gt;5 Years")</f>
        <v>4-5 Years</v>
      </c>
    </row>
    <row r="862" spans="1:39" hidden="1" x14ac:dyDescent="0.45">
      <c r="A862">
        <v>22</v>
      </c>
      <c r="B862" t="s">
        <v>35</v>
      </c>
      <c r="C862" t="s">
        <v>63</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_xlfn.IFS(Table1[[#This Row],[Age]]&lt;30,"Young",Table1[[#This Row],[Age]]&lt;=40,"Adult",Table1[[#This Row],[Age]]&gt;40,"Senior")</f>
        <v>Young</v>
      </c>
      <c r="AK862" t="str" cm="1">
        <f t="array" ref="AK862">_xlfn.IFS(Table1[[#This Row],[MonthlyIncome]]&lt;5000,"Low",Table1[[#This Row],[MonthlyIncome]]&lt;10000,"Medium",Table1[[#This Row],[MonthlyIncome]]&gt;10000,"High")</f>
        <v>Low</v>
      </c>
      <c r="AL862" t="str" cm="1">
        <f t="array" ref="AL862">_xlfn.IFS(Table1[[#This Row],[Attrition]]="Yes","Resigned",Table1[[#This Row],[Attrition]]="No","Active")</f>
        <v>Resigned</v>
      </c>
      <c r="AM862" t="str" cm="1">
        <f t="array" ref="AM862">_xlfn.IFS(Table1[[#This Row],[YearsAtCompany]]&lt;=1,"0-1 Year",Table1[[#This Row],[YearsAtCompany]]&lt;=2,"1-2 Years",Table1[[#This Row],[YearsAtCompany]]&lt;=3,"2-3 Years",Table1[[#This Row],[YearsAtCompany]]&lt;=4,"3-4 Years",Table1[[#This Row],[YearsAtCompany]]&lt;=5,"4-5 Years",Table1[[#This Row],[YearsAtCompany]]&gt;5,"&gt;5 Years")</f>
        <v>0-1 Year</v>
      </c>
    </row>
    <row r="863" spans="1:39" x14ac:dyDescent="0.45">
      <c r="A863">
        <v>46</v>
      </c>
      <c r="B863" t="s">
        <v>43</v>
      </c>
      <c r="C863" t="s">
        <v>64</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_xlfn.IFS(Table1[[#This Row],[Age]]&lt;30,"Young",Table1[[#This Row],[Age]]&lt;=40,"Adult",Table1[[#This Row],[Age]]&gt;40,"Senior")</f>
        <v>Senior</v>
      </c>
      <c r="AK863" t="str" cm="1">
        <f t="array" ref="AK863">_xlfn.IFS(Table1[[#This Row],[MonthlyIncome]]&lt;5000,"Low",Table1[[#This Row],[MonthlyIncome]]&lt;10000,"Medium",Table1[[#This Row],[MonthlyIncome]]&gt;10000,"High")</f>
        <v>High</v>
      </c>
      <c r="AL863" t="str" cm="1">
        <f t="array" ref="AL863">_xlfn.IFS(Table1[[#This Row],[Attrition]]="Yes","Resigned",Table1[[#This Row],[Attrition]]="No","Active")</f>
        <v>Active</v>
      </c>
      <c r="AM863" t="str" cm="1">
        <f t="array" ref="AM863">_xlfn.IFS(Table1[[#This Row],[YearsAtCompany]]&lt;=1,"0-1 Year",Table1[[#This Row],[YearsAtCompany]]&lt;=2,"1-2 Years",Table1[[#This Row],[YearsAtCompany]]&lt;=3,"2-3 Years",Table1[[#This Row],[YearsAtCompany]]&lt;=4,"3-4 Years",Table1[[#This Row],[YearsAtCompany]]&lt;=5,"4-5 Years",Table1[[#This Row],[YearsAtCompany]]&gt;5,"&gt;5 Years")</f>
        <v>&gt;5 Years</v>
      </c>
    </row>
    <row r="864" spans="1:39" hidden="1" x14ac:dyDescent="0.45">
      <c r="A864">
        <v>44</v>
      </c>
      <c r="B864" t="s">
        <v>43</v>
      </c>
      <c r="C864" t="s">
        <v>62</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_xlfn.IFS(Table1[[#This Row],[Age]]&lt;30,"Young",Table1[[#This Row],[Age]]&lt;=40,"Adult",Table1[[#This Row],[Age]]&gt;40,"Senior")</f>
        <v>Senior</v>
      </c>
      <c r="AK864" t="str" cm="1">
        <f t="array" ref="AK864">_xlfn.IFS(Table1[[#This Row],[MonthlyIncome]]&lt;5000,"Low",Table1[[#This Row],[MonthlyIncome]]&lt;10000,"Medium",Table1[[#This Row],[MonthlyIncome]]&gt;10000,"High")</f>
        <v>Low</v>
      </c>
      <c r="AL864" t="str" cm="1">
        <f t="array" ref="AL864">_xlfn.IFS(Table1[[#This Row],[Attrition]]="Yes","Resigned",Table1[[#This Row],[Attrition]]="No","Active")</f>
        <v>Active</v>
      </c>
      <c r="AM864" t="str" cm="1">
        <f t="array" ref="AM864">_xlfn.IFS(Table1[[#This Row],[YearsAtCompany]]&lt;=1,"0-1 Year",Table1[[#This Row],[YearsAtCompany]]&lt;=2,"1-2 Years",Table1[[#This Row],[YearsAtCompany]]&lt;=3,"2-3 Years",Table1[[#This Row],[YearsAtCompany]]&lt;=4,"3-4 Years",Table1[[#This Row],[YearsAtCompany]]&lt;=5,"4-5 Years",Table1[[#This Row],[YearsAtCompany]]&gt;5,"&gt;5 Years")</f>
        <v>0-1 Year</v>
      </c>
    </row>
    <row r="865" spans="1:39" hidden="1" x14ac:dyDescent="0.45">
      <c r="A865">
        <v>33</v>
      </c>
      <c r="B865" t="s">
        <v>43</v>
      </c>
      <c r="C865" t="s">
        <v>64</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_xlfn.IFS(Table1[[#This Row],[Age]]&lt;30,"Young",Table1[[#This Row],[Age]]&lt;=40,"Adult",Table1[[#This Row],[Age]]&gt;40,"Senior")</f>
        <v>Adult</v>
      </c>
      <c r="AK865" t="str" cm="1">
        <f t="array" ref="AK865">_xlfn.IFS(Table1[[#This Row],[MonthlyIncome]]&lt;5000,"Low",Table1[[#This Row],[MonthlyIncome]]&lt;10000,"Medium",Table1[[#This Row],[MonthlyIncome]]&gt;10000,"High")</f>
        <v>Low</v>
      </c>
      <c r="AL865" t="str" cm="1">
        <f t="array" ref="AL865">_xlfn.IFS(Table1[[#This Row],[Attrition]]="Yes","Resigned",Table1[[#This Row],[Attrition]]="No","Active")</f>
        <v>Active</v>
      </c>
      <c r="AM865" t="str" cm="1">
        <f t="array" ref="AM865">_xlfn.IFS(Table1[[#This Row],[YearsAtCompany]]&lt;=1,"0-1 Year",Table1[[#This Row],[YearsAtCompany]]&lt;=2,"1-2 Years",Table1[[#This Row],[YearsAtCompany]]&lt;=3,"2-3 Years",Table1[[#This Row],[YearsAtCompany]]&lt;=4,"3-4 Years",Table1[[#This Row],[YearsAtCompany]]&lt;=5,"4-5 Years",Table1[[#This Row],[YearsAtCompany]]&gt;5,"&gt;5 Years")</f>
        <v>4-5 Years</v>
      </c>
    </row>
    <row r="866" spans="1:39" hidden="1" x14ac:dyDescent="0.45">
      <c r="A866">
        <v>41</v>
      </c>
      <c r="B866" t="s">
        <v>35</v>
      </c>
      <c r="C866" t="s">
        <v>62</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_xlfn.IFS(Table1[[#This Row],[Age]]&lt;30,"Young",Table1[[#This Row],[Age]]&lt;=40,"Adult",Table1[[#This Row],[Age]]&gt;40,"Senior")</f>
        <v>Senior</v>
      </c>
      <c r="AK866" t="str" cm="1">
        <f t="array" ref="AK866">_xlfn.IFS(Table1[[#This Row],[MonthlyIncome]]&lt;5000,"Low",Table1[[#This Row],[MonthlyIncome]]&lt;10000,"Medium",Table1[[#This Row],[MonthlyIncome]]&gt;10000,"High")</f>
        <v>Low</v>
      </c>
      <c r="AL866" t="str" cm="1">
        <f t="array" ref="AL866">_xlfn.IFS(Table1[[#This Row],[Attrition]]="Yes","Resigned",Table1[[#This Row],[Attrition]]="No","Active")</f>
        <v>Resigned</v>
      </c>
      <c r="AM866" t="str" cm="1">
        <f t="array" ref="AM866">_xlfn.IFS(Table1[[#This Row],[YearsAtCompany]]&lt;=1,"0-1 Year",Table1[[#This Row],[YearsAtCompany]]&lt;=2,"1-2 Years",Table1[[#This Row],[YearsAtCompany]]&lt;=3,"2-3 Years",Table1[[#This Row],[YearsAtCompany]]&lt;=4,"3-4 Years",Table1[[#This Row],[YearsAtCompany]]&lt;=5,"4-5 Years",Table1[[#This Row],[YearsAtCompany]]&gt;5,"&gt;5 Years")</f>
        <v>0-1 Year</v>
      </c>
    </row>
    <row r="867" spans="1:39" x14ac:dyDescent="0.45">
      <c r="A867">
        <v>30</v>
      </c>
      <c r="B867" t="s">
        <v>43</v>
      </c>
      <c r="C867" t="s">
        <v>64</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_xlfn.IFS(Table1[[#This Row],[Age]]&lt;30,"Young",Table1[[#This Row],[Age]]&lt;=40,"Adult",Table1[[#This Row],[Age]]&gt;40,"Senior")</f>
        <v>Adult</v>
      </c>
      <c r="AK867" t="str" cm="1">
        <f t="array" ref="AK867">_xlfn.IFS(Table1[[#This Row],[MonthlyIncome]]&lt;5000,"Low",Table1[[#This Row],[MonthlyIncome]]&lt;10000,"Medium",Table1[[#This Row],[MonthlyIncome]]&gt;10000,"High")</f>
        <v>Low</v>
      </c>
      <c r="AL867" t="str" cm="1">
        <f t="array" ref="AL867">_xlfn.IFS(Table1[[#This Row],[Attrition]]="Yes","Resigned",Table1[[#This Row],[Attrition]]="No","Active")</f>
        <v>Active</v>
      </c>
      <c r="AM867" t="str" cm="1">
        <f t="array" ref="AM867">_xlfn.IFS(Table1[[#This Row],[YearsAtCompany]]&lt;=1,"0-1 Year",Table1[[#This Row],[YearsAtCompany]]&lt;=2,"1-2 Years",Table1[[#This Row],[YearsAtCompany]]&lt;=3,"2-3 Years",Table1[[#This Row],[YearsAtCompany]]&lt;=4,"3-4 Years",Table1[[#This Row],[YearsAtCompany]]&lt;=5,"4-5 Years",Table1[[#This Row],[YearsAtCompany]]&gt;5,"&gt;5 Years")</f>
        <v>3-4 Years</v>
      </c>
    </row>
    <row r="868" spans="1:39" x14ac:dyDescent="0.45">
      <c r="A868">
        <v>40</v>
      </c>
      <c r="B868" t="s">
        <v>43</v>
      </c>
      <c r="C868" t="s">
        <v>63</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_xlfn.IFS(Table1[[#This Row],[Age]]&lt;30,"Young",Table1[[#This Row],[Age]]&lt;=40,"Adult",Table1[[#This Row],[Age]]&gt;40,"Senior")</f>
        <v>Adult</v>
      </c>
      <c r="AK868" t="str" cm="1">
        <f t="array" ref="AK868">_xlfn.IFS(Table1[[#This Row],[MonthlyIncome]]&lt;5000,"Low",Table1[[#This Row],[MonthlyIncome]]&lt;10000,"Medium",Table1[[#This Row],[MonthlyIncome]]&gt;10000,"High")</f>
        <v>Low</v>
      </c>
      <c r="AL868" t="str" cm="1">
        <f t="array" ref="AL868">_xlfn.IFS(Table1[[#This Row],[Attrition]]="Yes","Resigned",Table1[[#This Row],[Attrition]]="No","Active")</f>
        <v>Active</v>
      </c>
      <c r="AM868" t="str" cm="1">
        <f t="array" ref="AM868">_xlfn.IFS(Table1[[#This Row],[YearsAtCompany]]&lt;=1,"0-1 Year",Table1[[#This Row],[YearsAtCompany]]&lt;=2,"1-2 Years",Table1[[#This Row],[YearsAtCompany]]&lt;=3,"2-3 Years",Table1[[#This Row],[YearsAtCompany]]&lt;=4,"3-4 Years",Table1[[#This Row],[YearsAtCompany]]&lt;=5,"4-5 Years",Table1[[#This Row],[YearsAtCompany]]&gt;5,"&gt;5 Years")</f>
        <v>0-1 Year</v>
      </c>
    </row>
    <row r="869" spans="1:39" hidden="1" x14ac:dyDescent="0.45">
      <c r="A869">
        <v>50</v>
      </c>
      <c r="B869" t="s">
        <v>43</v>
      </c>
      <c r="C869" t="s">
        <v>63</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_xlfn.IFS(Table1[[#This Row],[Age]]&lt;30,"Young",Table1[[#This Row],[Age]]&lt;=40,"Adult",Table1[[#This Row],[Age]]&gt;40,"Senior")</f>
        <v>Senior</v>
      </c>
      <c r="AK869" t="str" cm="1">
        <f t="array" ref="AK869">_xlfn.IFS(Table1[[#This Row],[MonthlyIncome]]&lt;5000,"Low",Table1[[#This Row],[MonthlyIncome]]&lt;10000,"Medium",Table1[[#This Row],[MonthlyIncome]]&gt;10000,"High")</f>
        <v>High</v>
      </c>
      <c r="AL869" t="str" cm="1">
        <f t="array" ref="AL869">_xlfn.IFS(Table1[[#This Row],[Attrition]]="Yes","Resigned",Table1[[#This Row],[Attrition]]="No","Active")</f>
        <v>Active</v>
      </c>
      <c r="AM869" t="str" cm="1">
        <f t="array" ref="AM869">_xlfn.IFS(Table1[[#This Row],[YearsAtCompany]]&lt;=1,"0-1 Year",Table1[[#This Row],[YearsAtCompany]]&lt;=2,"1-2 Years",Table1[[#This Row],[YearsAtCompany]]&lt;=3,"2-3 Years",Table1[[#This Row],[YearsAtCompany]]&lt;=4,"3-4 Years",Table1[[#This Row],[YearsAtCompany]]&lt;=5,"4-5 Years",Table1[[#This Row],[YearsAtCompany]]&gt;5,"&gt;5 Years")</f>
        <v>1-2 Years</v>
      </c>
    </row>
    <row r="870" spans="1:39" hidden="1" x14ac:dyDescent="0.45">
      <c r="A870">
        <v>28</v>
      </c>
      <c r="B870" t="s">
        <v>43</v>
      </c>
      <c r="C870" t="s">
        <v>64</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_xlfn.IFS(Table1[[#This Row],[Age]]&lt;30,"Young",Table1[[#This Row],[Age]]&lt;=40,"Adult",Table1[[#This Row],[Age]]&gt;40,"Senior")</f>
        <v>Young</v>
      </c>
      <c r="AK870" t="str" cm="1">
        <f t="array" ref="AK870">_xlfn.IFS(Table1[[#This Row],[MonthlyIncome]]&lt;5000,"Low",Table1[[#This Row],[MonthlyIncome]]&lt;10000,"Medium",Table1[[#This Row],[MonthlyIncome]]&gt;10000,"High")</f>
        <v>Low</v>
      </c>
      <c r="AL870" t="str" cm="1">
        <f t="array" ref="AL870">_xlfn.IFS(Table1[[#This Row],[Attrition]]="Yes","Resigned",Table1[[#This Row],[Attrition]]="No","Active")</f>
        <v>Active</v>
      </c>
      <c r="AM870" t="str" cm="1">
        <f t="array" ref="AM870">_xlfn.IFS(Table1[[#This Row],[YearsAtCompany]]&lt;=1,"0-1 Year",Table1[[#This Row],[YearsAtCompany]]&lt;=2,"1-2 Years",Table1[[#This Row],[YearsAtCompany]]&lt;=3,"2-3 Years",Table1[[#This Row],[YearsAtCompany]]&lt;=4,"3-4 Years",Table1[[#This Row],[YearsAtCompany]]&lt;=5,"4-5 Years",Table1[[#This Row],[YearsAtCompany]]&gt;5,"&gt;5 Years")</f>
        <v>&gt;5 Years</v>
      </c>
    </row>
    <row r="871" spans="1:39" hidden="1" x14ac:dyDescent="0.45">
      <c r="A871">
        <v>46</v>
      </c>
      <c r="B871" t="s">
        <v>43</v>
      </c>
      <c r="C871" t="s">
        <v>64</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_xlfn.IFS(Table1[[#This Row],[Age]]&lt;30,"Young",Table1[[#This Row],[Age]]&lt;=40,"Adult",Table1[[#This Row],[Age]]&gt;40,"Senior")</f>
        <v>Senior</v>
      </c>
      <c r="AK871" t="str" cm="1">
        <f t="array" ref="AK871">_xlfn.IFS(Table1[[#This Row],[MonthlyIncome]]&lt;5000,"Low",Table1[[#This Row],[MonthlyIncome]]&lt;10000,"Medium",Table1[[#This Row],[MonthlyIncome]]&gt;10000,"High")</f>
        <v>High</v>
      </c>
      <c r="AL871" t="str" cm="1">
        <f t="array" ref="AL871">_xlfn.IFS(Table1[[#This Row],[Attrition]]="Yes","Resigned",Table1[[#This Row],[Attrition]]="No","Active")</f>
        <v>Active</v>
      </c>
      <c r="AM871" t="str" cm="1">
        <f t="array" ref="AM871">_xlfn.IFS(Table1[[#This Row],[YearsAtCompany]]&lt;=1,"0-1 Year",Table1[[#This Row],[YearsAtCompany]]&lt;=2,"1-2 Years",Table1[[#This Row],[YearsAtCompany]]&lt;=3,"2-3 Years",Table1[[#This Row],[YearsAtCompany]]&lt;=4,"3-4 Years",Table1[[#This Row],[YearsAtCompany]]&lt;=5,"4-5 Years",Table1[[#This Row],[YearsAtCompany]]&gt;5,"&gt;5 Years")</f>
        <v>3-4 Years</v>
      </c>
    </row>
    <row r="872" spans="1:39" x14ac:dyDescent="0.45">
      <c r="A872">
        <v>35</v>
      </c>
      <c r="B872" t="s">
        <v>43</v>
      </c>
      <c r="C872" t="s">
        <v>64</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_xlfn.IFS(Table1[[#This Row],[Age]]&lt;30,"Young",Table1[[#This Row],[Age]]&lt;=40,"Adult",Table1[[#This Row],[Age]]&gt;40,"Senior")</f>
        <v>Adult</v>
      </c>
      <c r="AK872" t="str" cm="1">
        <f t="array" ref="AK872">_xlfn.IFS(Table1[[#This Row],[MonthlyIncome]]&lt;5000,"Low",Table1[[#This Row],[MonthlyIncome]]&lt;10000,"Medium",Table1[[#This Row],[MonthlyIncome]]&gt;10000,"High")</f>
        <v>Medium</v>
      </c>
      <c r="AL872" t="str" cm="1">
        <f t="array" ref="AL872">_xlfn.IFS(Table1[[#This Row],[Attrition]]="Yes","Resigned",Table1[[#This Row],[Attrition]]="No","Active")</f>
        <v>Active</v>
      </c>
      <c r="AM872" t="str" cm="1">
        <f t="array" ref="AM872">_xlfn.IFS(Table1[[#This Row],[YearsAtCompany]]&lt;=1,"0-1 Year",Table1[[#This Row],[YearsAtCompany]]&lt;=2,"1-2 Years",Table1[[#This Row],[YearsAtCompany]]&lt;=3,"2-3 Years",Table1[[#This Row],[YearsAtCompany]]&lt;=4,"3-4 Years",Table1[[#This Row],[YearsAtCompany]]&lt;=5,"4-5 Years",Table1[[#This Row],[YearsAtCompany]]&gt;5,"&gt;5 Years")</f>
        <v>&gt;5 Years</v>
      </c>
    </row>
    <row r="873" spans="1:39" hidden="1" x14ac:dyDescent="0.45">
      <c r="A873">
        <v>24</v>
      </c>
      <c r="B873" t="s">
        <v>35</v>
      </c>
      <c r="C873" t="s">
        <v>64</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_xlfn.IFS(Table1[[#This Row],[Age]]&lt;30,"Young",Table1[[#This Row],[Age]]&lt;=40,"Adult",Table1[[#This Row],[Age]]&gt;40,"Senior")</f>
        <v>Young</v>
      </c>
      <c r="AK873" t="str" cm="1">
        <f t="array" ref="AK873">_xlfn.IFS(Table1[[#This Row],[MonthlyIncome]]&lt;5000,"Low",Table1[[#This Row],[MonthlyIncome]]&lt;10000,"Medium",Table1[[#This Row],[MonthlyIncome]]&gt;10000,"High")</f>
        <v>Low</v>
      </c>
      <c r="AL873" t="str" cm="1">
        <f t="array" ref="AL873">_xlfn.IFS(Table1[[#This Row],[Attrition]]="Yes","Resigned",Table1[[#This Row],[Attrition]]="No","Active")</f>
        <v>Resigned</v>
      </c>
      <c r="AM873" t="str" cm="1">
        <f t="array" ref="AM873">_xlfn.IFS(Table1[[#This Row],[YearsAtCompany]]&lt;=1,"0-1 Year",Table1[[#This Row],[YearsAtCompany]]&lt;=2,"1-2 Years",Table1[[#This Row],[YearsAtCompany]]&lt;=3,"2-3 Years",Table1[[#This Row],[YearsAtCompany]]&lt;=4,"3-4 Years",Table1[[#This Row],[YearsAtCompany]]&lt;=5,"4-5 Years",Table1[[#This Row],[YearsAtCompany]]&gt;5,"&gt;5 Years")</f>
        <v>0-1 Year</v>
      </c>
    </row>
    <row r="874" spans="1:39" x14ac:dyDescent="0.45">
      <c r="A874">
        <v>33</v>
      </c>
      <c r="B874" t="s">
        <v>43</v>
      </c>
      <c r="C874" t="s">
        <v>63</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_xlfn.IFS(Table1[[#This Row],[Age]]&lt;30,"Young",Table1[[#This Row],[Age]]&lt;=40,"Adult",Table1[[#This Row],[Age]]&gt;40,"Senior")</f>
        <v>Adult</v>
      </c>
      <c r="AK874" t="str" cm="1">
        <f t="array" ref="AK874">_xlfn.IFS(Table1[[#This Row],[MonthlyIncome]]&lt;5000,"Low",Table1[[#This Row],[MonthlyIncome]]&lt;10000,"Medium",Table1[[#This Row],[MonthlyIncome]]&gt;10000,"High")</f>
        <v>Low</v>
      </c>
      <c r="AL874" t="str" cm="1">
        <f t="array" ref="AL874">_xlfn.IFS(Table1[[#This Row],[Attrition]]="Yes","Resigned",Table1[[#This Row],[Attrition]]="No","Active")</f>
        <v>Active</v>
      </c>
      <c r="AM874" t="str" cm="1">
        <f t="array" ref="AM874">_xlfn.IFS(Table1[[#This Row],[YearsAtCompany]]&lt;=1,"0-1 Year",Table1[[#This Row],[YearsAtCompany]]&lt;=2,"1-2 Years",Table1[[#This Row],[YearsAtCompany]]&lt;=3,"2-3 Years",Table1[[#This Row],[YearsAtCompany]]&lt;=4,"3-4 Years",Table1[[#This Row],[YearsAtCompany]]&lt;=5,"4-5 Years",Table1[[#This Row],[YearsAtCompany]]&gt;5,"&gt;5 Years")</f>
        <v>&gt;5 Years</v>
      </c>
    </row>
    <row r="875" spans="1:39" hidden="1" x14ac:dyDescent="0.45">
      <c r="A875">
        <v>36</v>
      </c>
      <c r="B875" t="s">
        <v>43</v>
      </c>
      <c r="C875" t="s">
        <v>64</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_xlfn.IFS(Table1[[#This Row],[Age]]&lt;30,"Young",Table1[[#This Row],[Age]]&lt;=40,"Adult",Table1[[#This Row],[Age]]&gt;40,"Senior")</f>
        <v>Adult</v>
      </c>
      <c r="AK875" t="str" cm="1">
        <f t="array" ref="AK875">_xlfn.IFS(Table1[[#This Row],[MonthlyIncome]]&lt;5000,"Low",Table1[[#This Row],[MonthlyIncome]]&lt;10000,"Medium",Table1[[#This Row],[MonthlyIncome]]&gt;10000,"High")</f>
        <v>Low</v>
      </c>
      <c r="AL875" t="str" cm="1">
        <f t="array" ref="AL875">_xlfn.IFS(Table1[[#This Row],[Attrition]]="Yes","Resigned",Table1[[#This Row],[Attrition]]="No","Active")</f>
        <v>Active</v>
      </c>
      <c r="AM875" t="str" cm="1">
        <f t="array" ref="AM875">_xlfn.IFS(Table1[[#This Row],[YearsAtCompany]]&lt;=1,"0-1 Year",Table1[[#This Row],[YearsAtCompany]]&lt;=2,"1-2 Years",Table1[[#This Row],[YearsAtCompany]]&lt;=3,"2-3 Years",Table1[[#This Row],[YearsAtCompany]]&lt;=4,"3-4 Years",Table1[[#This Row],[YearsAtCompany]]&lt;=5,"4-5 Years",Table1[[#This Row],[YearsAtCompany]]&gt;5,"&gt;5 Years")</f>
        <v>&gt;5 Years</v>
      </c>
    </row>
    <row r="876" spans="1:39" hidden="1" x14ac:dyDescent="0.45">
      <c r="A876">
        <v>30</v>
      </c>
      <c r="B876" t="s">
        <v>43</v>
      </c>
      <c r="C876" t="s">
        <v>64</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_xlfn.IFS(Table1[[#This Row],[Age]]&lt;30,"Young",Table1[[#This Row],[Age]]&lt;=40,"Adult",Table1[[#This Row],[Age]]&gt;40,"Senior")</f>
        <v>Adult</v>
      </c>
      <c r="AK876" t="str" cm="1">
        <f t="array" ref="AK876">_xlfn.IFS(Table1[[#This Row],[MonthlyIncome]]&lt;5000,"Low",Table1[[#This Row],[MonthlyIncome]]&lt;10000,"Medium",Table1[[#This Row],[MonthlyIncome]]&gt;10000,"High")</f>
        <v>Low</v>
      </c>
      <c r="AL876" t="str" cm="1">
        <f t="array" ref="AL876">_xlfn.IFS(Table1[[#This Row],[Attrition]]="Yes","Resigned",Table1[[#This Row],[Attrition]]="No","Active")</f>
        <v>Active</v>
      </c>
      <c r="AM876" t="str" cm="1">
        <f t="array" ref="AM876">_xlfn.IFS(Table1[[#This Row],[YearsAtCompany]]&lt;=1,"0-1 Year",Table1[[#This Row],[YearsAtCompany]]&lt;=2,"1-2 Years",Table1[[#This Row],[YearsAtCompany]]&lt;=3,"2-3 Years",Table1[[#This Row],[YearsAtCompany]]&lt;=4,"3-4 Years",Table1[[#This Row],[YearsAtCompany]]&lt;=5,"4-5 Years",Table1[[#This Row],[YearsAtCompany]]&gt;5,"&gt;5 Years")</f>
        <v>&gt;5 Years</v>
      </c>
    </row>
    <row r="877" spans="1:39" hidden="1" x14ac:dyDescent="0.45">
      <c r="A877">
        <v>44</v>
      </c>
      <c r="B877" t="s">
        <v>43</v>
      </c>
      <c r="C877" t="s">
        <v>64</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_xlfn.IFS(Table1[[#This Row],[Age]]&lt;30,"Young",Table1[[#This Row],[Age]]&lt;=40,"Adult",Table1[[#This Row],[Age]]&gt;40,"Senior")</f>
        <v>Senior</v>
      </c>
      <c r="AK877" t="str" cm="1">
        <f t="array" ref="AK877">_xlfn.IFS(Table1[[#This Row],[MonthlyIncome]]&lt;5000,"Low",Table1[[#This Row],[MonthlyIncome]]&lt;10000,"Medium",Table1[[#This Row],[MonthlyIncome]]&gt;10000,"High")</f>
        <v>Low</v>
      </c>
      <c r="AL877" t="str" cm="1">
        <f t="array" ref="AL877">_xlfn.IFS(Table1[[#This Row],[Attrition]]="Yes","Resigned",Table1[[#This Row],[Attrition]]="No","Active")</f>
        <v>Active</v>
      </c>
      <c r="AM877" t="str" cm="1">
        <f t="array" ref="AM877">_xlfn.IFS(Table1[[#This Row],[YearsAtCompany]]&lt;=1,"0-1 Year",Table1[[#This Row],[YearsAtCompany]]&lt;=2,"1-2 Years",Table1[[#This Row],[YearsAtCompany]]&lt;=3,"2-3 Years",Table1[[#This Row],[YearsAtCompany]]&lt;=4,"3-4 Years",Table1[[#This Row],[YearsAtCompany]]&lt;=5,"4-5 Years",Table1[[#This Row],[YearsAtCompany]]&gt;5,"&gt;5 Years")</f>
        <v>&gt;5 Years</v>
      </c>
    </row>
    <row r="878" spans="1:39" x14ac:dyDescent="0.45">
      <c r="A878">
        <v>20</v>
      </c>
      <c r="B878" t="s">
        <v>43</v>
      </c>
      <c r="C878" t="s">
        <v>64</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_xlfn.IFS(Table1[[#This Row],[Age]]&lt;30,"Young",Table1[[#This Row],[Age]]&lt;=40,"Adult",Table1[[#This Row],[Age]]&gt;40,"Senior")</f>
        <v>Young</v>
      </c>
      <c r="AK878" t="str" cm="1">
        <f t="array" ref="AK878">_xlfn.IFS(Table1[[#This Row],[MonthlyIncome]]&lt;5000,"Low",Table1[[#This Row],[MonthlyIncome]]&lt;10000,"Medium",Table1[[#This Row],[MonthlyIncome]]&gt;10000,"High")</f>
        <v>Low</v>
      </c>
      <c r="AL878" t="str" cm="1">
        <f t="array" ref="AL878">_xlfn.IFS(Table1[[#This Row],[Attrition]]="Yes","Resigned",Table1[[#This Row],[Attrition]]="No","Active")</f>
        <v>Active</v>
      </c>
      <c r="AM878" t="str" cm="1">
        <f t="array" ref="AM878">_xlfn.IFS(Table1[[#This Row],[YearsAtCompany]]&lt;=1,"0-1 Year",Table1[[#This Row],[YearsAtCompany]]&lt;=2,"1-2 Years",Table1[[#This Row],[YearsAtCompany]]&lt;=3,"2-3 Years",Table1[[#This Row],[YearsAtCompany]]&lt;=4,"3-4 Years",Table1[[#This Row],[YearsAtCompany]]&lt;=5,"4-5 Years",Table1[[#This Row],[YearsAtCompany]]&gt;5,"&gt;5 Years")</f>
        <v>1-2 Years</v>
      </c>
    </row>
    <row r="879" spans="1:39" hidden="1" x14ac:dyDescent="0.45">
      <c r="A879">
        <v>46</v>
      </c>
      <c r="B879" t="s">
        <v>43</v>
      </c>
      <c r="C879" t="s">
        <v>64</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_xlfn.IFS(Table1[[#This Row],[Age]]&lt;30,"Young",Table1[[#This Row],[Age]]&lt;=40,"Adult",Table1[[#This Row],[Age]]&gt;40,"Senior")</f>
        <v>Senior</v>
      </c>
      <c r="AK879" t="str" cm="1">
        <f t="array" ref="AK879">_xlfn.IFS(Table1[[#This Row],[MonthlyIncome]]&lt;5000,"Low",Table1[[#This Row],[MonthlyIncome]]&lt;10000,"Medium",Table1[[#This Row],[MonthlyIncome]]&gt;10000,"High")</f>
        <v>Medium</v>
      </c>
      <c r="AL879" t="str" cm="1">
        <f t="array" ref="AL879">_xlfn.IFS(Table1[[#This Row],[Attrition]]="Yes","Resigned",Table1[[#This Row],[Attrition]]="No","Active")</f>
        <v>Active</v>
      </c>
      <c r="AM879" t="str" cm="1">
        <f t="array" ref="AM879">_xlfn.IFS(Table1[[#This Row],[YearsAtCompany]]&lt;=1,"0-1 Year",Table1[[#This Row],[YearsAtCompany]]&lt;=2,"1-2 Years",Table1[[#This Row],[YearsAtCompany]]&lt;=3,"2-3 Years",Table1[[#This Row],[YearsAtCompany]]&lt;=4,"3-4 Years",Table1[[#This Row],[YearsAtCompany]]&lt;=5,"4-5 Years",Table1[[#This Row],[YearsAtCompany]]&gt;5,"&gt;5 Years")</f>
        <v>&gt;5 Years</v>
      </c>
    </row>
    <row r="880" spans="1:39" hidden="1" x14ac:dyDescent="0.45">
      <c r="A880">
        <v>42</v>
      </c>
      <c r="B880" t="s">
        <v>43</v>
      </c>
      <c r="C880" t="s">
        <v>62</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_xlfn.IFS(Table1[[#This Row],[Age]]&lt;30,"Young",Table1[[#This Row],[Age]]&lt;=40,"Adult",Table1[[#This Row],[Age]]&gt;40,"Senior")</f>
        <v>Senior</v>
      </c>
      <c r="AK880" t="str" cm="1">
        <f t="array" ref="AK880">_xlfn.IFS(Table1[[#This Row],[MonthlyIncome]]&lt;5000,"Low",Table1[[#This Row],[MonthlyIncome]]&lt;10000,"Medium",Table1[[#This Row],[MonthlyIncome]]&gt;10000,"High")</f>
        <v>Medium</v>
      </c>
      <c r="AL880" t="str" cm="1">
        <f t="array" ref="AL880">_xlfn.IFS(Table1[[#This Row],[Attrition]]="Yes","Resigned",Table1[[#This Row],[Attrition]]="No","Active")</f>
        <v>Active</v>
      </c>
      <c r="AM880" t="str" cm="1">
        <f t="array" ref="AM880">_xlfn.IFS(Table1[[#This Row],[YearsAtCompany]]&lt;=1,"0-1 Year",Table1[[#This Row],[YearsAtCompany]]&lt;=2,"1-2 Years",Table1[[#This Row],[YearsAtCompany]]&lt;=3,"2-3 Years",Table1[[#This Row],[YearsAtCompany]]&lt;=4,"3-4 Years",Table1[[#This Row],[YearsAtCompany]]&lt;=5,"4-5 Years",Table1[[#This Row],[YearsAtCompany]]&gt;5,"&gt;5 Years")</f>
        <v>3-4 Years</v>
      </c>
    </row>
    <row r="881" spans="1:39" x14ac:dyDescent="0.45">
      <c r="A881">
        <v>60</v>
      </c>
      <c r="B881" t="s">
        <v>43</v>
      </c>
      <c r="C881" t="s">
        <v>64</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_xlfn.IFS(Table1[[#This Row],[Age]]&lt;30,"Young",Table1[[#This Row],[Age]]&lt;=40,"Adult",Table1[[#This Row],[Age]]&gt;40,"Senior")</f>
        <v>Senior</v>
      </c>
      <c r="AK881" t="str" cm="1">
        <f t="array" ref="AK881">_xlfn.IFS(Table1[[#This Row],[MonthlyIncome]]&lt;5000,"Low",Table1[[#This Row],[MonthlyIncome]]&lt;10000,"Medium",Table1[[#This Row],[MonthlyIncome]]&gt;10000,"High")</f>
        <v>Medium</v>
      </c>
      <c r="AL881" t="str" cm="1">
        <f t="array" ref="AL881">_xlfn.IFS(Table1[[#This Row],[Attrition]]="Yes","Resigned",Table1[[#This Row],[Attrition]]="No","Active")</f>
        <v>Active</v>
      </c>
      <c r="AM881" t="str" cm="1">
        <f t="array" ref="AM881">_xlfn.IFS(Table1[[#This Row],[YearsAtCompany]]&lt;=1,"0-1 Year",Table1[[#This Row],[YearsAtCompany]]&lt;=2,"1-2 Years",Table1[[#This Row],[YearsAtCompany]]&lt;=3,"2-3 Years",Table1[[#This Row],[YearsAtCompany]]&lt;=4,"3-4 Years",Table1[[#This Row],[YearsAtCompany]]&lt;=5,"4-5 Years",Table1[[#This Row],[YearsAtCompany]]&gt;5,"&gt;5 Years")</f>
        <v>&gt;5 Years</v>
      </c>
    </row>
    <row r="882" spans="1:39" hidden="1" x14ac:dyDescent="0.45">
      <c r="A882">
        <v>32</v>
      </c>
      <c r="B882" t="s">
        <v>43</v>
      </c>
      <c r="C882" t="s">
        <v>63</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_xlfn.IFS(Table1[[#This Row],[Age]]&lt;30,"Young",Table1[[#This Row],[Age]]&lt;=40,"Adult",Table1[[#This Row],[Age]]&gt;40,"Senior")</f>
        <v>Adult</v>
      </c>
      <c r="AK882" t="str" cm="1">
        <f t="array" ref="AK882">_xlfn.IFS(Table1[[#This Row],[MonthlyIncome]]&lt;5000,"Low",Table1[[#This Row],[MonthlyIncome]]&lt;10000,"Medium",Table1[[#This Row],[MonthlyIncome]]&gt;10000,"High")</f>
        <v>Low</v>
      </c>
      <c r="AL882" t="str" cm="1">
        <f t="array" ref="AL882">_xlfn.IFS(Table1[[#This Row],[Attrition]]="Yes","Resigned",Table1[[#This Row],[Attrition]]="No","Active")</f>
        <v>Active</v>
      </c>
      <c r="AM882" t="str" cm="1">
        <f t="array" ref="AM882">_xlfn.IFS(Table1[[#This Row],[YearsAtCompany]]&lt;=1,"0-1 Year",Table1[[#This Row],[YearsAtCompany]]&lt;=2,"1-2 Years",Table1[[#This Row],[YearsAtCompany]]&lt;=3,"2-3 Years",Table1[[#This Row],[YearsAtCompany]]&lt;=4,"3-4 Years",Table1[[#This Row],[YearsAtCompany]]&lt;=5,"4-5 Years",Table1[[#This Row],[YearsAtCompany]]&gt;5,"&gt;5 Years")</f>
        <v>1-2 Years</v>
      </c>
    </row>
    <row r="883" spans="1:39" hidden="1" x14ac:dyDescent="0.45">
      <c r="A883">
        <v>32</v>
      </c>
      <c r="B883" t="s">
        <v>43</v>
      </c>
      <c r="C883" t="s">
        <v>63</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_xlfn.IFS(Table1[[#This Row],[Age]]&lt;30,"Young",Table1[[#This Row],[Age]]&lt;=40,"Adult",Table1[[#This Row],[Age]]&gt;40,"Senior")</f>
        <v>Adult</v>
      </c>
      <c r="AK883" t="str" cm="1">
        <f t="array" ref="AK883">_xlfn.IFS(Table1[[#This Row],[MonthlyIncome]]&lt;5000,"Low",Table1[[#This Row],[MonthlyIncome]]&lt;10000,"Medium",Table1[[#This Row],[MonthlyIncome]]&gt;10000,"High")</f>
        <v>Low</v>
      </c>
      <c r="AL883" t="str" cm="1">
        <f t="array" ref="AL883">_xlfn.IFS(Table1[[#This Row],[Attrition]]="Yes","Resigned",Table1[[#This Row],[Attrition]]="No","Active")</f>
        <v>Active</v>
      </c>
      <c r="AM883" t="str" cm="1">
        <f t="array" ref="AM883">_xlfn.IFS(Table1[[#This Row],[YearsAtCompany]]&lt;=1,"0-1 Year",Table1[[#This Row],[YearsAtCompany]]&lt;=2,"1-2 Years",Table1[[#This Row],[YearsAtCompany]]&lt;=3,"2-3 Years",Table1[[#This Row],[YearsAtCompany]]&lt;=4,"3-4 Years",Table1[[#This Row],[YearsAtCompany]]&lt;=5,"4-5 Years",Table1[[#This Row],[YearsAtCompany]]&gt;5,"&gt;5 Years")</f>
        <v>&gt;5 Years</v>
      </c>
    </row>
    <row r="884" spans="1:39" hidden="1" x14ac:dyDescent="0.45">
      <c r="A884">
        <v>36</v>
      </c>
      <c r="B884" t="s">
        <v>43</v>
      </c>
      <c r="C884" t="s">
        <v>64</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_xlfn.IFS(Table1[[#This Row],[Age]]&lt;30,"Young",Table1[[#This Row],[Age]]&lt;=40,"Adult",Table1[[#This Row],[Age]]&gt;40,"Senior")</f>
        <v>Adult</v>
      </c>
      <c r="AK884" t="str" cm="1">
        <f t="array" ref="AK884">_xlfn.IFS(Table1[[#This Row],[MonthlyIncome]]&lt;5000,"Low",Table1[[#This Row],[MonthlyIncome]]&lt;10000,"Medium",Table1[[#This Row],[MonthlyIncome]]&gt;10000,"High")</f>
        <v>High</v>
      </c>
      <c r="AL884" t="str" cm="1">
        <f t="array" ref="AL884">_xlfn.IFS(Table1[[#This Row],[Attrition]]="Yes","Resigned",Table1[[#This Row],[Attrition]]="No","Active")</f>
        <v>Active</v>
      </c>
      <c r="AM884" t="str" cm="1">
        <f t="array" ref="AM884">_xlfn.IFS(Table1[[#This Row],[YearsAtCompany]]&lt;=1,"0-1 Year",Table1[[#This Row],[YearsAtCompany]]&lt;=2,"1-2 Years",Table1[[#This Row],[YearsAtCompany]]&lt;=3,"2-3 Years",Table1[[#This Row],[YearsAtCompany]]&lt;=4,"3-4 Years",Table1[[#This Row],[YearsAtCompany]]&lt;=5,"4-5 Years",Table1[[#This Row],[YearsAtCompany]]&gt;5,"&gt;5 Years")</f>
        <v>&gt;5 Years</v>
      </c>
    </row>
    <row r="885" spans="1:39" hidden="1" x14ac:dyDescent="0.45">
      <c r="A885">
        <v>33</v>
      </c>
      <c r="B885" t="s">
        <v>43</v>
      </c>
      <c r="C885" t="s">
        <v>64</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_xlfn.IFS(Table1[[#This Row],[Age]]&lt;30,"Young",Table1[[#This Row],[Age]]&lt;=40,"Adult",Table1[[#This Row],[Age]]&gt;40,"Senior")</f>
        <v>Adult</v>
      </c>
      <c r="AK885" t="str" cm="1">
        <f t="array" ref="AK885">_xlfn.IFS(Table1[[#This Row],[MonthlyIncome]]&lt;5000,"Low",Table1[[#This Row],[MonthlyIncome]]&lt;10000,"Medium",Table1[[#This Row],[MonthlyIncome]]&gt;10000,"High")</f>
        <v>Low</v>
      </c>
      <c r="AL885" t="str" cm="1">
        <f t="array" ref="AL885">_xlfn.IFS(Table1[[#This Row],[Attrition]]="Yes","Resigned",Table1[[#This Row],[Attrition]]="No","Active")</f>
        <v>Active</v>
      </c>
      <c r="AM885" t="str" cm="1">
        <f t="array" ref="AM885">_xlfn.IFS(Table1[[#This Row],[YearsAtCompany]]&lt;=1,"0-1 Year",Table1[[#This Row],[YearsAtCompany]]&lt;=2,"1-2 Years",Table1[[#This Row],[YearsAtCompany]]&lt;=3,"2-3 Years",Table1[[#This Row],[YearsAtCompany]]&lt;=4,"3-4 Years",Table1[[#This Row],[YearsAtCompany]]&lt;=5,"4-5 Years",Table1[[#This Row],[YearsAtCompany]]&gt;5,"&gt;5 Years")</f>
        <v>&gt;5 Years</v>
      </c>
    </row>
    <row r="886" spans="1:39" x14ac:dyDescent="0.45">
      <c r="A886">
        <v>40</v>
      </c>
      <c r="B886" t="s">
        <v>43</v>
      </c>
      <c r="C886" t="s">
        <v>64</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_xlfn.IFS(Table1[[#This Row],[Age]]&lt;30,"Young",Table1[[#This Row],[Age]]&lt;=40,"Adult",Table1[[#This Row],[Age]]&gt;40,"Senior")</f>
        <v>Adult</v>
      </c>
      <c r="AK886" t="str" cm="1">
        <f t="array" ref="AK886">_xlfn.IFS(Table1[[#This Row],[MonthlyIncome]]&lt;5000,"Low",Table1[[#This Row],[MonthlyIncome]]&lt;10000,"Medium",Table1[[#This Row],[MonthlyIncome]]&gt;10000,"High")</f>
        <v>Medium</v>
      </c>
      <c r="AL886" t="str" cm="1">
        <f t="array" ref="AL886">_xlfn.IFS(Table1[[#This Row],[Attrition]]="Yes","Resigned",Table1[[#This Row],[Attrition]]="No","Active")</f>
        <v>Active</v>
      </c>
      <c r="AM886" t="str" cm="1">
        <f t="array" ref="AM886">_xlfn.IFS(Table1[[#This Row],[YearsAtCompany]]&lt;=1,"0-1 Year",Table1[[#This Row],[YearsAtCompany]]&lt;=2,"1-2 Years",Table1[[#This Row],[YearsAtCompany]]&lt;=3,"2-3 Years",Table1[[#This Row],[YearsAtCompany]]&lt;=4,"3-4 Years",Table1[[#This Row],[YearsAtCompany]]&lt;=5,"4-5 Years",Table1[[#This Row],[YearsAtCompany]]&gt;5,"&gt;5 Years")</f>
        <v>4-5 Years</v>
      </c>
    </row>
    <row r="887" spans="1:39" x14ac:dyDescent="0.45">
      <c r="A887">
        <v>25</v>
      </c>
      <c r="B887" t="s">
        <v>43</v>
      </c>
      <c r="C887" t="s">
        <v>64</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_xlfn.IFS(Table1[[#This Row],[Age]]&lt;30,"Young",Table1[[#This Row],[Age]]&lt;=40,"Adult",Table1[[#This Row],[Age]]&gt;40,"Senior")</f>
        <v>Young</v>
      </c>
      <c r="AK887" t="str" cm="1">
        <f t="array" ref="AK887">_xlfn.IFS(Table1[[#This Row],[MonthlyIncome]]&lt;5000,"Low",Table1[[#This Row],[MonthlyIncome]]&lt;10000,"Medium",Table1[[#This Row],[MonthlyIncome]]&gt;10000,"High")</f>
        <v>Low</v>
      </c>
      <c r="AL887" t="str" cm="1">
        <f t="array" ref="AL887">_xlfn.IFS(Table1[[#This Row],[Attrition]]="Yes","Resigned",Table1[[#This Row],[Attrition]]="No","Active")</f>
        <v>Active</v>
      </c>
      <c r="AM887" t="str" cm="1">
        <f t="array" ref="AM887">_xlfn.IFS(Table1[[#This Row],[YearsAtCompany]]&lt;=1,"0-1 Year",Table1[[#This Row],[YearsAtCompany]]&lt;=2,"1-2 Years",Table1[[#This Row],[YearsAtCompany]]&lt;=3,"2-3 Years",Table1[[#This Row],[YearsAtCompany]]&lt;=4,"3-4 Years",Table1[[#This Row],[YearsAtCompany]]&lt;=5,"4-5 Years",Table1[[#This Row],[YearsAtCompany]]&gt;5,"&gt;5 Years")</f>
        <v>3-4 Years</v>
      </c>
    </row>
    <row r="888" spans="1:39" hidden="1" x14ac:dyDescent="0.45">
      <c r="A888">
        <v>30</v>
      </c>
      <c r="B888" t="s">
        <v>43</v>
      </c>
      <c r="C888" t="s">
        <v>64</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_xlfn.IFS(Table1[[#This Row],[Age]]&lt;30,"Young",Table1[[#This Row],[Age]]&lt;=40,"Adult",Table1[[#This Row],[Age]]&gt;40,"Senior")</f>
        <v>Adult</v>
      </c>
      <c r="AK888" t="str" cm="1">
        <f t="array" ref="AK888">_xlfn.IFS(Table1[[#This Row],[MonthlyIncome]]&lt;5000,"Low",Table1[[#This Row],[MonthlyIncome]]&lt;10000,"Medium",Table1[[#This Row],[MonthlyIncome]]&gt;10000,"High")</f>
        <v>Low</v>
      </c>
      <c r="AL888" t="str" cm="1">
        <f t="array" ref="AL888">_xlfn.IFS(Table1[[#This Row],[Attrition]]="Yes","Resigned",Table1[[#This Row],[Attrition]]="No","Active")</f>
        <v>Active</v>
      </c>
      <c r="AM888" t="str" cm="1">
        <f t="array" ref="AM888">_xlfn.IFS(Table1[[#This Row],[YearsAtCompany]]&lt;=1,"0-1 Year",Table1[[#This Row],[YearsAtCompany]]&lt;=2,"1-2 Years",Table1[[#This Row],[YearsAtCompany]]&lt;=3,"2-3 Years",Table1[[#This Row],[YearsAtCompany]]&lt;=4,"3-4 Years",Table1[[#This Row],[YearsAtCompany]]&lt;=5,"4-5 Years",Table1[[#This Row],[YearsAtCompany]]&gt;5,"&gt;5 Years")</f>
        <v>&gt;5 Years</v>
      </c>
    </row>
    <row r="889" spans="1:39" hidden="1" x14ac:dyDescent="0.45">
      <c r="A889">
        <v>42</v>
      </c>
      <c r="B889" t="s">
        <v>43</v>
      </c>
      <c r="C889" t="s">
        <v>63</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_xlfn.IFS(Table1[[#This Row],[Age]]&lt;30,"Young",Table1[[#This Row],[Age]]&lt;=40,"Adult",Table1[[#This Row],[Age]]&gt;40,"Senior")</f>
        <v>Senior</v>
      </c>
      <c r="AK889" t="str" cm="1">
        <f t="array" ref="AK889">_xlfn.IFS(Table1[[#This Row],[MonthlyIncome]]&lt;5000,"Low",Table1[[#This Row],[MonthlyIncome]]&lt;10000,"Medium",Table1[[#This Row],[MonthlyIncome]]&gt;10000,"High")</f>
        <v>High</v>
      </c>
      <c r="AL889" t="str" cm="1">
        <f t="array" ref="AL889">_xlfn.IFS(Table1[[#This Row],[Attrition]]="Yes","Resigned",Table1[[#This Row],[Attrition]]="No","Active")</f>
        <v>Active</v>
      </c>
      <c r="AM889" t="str" cm="1">
        <f t="array" ref="AM889">_xlfn.IFS(Table1[[#This Row],[YearsAtCompany]]&lt;=1,"0-1 Year",Table1[[#This Row],[YearsAtCompany]]&lt;=2,"1-2 Years",Table1[[#This Row],[YearsAtCompany]]&lt;=3,"2-3 Years",Table1[[#This Row],[YearsAtCompany]]&lt;=4,"3-4 Years",Table1[[#This Row],[YearsAtCompany]]&lt;=5,"4-5 Years",Table1[[#This Row],[YearsAtCompany]]&gt;5,"&gt;5 Years")</f>
        <v>0-1 Year</v>
      </c>
    </row>
    <row r="890" spans="1:39" x14ac:dyDescent="0.45">
      <c r="A890">
        <v>35</v>
      </c>
      <c r="B890" t="s">
        <v>43</v>
      </c>
      <c r="C890" t="s">
        <v>62</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_xlfn.IFS(Table1[[#This Row],[Age]]&lt;30,"Young",Table1[[#This Row],[Age]]&lt;=40,"Adult",Table1[[#This Row],[Age]]&gt;40,"Senior")</f>
        <v>Adult</v>
      </c>
      <c r="AK890" t="str" cm="1">
        <f t="array" ref="AK890">_xlfn.IFS(Table1[[#This Row],[MonthlyIncome]]&lt;5000,"Low",Table1[[#This Row],[MonthlyIncome]]&lt;10000,"Medium",Table1[[#This Row],[MonthlyIncome]]&gt;10000,"High")</f>
        <v>High</v>
      </c>
      <c r="AL890" t="str" cm="1">
        <f t="array" ref="AL890">_xlfn.IFS(Table1[[#This Row],[Attrition]]="Yes","Resigned",Table1[[#This Row],[Attrition]]="No","Active")</f>
        <v>Active</v>
      </c>
      <c r="AM890" t="str" cm="1">
        <f t="array" ref="AM890">_xlfn.IFS(Table1[[#This Row],[YearsAtCompany]]&lt;=1,"0-1 Year",Table1[[#This Row],[YearsAtCompany]]&lt;=2,"1-2 Years",Table1[[#This Row],[YearsAtCompany]]&lt;=3,"2-3 Years",Table1[[#This Row],[YearsAtCompany]]&lt;=4,"3-4 Years",Table1[[#This Row],[YearsAtCompany]]&lt;=5,"4-5 Years",Table1[[#This Row],[YearsAtCompany]]&gt;5,"&gt;5 Years")</f>
        <v>&gt;5 Years</v>
      </c>
    </row>
    <row r="891" spans="1:39" hidden="1" x14ac:dyDescent="0.45">
      <c r="A891">
        <v>27</v>
      </c>
      <c r="B891" t="s">
        <v>43</v>
      </c>
      <c r="C891" t="s">
        <v>64</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_xlfn.IFS(Table1[[#This Row],[Age]]&lt;30,"Young",Table1[[#This Row],[Age]]&lt;=40,"Adult",Table1[[#This Row],[Age]]&gt;40,"Senior")</f>
        <v>Young</v>
      </c>
      <c r="AK891" t="str" cm="1">
        <f t="array" ref="AK891">_xlfn.IFS(Table1[[#This Row],[MonthlyIncome]]&lt;5000,"Low",Table1[[#This Row],[MonthlyIncome]]&lt;10000,"Medium",Table1[[#This Row],[MonthlyIncome]]&gt;10000,"High")</f>
        <v>Low</v>
      </c>
      <c r="AL891" t="str" cm="1">
        <f t="array" ref="AL891">_xlfn.IFS(Table1[[#This Row],[Attrition]]="Yes","Resigned",Table1[[#This Row],[Attrition]]="No","Active")</f>
        <v>Active</v>
      </c>
      <c r="AM891" t="str" cm="1">
        <f t="array" ref="AM891">_xlfn.IFS(Table1[[#This Row],[YearsAtCompany]]&lt;=1,"0-1 Year",Table1[[#This Row],[YearsAtCompany]]&lt;=2,"1-2 Years",Table1[[#This Row],[YearsAtCompany]]&lt;=3,"2-3 Years",Table1[[#This Row],[YearsAtCompany]]&lt;=4,"3-4 Years",Table1[[#This Row],[YearsAtCompany]]&lt;=5,"4-5 Years",Table1[[#This Row],[YearsAtCompany]]&gt;5,"&gt;5 Years")</f>
        <v>&gt;5 Years</v>
      </c>
    </row>
    <row r="892" spans="1:39" hidden="1" x14ac:dyDescent="0.45">
      <c r="A892">
        <v>54</v>
      </c>
      <c r="B892" t="s">
        <v>43</v>
      </c>
      <c r="C892" t="s">
        <v>63</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_xlfn.IFS(Table1[[#This Row],[Age]]&lt;30,"Young",Table1[[#This Row],[Age]]&lt;=40,"Adult",Table1[[#This Row],[Age]]&gt;40,"Senior")</f>
        <v>Senior</v>
      </c>
      <c r="AK892" t="str" cm="1">
        <f t="array" ref="AK892">_xlfn.IFS(Table1[[#This Row],[MonthlyIncome]]&lt;5000,"Low",Table1[[#This Row],[MonthlyIncome]]&lt;10000,"Medium",Table1[[#This Row],[MonthlyIncome]]&gt;10000,"High")</f>
        <v>High</v>
      </c>
      <c r="AL892" t="str" cm="1">
        <f t="array" ref="AL892">_xlfn.IFS(Table1[[#This Row],[Attrition]]="Yes","Resigned",Table1[[#This Row],[Attrition]]="No","Active")</f>
        <v>Active</v>
      </c>
      <c r="AM892" t="str" cm="1">
        <f t="array" ref="AM892">_xlfn.IFS(Table1[[#This Row],[YearsAtCompany]]&lt;=1,"0-1 Year",Table1[[#This Row],[YearsAtCompany]]&lt;=2,"1-2 Years",Table1[[#This Row],[YearsAtCompany]]&lt;=3,"2-3 Years",Table1[[#This Row],[YearsAtCompany]]&lt;=4,"3-4 Years",Table1[[#This Row],[YearsAtCompany]]&lt;=5,"4-5 Years",Table1[[#This Row],[YearsAtCompany]]&gt;5,"&gt;5 Years")</f>
        <v>4-5 Years</v>
      </c>
    </row>
    <row r="893" spans="1:39" hidden="1" x14ac:dyDescent="0.45">
      <c r="A893">
        <v>44</v>
      </c>
      <c r="B893" t="s">
        <v>43</v>
      </c>
      <c r="C893" t="s">
        <v>64</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_xlfn.IFS(Table1[[#This Row],[Age]]&lt;30,"Young",Table1[[#This Row],[Age]]&lt;=40,"Adult",Table1[[#This Row],[Age]]&gt;40,"Senior")</f>
        <v>Senior</v>
      </c>
      <c r="AK893" t="str" cm="1">
        <f t="array" ref="AK893">_xlfn.IFS(Table1[[#This Row],[MonthlyIncome]]&lt;5000,"Low",Table1[[#This Row],[MonthlyIncome]]&lt;10000,"Medium",Table1[[#This Row],[MonthlyIncome]]&gt;10000,"High")</f>
        <v>Low</v>
      </c>
      <c r="AL893" t="str" cm="1">
        <f t="array" ref="AL893">_xlfn.IFS(Table1[[#This Row],[Attrition]]="Yes","Resigned",Table1[[#This Row],[Attrition]]="No","Active")</f>
        <v>Active</v>
      </c>
      <c r="AM893" t="str" cm="1">
        <f t="array" ref="AM893">_xlfn.IFS(Table1[[#This Row],[YearsAtCompany]]&lt;=1,"0-1 Year",Table1[[#This Row],[YearsAtCompany]]&lt;=2,"1-2 Years",Table1[[#This Row],[YearsAtCompany]]&lt;=3,"2-3 Years",Table1[[#This Row],[YearsAtCompany]]&lt;=4,"3-4 Years",Table1[[#This Row],[YearsAtCompany]]&lt;=5,"4-5 Years",Table1[[#This Row],[YearsAtCompany]]&gt;5,"&gt;5 Years")</f>
        <v>&gt;5 Years</v>
      </c>
    </row>
    <row r="894" spans="1:39" hidden="1" x14ac:dyDescent="0.45">
      <c r="A894">
        <v>19</v>
      </c>
      <c r="B894" t="s">
        <v>35</v>
      </c>
      <c r="C894" t="s">
        <v>62</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_xlfn.IFS(Table1[[#This Row],[Age]]&lt;30,"Young",Table1[[#This Row],[Age]]&lt;=40,"Adult",Table1[[#This Row],[Age]]&gt;40,"Senior")</f>
        <v>Young</v>
      </c>
      <c r="AK894" t="str" cm="1">
        <f t="array" ref="AK894">_xlfn.IFS(Table1[[#This Row],[MonthlyIncome]]&lt;5000,"Low",Table1[[#This Row],[MonthlyIncome]]&lt;10000,"Medium",Table1[[#This Row],[MonthlyIncome]]&gt;10000,"High")</f>
        <v>Low</v>
      </c>
      <c r="AL894" t="str" cm="1">
        <f t="array" ref="AL894">_xlfn.IFS(Table1[[#This Row],[Attrition]]="Yes","Resigned",Table1[[#This Row],[Attrition]]="No","Active")</f>
        <v>Resigned</v>
      </c>
      <c r="AM894" t="str" cm="1">
        <f t="array" ref="AM894">_xlfn.IFS(Table1[[#This Row],[YearsAtCompany]]&lt;=1,"0-1 Year",Table1[[#This Row],[YearsAtCompany]]&lt;=2,"1-2 Years",Table1[[#This Row],[YearsAtCompany]]&lt;=3,"2-3 Years",Table1[[#This Row],[YearsAtCompany]]&lt;=4,"3-4 Years",Table1[[#This Row],[YearsAtCompany]]&lt;=5,"4-5 Years",Table1[[#This Row],[YearsAtCompany]]&gt;5,"&gt;5 Years")</f>
        <v>0-1 Year</v>
      </c>
    </row>
    <row r="895" spans="1:39" hidden="1" x14ac:dyDescent="0.45">
      <c r="A895">
        <v>29</v>
      </c>
      <c r="B895" t="s">
        <v>43</v>
      </c>
      <c r="C895" t="s">
        <v>64</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_xlfn.IFS(Table1[[#This Row],[Age]]&lt;30,"Young",Table1[[#This Row],[Age]]&lt;=40,"Adult",Table1[[#This Row],[Age]]&gt;40,"Senior")</f>
        <v>Young</v>
      </c>
      <c r="AK895" t="str" cm="1">
        <f t="array" ref="AK895">_xlfn.IFS(Table1[[#This Row],[MonthlyIncome]]&lt;5000,"Low",Table1[[#This Row],[MonthlyIncome]]&lt;10000,"Medium",Table1[[#This Row],[MonthlyIncome]]&gt;10000,"High")</f>
        <v>Low</v>
      </c>
      <c r="AL895" t="str" cm="1">
        <f t="array" ref="AL895">_xlfn.IFS(Table1[[#This Row],[Attrition]]="Yes","Resigned",Table1[[#This Row],[Attrition]]="No","Active")</f>
        <v>Active</v>
      </c>
      <c r="AM895" t="str" cm="1">
        <f t="array" ref="AM895">_xlfn.IFS(Table1[[#This Row],[YearsAtCompany]]&lt;=1,"0-1 Year",Table1[[#This Row],[YearsAtCompany]]&lt;=2,"1-2 Years",Table1[[#This Row],[YearsAtCompany]]&lt;=3,"2-3 Years",Table1[[#This Row],[YearsAtCompany]]&lt;=4,"3-4 Years",Table1[[#This Row],[YearsAtCompany]]&lt;=5,"4-5 Years",Table1[[#This Row],[YearsAtCompany]]&gt;5,"&gt;5 Years")</f>
        <v>2-3 Years</v>
      </c>
    </row>
    <row r="896" spans="1:39" hidden="1" x14ac:dyDescent="0.45">
      <c r="A896">
        <v>54</v>
      </c>
      <c r="B896" t="s">
        <v>43</v>
      </c>
      <c r="C896" t="s">
        <v>64</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_xlfn.IFS(Table1[[#This Row],[Age]]&lt;30,"Young",Table1[[#This Row],[Age]]&lt;=40,"Adult",Table1[[#This Row],[Age]]&gt;40,"Senior")</f>
        <v>Senior</v>
      </c>
      <c r="AK896" t="str" cm="1">
        <f t="array" ref="AK896">_xlfn.IFS(Table1[[#This Row],[MonthlyIncome]]&lt;5000,"Low",Table1[[#This Row],[MonthlyIncome]]&lt;10000,"Medium",Table1[[#This Row],[MonthlyIncome]]&gt;10000,"High")</f>
        <v>High</v>
      </c>
      <c r="AL896" t="str" cm="1">
        <f t="array" ref="AL896">_xlfn.IFS(Table1[[#This Row],[Attrition]]="Yes","Resigned",Table1[[#This Row],[Attrition]]="No","Active")</f>
        <v>Active</v>
      </c>
      <c r="AM896" t="str" cm="1">
        <f t="array" ref="AM896">_xlfn.IFS(Table1[[#This Row],[YearsAtCompany]]&lt;=1,"0-1 Year",Table1[[#This Row],[YearsAtCompany]]&lt;=2,"1-2 Years",Table1[[#This Row],[YearsAtCompany]]&lt;=3,"2-3 Years",Table1[[#This Row],[YearsAtCompany]]&lt;=4,"3-4 Years",Table1[[#This Row],[YearsAtCompany]]&lt;=5,"4-5 Years",Table1[[#This Row],[YearsAtCompany]]&gt;5,"&gt;5 Years")</f>
        <v>&gt;5 Years</v>
      </c>
    </row>
    <row r="897" spans="1:39" hidden="1" x14ac:dyDescent="0.45">
      <c r="A897">
        <v>31</v>
      </c>
      <c r="B897" t="s">
        <v>43</v>
      </c>
      <c r="C897" t="s">
        <v>64</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_xlfn.IFS(Table1[[#This Row],[Age]]&lt;30,"Young",Table1[[#This Row],[Age]]&lt;=40,"Adult",Table1[[#This Row],[Age]]&gt;40,"Senior")</f>
        <v>Adult</v>
      </c>
      <c r="AK897" t="str" cm="1">
        <f t="array" ref="AK897">_xlfn.IFS(Table1[[#This Row],[MonthlyIncome]]&lt;5000,"Low",Table1[[#This Row],[MonthlyIncome]]&lt;10000,"Medium",Table1[[#This Row],[MonthlyIncome]]&gt;10000,"High")</f>
        <v>Medium</v>
      </c>
      <c r="AL897" t="str" cm="1">
        <f t="array" ref="AL897">_xlfn.IFS(Table1[[#This Row],[Attrition]]="Yes","Resigned",Table1[[#This Row],[Attrition]]="No","Active")</f>
        <v>Active</v>
      </c>
      <c r="AM897" t="str" cm="1">
        <f t="array" ref="AM897">_xlfn.IFS(Table1[[#This Row],[YearsAtCompany]]&lt;=1,"0-1 Year",Table1[[#This Row],[YearsAtCompany]]&lt;=2,"1-2 Years",Table1[[#This Row],[YearsAtCompany]]&lt;=3,"2-3 Years",Table1[[#This Row],[YearsAtCompany]]&lt;=4,"3-4 Years",Table1[[#This Row],[YearsAtCompany]]&lt;=5,"4-5 Years",Table1[[#This Row],[YearsAtCompany]]&gt;5,"&gt;5 Years")</f>
        <v>&gt;5 Years</v>
      </c>
    </row>
    <row r="898" spans="1:39" hidden="1" x14ac:dyDescent="0.45">
      <c r="A898">
        <v>31</v>
      </c>
      <c r="B898" t="s">
        <v>43</v>
      </c>
      <c r="C898" t="s">
        <v>64</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_xlfn.IFS(Table1[[#This Row],[Age]]&lt;30,"Young",Table1[[#This Row],[Age]]&lt;=40,"Adult",Table1[[#This Row],[Age]]&gt;40,"Senior")</f>
        <v>Adult</v>
      </c>
      <c r="AK898" t="str" cm="1">
        <f t="array" ref="AK898">_xlfn.IFS(Table1[[#This Row],[MonthlyIncome]]&lt;5000,"Low",Table1[[#This Row],[MonthlyIncome]]&lt;10000,"Medium",Table1[[#This Row],[MonthlyIncome]]&gt;10000,"High")</f>
        <v>Medium</v>
      </c>
      <c r="AL898" t="str" cm="1">
        <f t="array" ref="AL898">_xlfn.IFS(Table1[[#This Row],[Attrition]]="Yes","Resigned",Table1[[#This Row],[Attrition]]="No","Active")</f>
        <v>Active</v>
      </c>
      <c r="AM898" t="str" cm="1">
        <f t="array" ref="AM898">_xlfn.IFS(Table1[[#This Row],[YearsAtCompany]]&lt;=1,"0-1 Year",Table1[[#This Row],[YearsAtCompany]]&lt;=2,"1-2 Years",Table1[[#This Row],[YearsAtCompany]]&lt;=3,"2-3 Years",Table1[[#This Row],[YearsAtCompany]]&lt;=4,"3-4 Years",Table1[[#This Row],[YearsAtCompany]]&lt;=5,"4-5 Years",Table1[[#This Row],[YearsAtCompany]]&gt;5,"&gt;5 Years")</f>
        <v>&gt;5 Years</v>
      </c>
    </row>
    <row r="899" spans="1:39" x14ac:dyDescent="0.45">
      <c r="A899">
        <v>59</v>
      </c>
      <c r="B899" t="s">
        <v>43</v>
      </c>
      <c r="C899" t="s">
        <v>64</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_xlfn.IFS(Table1[[#This Row],[Age]]&lt;30,"Young",Table1[[#This Row],[Age]]&lt;=40,"Adult",Table1[[#This Row],[Age]]&gt;40,"Senior")</f>
        <v>Senior</v>
      </c>
      <c r="AK899" t="str" cm="1">
        <f t="array" ref="AK899">_xlfn.IFS(Table1[[#This Row],[MonthlyIncome]]&lt;5000,"Low",Table1[[#This Row],[MonthlyIncome]]&lt;10000,"Medium",Table1[[#This Row],[MonthlyIncome]]&gt;10000,"High")</f>
        <v>Medium</v>
      </c>
      <c r="AL899" t="str" cm="1">
        <f t="array" ref="AL899">_xlfn.IFS(Table1[[#This Row],[Attrition]]="Yes","Resigned",Table1[[#This Row],[Attrition]]="No","Active")</f>
        <v>Active</v>
      </c>
      <c r="AM899" t="str" cm="1">
        <f t="array" ref="AM899">_xlfn.IFS(Table1[[#This Row],[YearsAtCompany]]&lt;=1,"0-1 Year",Table1[[#This Row],[YearsAtCompany]]&lt;=2,"1-2 Years",Table1[[#This Row],[YearsAtCompany]]&lt;=3,"2-3 Years",Table1[[#This Row],[YearsAtCompany]]&lt;=4,"3-4 Years",Table1[[#This Row],[YearsAtCompany]]&lt;=5,"4-5 Years",Table1[[#This Row],[YearsAtCompany]]&gt;5,"&gt;5 Years")</f>
        <v>&gt;5 Years</v>
      </c>
    </row>
    <row r="900" spans="1:39" hidden="1" x14ac:dyDescent="0.45">
      <c r="A900">
        <v>43</v>
      </c>
      <c r="B900" t="s">
        <v>43</v>
      </c>
      <c r="C900" t="s">
        <v>64</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_xlfn.IFS(Table1[[#This Row],[Age]]&lt;30,"Young",Table1[[#This Row],[Age]]&lt;=40,"Adult",Table1[[#This Row],[Age]]&gt;40,"Senior")</f>
        <v>Senior</v>
      </c>
      <c r="AK900" t="str" cm="1">
        <f t="array" ref="AK900">_xlfn.IFS(Table1[[#This Row],[MonthlyIncome]]&lt;5000,"Low",Table1[[#This Row],[MonthlyIncome]]&lt;10000,"Medium",Table1[[#This Row],[MonthlyIncome]]&gt;10000,"High")</f>
        <v>High</v>
      </c>
      <c r="AL900" t="str" cm="1">
        <f t="array" ref="AL900">_xlfn.IFS(Table1[[#This Row],[Attrition]]="Yes","Resigned",Table1[[#This Row],[Attrition]]="No","Active")</f>
        <v>Active</v>
      </c>
      <c r="AM900" t="str" cm="1">
        <f t="array" ref="AM900">_xlfn.IFS(Table1[[#This Row],[YearsAtCompany]]&lt;=1,"0-1 Year",Table1[[#This Row],[YearsAtCompany]]&lt;=2,"1-2 Years",Table1[[#This Row],[YearsAtCompany]]&lt;=3,"2-3 Years",Table1[[#This Row],[YearsAtCompany]]&lt;=4,"3-4 Years",Table1[[#This Row],[YearsAtCompany]]&lt;=5,"4-5 Years",Table1[[#This Row],[YearsAtCompany]]&gt;5,"&gt;5 Years")</f>
        <v>&gt;5 Years</v>
      </c>
    </row>
    <row r="901" spans="1:39" hidden="1" x14ac:dyDescent="0.45">
      <c r="A901">
        <v>49</v>
      </c>
      <c r="B901" t="s">
        <v>43</v>
      </c>
      <c r="C901" t="s">
        <v>64</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_xlfn.IFS(Table1[[#This Row],[Age]]&lt;30,"Young",Table1[[#This Row],[Age]]&lt;=40,"Adult",Table1[[#This Row],[Age]]&gt;40,"Senior")</f>
        <v>Senior</v>
      </c>
      <c r="AK901" t="str" cm="1">
        <f t="array" ref="AK901">_xlfn.IFS(Table1[[#This Row],[MonthlyIncome]]&lt;5000,"Low",Table1[[#This Row],[MonthlyIncome]]&lt;10000,"Medium",Table1[[#This Row],[MonthlyIncome]]&gt;10000,"High")</f>
        <v>High</v>
      </c>
      <c r="AL901" t="str" cm="1">
        <f t="array" ref="AL901">_xlfn.IFS(Table1[[#This Row],[Attrition]]="Yes","Resigned",Table1[[#This Row],[Attrition]]="No","Active")</f>
        <v>Active</v>
      </c>
      <c r="AM901" t="str" cm="1">
        <f t="array" ref="AM901">_xlfn.IFS(Table1[[#This Row],[YearsAtCompany]]&lt;=1,"0-1 Year",Table1[[#This Row],[YearsAtCompany]]&lt;=2,"1-2 Years",Table1[[#This Row],[YearsAtCompany]]&lt;=3,"2-3 Years",Table1[[#This Row],[YearsAtCompany]]&lt;=4,"3-4 Years",Table1[[#This Row],[YearsAtCompany]]&lt;=5,"4-5 Years",Table1[[#This Row],[YearsAtCompany]]&gt;5,"&gt;5 Years")</f>
        <v>0-1 Year</v>
      </c>
    </row>
    <row r="902" spans="1:39" hidden="1" x14ac:dyDescent="0.45">
      <c r="A902">
        <v>36</v>
      </c>
      <c r="B902" t="s">
        <v>43</v>
      </c>
      <c r="C902" t="s">
        <v>63</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_xlfn.IFS(Table1[[#This Row],[Age]]&lt;30,"Young",Table1[[#This Row],[Age]]&lt;=40,"Adult",Table1[[#This Row],[Age]]&gt;40,"Senior")</f>
        <v>Adult</v>
      </c>
      <c r="AK902" t="str" cm="1">
        <f t="array" ref="AK902">_xlfn.IFS(Table1[[#This Row],[MonthlyIncome]]&lt;5000,"Low",Table1[[#This Row],[MonthlyIncome]]&lt;10000,"Medium",Table1[[#This Row],[MonthlyIncome]]&gt;10000,"High")</f>
        <v>Low</v>
      </c>
      <c r="AL902" t="str" cm="1">
        <f t="array" ref="AL902">_xlfn.IFS(Table1[[#This Row],[Attrition]]="Yes","Resigned",Table1[[#This Row],[Attrition]]="No","Active")</f>
        <v>Active</v>
      </c>
      <c r="AM902" t="str" cm="1">
        <f t="array" ref="AM902">_xlfn.IFS(Table1[[#This Row],[YearsAtCompany]]&lt;=1,"0-1 Year",Table1[[#This Row],[YearsAtCompany]]&lt;=2,"1-2 Years",Table1[[#This Row],[YearsAtCompany]]&lt;=3,"2-3 Years",Table1[[#This Row],[YearsAtCompany]]&lt;=4,"3-4 Years",Table1[[#This Row],[YearsAtCompany]]&lt;=5,"4-5 Years",Table1[[#This Row],[YearsAtCompany]]&gt;5,"&gt;5 Years")</f>
        <v>&gt;5 Years</v>
      </c>
    </row>
    <row r="903" spans="1:39" hidden="1" x14ac:dyDescent="0.45">
      <c r="A903">
        <v>48</v>
      </c>
      <c r="B903" t="s">
        <v>43</v>
      </c>
      <c r="C903" t="s">
        <v>64</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_xlfn.IFS(Table1[[#This Row],[Age]]&lt;30,"Young",Table1[[#This Row],[Age]]&lt;=40,"Adult",Table1[[#This Row],[Age]]&gt;40,"Senior")</f>
        <v>Senior</v>
      </c>
      <c r="AK903" t="str" cm="1">
        <f t="array" ref="AK903">_xlfn.IFS(Table1[[#This Row],[MonthlyIncome]]&lt;5000,"Low",Table1[[#This Row],[MonthlyIncome]]&lt;10000,"Medium",Table1[[#This Row],[MonthlyIncome]]&gt;10000,"High")</f>
        <v>Low</v>
      </c>
      <c r="AL903" t="str" cm="1">
        <f t="array" ref="AL903">_xlfn.IFS(Table1[[#This Row],[Attrition]]="Yes","Resigned",Table1[[#This Row],[Attrition]]="No","Active")</f>
        <v>Active</v>
      </c>
      <c r="AM903" t="str" cm="1">
        <f t="array" ref="AM903">_xlfn.IFS(Table1[[#This Row],[YearsAtCompany]]&lt;=1,"0-1 Year",Table1[[#This Row],[YearsAtCompany]]&lt;=2,"1-2 Years",Table1[[#This Row],[YearsAtCompany]]&lt;=3,"2-3 Years",Table1[[#This Row],[YearsAtCompany]]&lt;=4,"3-4 Years",Table1[[#This Row],[YearsAtCompany]]&lt;=5,"4-5 Years",Table1[[#This Row],[YearsAtCompany]]&gt;5,"&gt;5 Years")</f>
        <v>0-1 Year</v>
      </c>
    </row>
    <row r="904" spans="1:39" hidden="1" x14ac:dyDescent="0.45">
      <c r="A904">
        <v>27</v>
      </c>
      <c r="B904" t="s">
        <v>43</v>
      </c>
      <c r="C904" t="s">
        <v>64</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_xlfn.IFS(Table1[[#This Row],[Age]]&lt;30,"Young",Table1[[#This Row],[Age]]&lt;=40,"Adult",Table1[[#This Row],[Age]]&gt;40,"Senior")</f>
        <v>Young</v>
      </c>
      <c r="AK904" t="str" cm="1">
        <f t="array" ref="AK904">_xlfn.IFS(Table1[[#This Row],[MonthlyIncome]]&lt;5000,"Low",Table1[[#This Row],[MonthlyIncome]]&lt;10000,"Medium",Table1[[#This Row],[MonthlyIncome]]&gt;10000,"High")</f>
        <v>Low</v>
      </c>
      <c r="AL904" t="str" cm="1">
        <f t="array" ref="AL904">_xlfn.IFS(Table1[[#This Row],[Attrition]]="Yes","Resigned",Table1[[#This Row],[Attrition]]="No","Active")</f>
        <v>Active</v>
      </c>
      <c r="AM904" t="str" cm="1">
        <f t="array" ref="AM904">_xlfn.IFS(Table1[[#This Row],[YearsAtCompany]]&lt;=1,"0-1 Year",Table1[[#This Row],[YearsAtCompany]]&lt;=2,"1-2 Years",Table1[[#This Row],[YearsAtCompany]]&lt;=3,"2-3 Years",Table1[[#This Row],[YearsAtCompany]]&lt;=4,"3-4 Years",Table1[[#This Row],[YearsAtCompany]]&lt;=5,"4-5 Years",Table1[[#This Row],[YearsAtCompany]]&gt;5,"&gt;5 Years")</f>
        <v>4-5 Years</v>
      </c>
    </row>
    <row r="905" spans="1:39" hidden="1" x14ac:dyDescent="0.45">
      <c r="A905">
        <v>29</v>
      </c>
      <c r="B905" t="s">
        <v>43</v>
      </c>
      <c r="C905" t="s">
        <v>64</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_xlfn.IFS(Table1[[#This Row],[Age]]&lt;30,"Young",Table1[[#This Row],[Age]]&lt;=40,"Adult",Table1[[#This Row],[Age]]&gt;40,"Senior")</f>
        <v>Young</v>
      </c>
      <c r="AK905" t="str" cm="1">
        <f t="array" ref="AK905">_xlfn.IFS(Table1[[#This Row],[MonthlyIncome]]&lt;5000,"Low",Table1[[#This Row],[MonthlyIncome]]&lt;10000,"Medium",Table1[[#This Row],[MonthlyIncome]]&gt;10000,"High")</f>
        <v>Medium</v>
      </c>
      <c r="AL905" t="str" cm="1">
        <f t="array" ref="AL905">_xlfn.IFS(Table1[[#This Row],[Attrition]]="Yes","Resigned",Table1[[#This Row],[Attrition]]="No","Active")</f>
        <v>Active</v>
      </c>
      <c r="AM905" t="str" cm="1">
        <f t="array" ref="AM905">_xlfn.IFS(Table1[[#This Row],[YearsAtCompany]]&lt;=1,"0-1 Year",Table1[[#This Row],[YearsAtCompany]]&lt;=2,"1-2 Years",Table1[[#This Row],[YearsAtCompany]]&lt;=3,"2-3 Years",Table1[[#This Row],[YearsAtCompany]]&lt;=4,"3-4 Years",Table1[[#This Row],[YearsAtCompany]]&lt;=5,"4-5 Years",Table1[[#This Row],[YearsAtCompany]]&gt;5,"&gt;5 Years")</f>
        <v>&gt;5 Years</v>
      </c>
    </row>
    <row r="906" spans="1:39" hidden="1" x14ac:dyDescent="0.45">
      <c r="A906">
        <v>48</v>
      </c>
      <c r="B906" t="s">
        <v>43</v>
      </c>
      <c r="C906" t="s">
        <v>64</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_xlfn.IFS(Table1[[#This Row],[Age]]&lt;30,"Young",Table1[[#This Row],[Age]]&lt;=40,"Adult",Table1[[#This Row],[Age]]&gt;40,"Senior")</f>
        <v>Senior</v>
      </c>
      <c r="AK906" t="str" cm="1">
        <f t="array" ref="AK906">_xlfn.IFS(Table1[[#This Row],[MonthlyIncome]]&lt;5000,"Low",Table1[[#This Row],[MonthlyIncome]]&lt;10000,"Medium",Table1[[#This Row],[MonthlyIncome]]&gt;10000,"High")</f>
        <v>High</v>
      </c>
      <c r="AL906" t="str" cm="1">
        <f t="array" ref="AL906">_xlfn.IFS(Table1[[#This Row],[Attrition]]="Yes","Resigned",Table1[[#This Row],[Attrition]]="No","Active")</f>
        <v>Active</v>
      </c>
      <c r="AM906" t="str" cm="1">
        <f t="array" ref="AM906">_xlfn.IFS(Table1[[#This Row],[YearsAtCompany]]&lt;=1,"0-1 Year",Table1[[#This Row],[YearsAtCompany]]&lt;=2,"1-2 Years",Table1[[#This Row],[YearsAtCompany]]&lt;=3,"2-3 Years",Table1[[#This Row],[YearsAtCompany]]&lt;=4,"3-4 Years",Table1[[#This Row],[YearsAtCompany]]&lt;=5,"4-5 Years",Table1[[#This Row],[YearsAtCompany]]&gt;5,"&gt;5 Years")</f>
        <v>0-1 Year</v>
      </c>
    </row>
    <row r="907" spans="1:39" hidden="1" x14ac:dyDescent="0.45">
      <c r="A907">
        <v>29</v>
      </c>
      <c r="B907" t="s">
        <v>43</v>
      </c>
      <c r="C907" t="s">
        <v>64</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_xlfn.IFS(Table1[[#This Row],[Age]]&lt;30,"Young",Table1[[#This Row],[Age]]&lt;=40,"Adult",Table1[[#This Row],[Age]]&gt;40,"Senior")</f>
        <v>Young</v>
      </c>
      <c r="AK907" t="str" cm="1">
        <f t="array" ref="AK907">_xlfn.IFS(Table1[[#This Row],[MonthlyIncome]]&lt;5000,"Low",Table1[[#This Row],[MonthlyIncome]]&lt;10000,"Medium",Table1[[#This Row],[MonthlyIncome]]&gt;10000,"High")</f>
        <v>High</v>
      </c>
      <c r="AL907" t="str" cm="1">
        <f t="array" ref="AL907">_xlfn.IFS(Table1[[#This Row],[Attrition]]="Yes","Resigned",Table1[[#This Row],[Attrition]]="No","Active")</f>
        <v>Active</v>
      </c>
      <c r="AM907" t="str" cm="1">
        <f t="array" ref="AM907">_xlfn.IFS(Table1[[#This Row],[YearsAtCompany]]&lt;=1,"0-1 Year",Table1[[#This Row],[YearsAtCompany]]&lt;=2,"1-2 Years",Table1[[#This Row],[YearsAtCompany]]&lt;=3,"2-3 Years",Table1[[#This Row],[YearsAtCompany]]&lt;=4,"3-4 Years",Table1[[#This Row],[YearsAtCompany]]&lt;=5,"4-5 Years",Table1[[#This Row],[YearsAtCompany]]&gt;5,"&gt;5 Years")</f>
        <v>&gt;5 Years</v>
      </c>
    </row>
    <row r="908" spans="1:39" hidden="1" x14ac:dyDescent="0.45">
      <c r="A908">
        <v>34</v>
      </c>
      <c r="B908" t="s">
        <v>43</v>
      </c>
      <c r="C908" t="s">
        <v>64</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_xlfn.IFS(Table1[[#This Row],[Age]]&lt;30,"Young",Table1[[#This Row],[Age]]&lt;=40,"Adult",Table1[[#This Row],[Age]]&gt;40,"Senior")</f>
        <v>Adult</v>
      </c>
      <c r="AK908" t="str" cm="1">
        <f t="array" ref="AK908">_xlfn.IFS(Table1[[#This Row],[MonthlyIncome]]&lt;5000,"Low",Table1[[#This Row],[MonthlyIncome]]&lt;10000,"Medium",Table1[[#This Row],[MonthlyIncome]]&gt;10000,"High")</f>
        <v>Low</v>
      </c>
      <c r="AL908" t="str" cm="1">
        <f t="array" ref="AL908">_xlfn.IFS(Table1[[#This Row],[Attrition]]="Yes","Resigned",Table1[[#This Row],[Attrition]]="No","Active")</f>
        <v>Active</v>
      </c>
      <c r="AM908" t="str" cm="1">
        <f t="array" ref="AM908">_xlfn.IFS(Table1[[#This Row],[YearsAtCompany]]&lt;=1,"0-1 Year",Table1[[#This Row],[YearsAtCompany]]&lt;=2,"1-2 Years",Table1[[#This Row],[YearsAtCompany]]&lt;=3,"2-3 Years",Table1[[#This Row],[YearsAtCompany]]&lt;=4,"3-4 Years",Table1[[#This Row],[YearsAtCompany]]&lt;=5,"4-5 Years",Table1[[#This Row],[YearsAtCompany]]&gt;5,"&gt;5 Years")</f>
        <v>0-1 Year</v>
      </c>
    </row>
    <row r="909" spans="1:39" x14ac:dyDescent="0.45">
      <c r="A909">
        <v>44</v>
      </c>
      <c r="B909" t="s">
        <v>43</v>
      </c>
      <c r="C909" t="s">
        <v>64</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_xlfn.IFS(Table1[[#This Row],[Age]]&lt;30,"Young",Table1[[#This Row],[Age]]&lt;=40,"Adult",Table1[[#This Row],[Age]]&gt;40,"Senior")</f>
        <v>Senior</v>
      </c>
      <c r="AK909" t="str" cm="1">
        <f t="array" ref="AK909">_xlfn.IFS(Table1[[#This Row],[MonthlyIncome]]&lt;5000,"Low",Table1[[#This Row],[MonthlyIncome]]&lt;10000,"Medium",Table1[[#This Row],[MonthlyIncome]]&gt;10000,"High")</f>
        <v>High</v>
      </c>
      <c r="AL909" t="str" cm="1">
        <f t="array" ref="AL909">_xlfn.IFS(Table1[[#This Row],[Attrition]]="Yes","Resigned",Table1[[#This Row],[Attrition]]="No","Active")</f>
        <v>Active</v>
      </c>
      <c r="AM909" t="str" cm="1">
        <f t="array" ref="AM909">_xlfn.IFS(Table1[[#This Row],[YearsAtCompany]]&lt;=1,"0-1 Year",Table1[[#This Row],[YearsAtCompany]]&lt;=2,"1-2 Years",Table1[[#This Row],[YearsAtCompany]]&lt;=3,"2-3 Years",Table1[[#This Row],[YearsAtCompany]]&lt;=4,"3-4 Years",Table1[[#This Row],[YearsAtCompany]]&lt;=5,"4-5 Years",Table1[[#This Row],[YearsAtCompany]]&gt;5,"&gt;5 Years")</f>
        <v>&gt;5 Years</v>
      </c>
    </row>
    <row r="910" spans="1:39" x14ac:dyDescent="0.45">
      <c r="A910">
        <v>33</v>
      </c>
      <c r="B910" t="s">
        <v>43</v>
      </c>
      <c r="C910" t="s">
        <v>64</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_xlfn.IFS(Table1[[#This Row],[Age]]&lt;30,"Young",Table1[[#This Row],[Age]]&lt;=40,"Adult",Table1[[#This Row],[Age]]&gt;40,"Senior")</f>
        <v>Adult</v>
      </c>
      <c r="AK910" t="str" cm="1">
        <f t="array" ref="AK910">_xlfn.IFS(Table1[[#This Row],[MonthlyIncome]]&lt;5000,"Low",Table1[[#This Row],[MonthlyIncome]]&lt;10000,"Medium",Table1[[#This Row],[MonthlyIncome]]&gt;10000,"High")</f>
        <v>Medium</v>
      </c>
      <c r="AL910" t="str" cm="1">
        <f t="array" ref="AL910">_xlfn.IFS(Table1[[#This Row],[Attrition]]="Yes","Resigned",Table1[[#This Row],[Attrition]]="No","Active")</f>
        <v>Active</v>
      </c>
      <c r="AM910" t="str" cm="1">
        <f t="array" ref="AM910">_xlfn.IFS(Table1[[#This Row],[YearsAtCompany]]&lt;=1,"0-1 Year",Table1[[#This Row],[YearsAtCompany]]&lt;=2,"1-2 Years",Table1[[#This Row],[YearsAtCompany]]&lt;=3,"2-3 Years",Table1[[#This Row],[YearsAtCompany]]&lt;=4,"3-4 Years",Table1[[#This Row],[YearsAtCompany]]&lt;=5,"4-5 Years",Table1[[#This Row],[YearsAtCompany]]&gt;5,"&gt;5 Years")</f>
        <v>&gt;5 Years</v>
      </c>
    </row>
    <row r="911" spans="1:39" hidden="1" x14ac:dyDescent="0.45">
      <c r="A911">
        <v>19</v>
      </c>
      <c r="B911" t="s">
        <v>43</v>
      </c>
      <c r="C911" t="s">
        <v>64</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_xlfn.IFS(Table1[[#This Row],[Age]]&lt;30,"Young",Table1[[#This Row],[Age]]&lt;=40,"Adult",Table1[[#This Row],[Age]]&gt;40,"Senior")</f>
        <v>Young</v>
      </c>
      <c r="AK911" t="str" cm="1">
        <f t="array" ref="AK911">_xlfn.IFS(Table1[[#This Row],[MonthlyIncome]]&lt;5000,"Low",Table1[[#This Row],[MonthlyIncome]]&lt;10000,"Medium",Table1[[#This Row],[MonthlyIncome]]&gt;10000,"High")</f>
        <v>Low</v>
      </c>
      <c r="AL911" t="str" cm="1">
        <f t="array" ref="AL911">_xlfn.IFS(Table1[[#This Row],[Attrition]]="Yes","Resigned",Table1[[#This Row],[Attrition]]="No","Active")</f>
        <v>Active</v>
      </c>
      <c r="AM911" t="str" cm="1">
        <f t="array" ref="AM911">_xlfn.IFS(Table1[[#This Row],[YearsAtCompany]]&lt;=1,"0-1 Year",Table1[[#This Row],[YearsAtCompany]]&lt;=2,"1-2 Years",Table1[[#This Row],[YearsAtCompany]]&lt;=3,"2-3 Years",Table1[[#This Row],[YearsAtCompany]]&lt;=4,"3-4 Years",Table1[[#This Row],[YearsAtCompany]]&lt;=5,"4-5 Years",Table1[[#This Row],[YearsAtCompany]]&gt;5,"&gt;5 Years")</f>
        <v>0-1 Year</v>
      </c>
    </row>
    <row r="912" spans="1:39" hidden="1" x14ac:dyDescent="0.45">
      <c r="A912">
        <v>23</v>
      </c>
      <c r="B912" t="s">
        <v>43</v>
      </c>
      <c r="C912" t="s">
        <v>64</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_xlfn.IFS(Table1[[#This Row],[Age]]&lt;30,"Young",Table1[[#This Row],[Age]]&lt;=40,"Adult",Table1[[#This Row],[Age]]&gt;40,"Senior")</f>
        <v>Young</v>
      </c>
      <c r="AK912" t="str" cm="1">
        <f t="array" ref="AK912">_xlfn.IFS(Table1[[#This Row],[MonthlyIncome]]&lt;5000,"Low",Table1[[#This Row],[MonthlyIncome]]&lt;10000,"Medium",Table1[[#This Row],[MonthlyIncome]]&gt;10000,"High")</f>
        <v>Low</v>
      </c>
      <c r="AL912" t="str" cm="1">
        <f t="array" ref="AL912">_xlfn.IFS(Table1[[#This Row],[Attrition]]="Yes","Resigned",Table1[[#This Row],[Attrition]]="No","Active")</f>
        <v>Active</v>
      </c>
      <c r="AM912" t="str" cm="1">
        <f t="array" ref="AM912">_xlfn.IFS(Table1[[#This Row],[YearsAtCompany]]&lt;=1,"0-1 Year",Table1[[#This Row],[YearsAtCompany]]&lt;=2,"1-2 Years",Table1[[#This Row],[YearsAtCompany]]&lt;=3,"2-3 Years",Table1[[#This Row],[YearsAtCompany]]&lt;=4,"3-4 Years",Table1[[#This Row],[YearsAtCompany]]&lt;=5,"4-5 Years",Table1[[#This Row],[YearsAtCompany]]&gt;5,"&gt;5 Years")</f>
        <v>0-1 Year</v>
      </c>
    </row>
    <row r="913" spans="1:39" x14ac:dyDescent="0.45">
      <c r="A913">
        <v>25</v>
      </c>
      <c r="B913" t="s">
        <v>35</v>
      </c>
      <c r="C913" t="s">
        <v>63</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_xlfn.IFS(Table1[[#This Row],[Age]]&lt;30,"Young",Table1[[#This Row],[Age]]&lt;=40,"Adult",Table1[[#This Row],[Age]]&gt;40,"Senior")</f>
        <v>Young</v>
      </c>
      <c r="AK913" t="str" cm="1">
        <f t="array" ref="AK913">_xlfn.IFS(Table1[[#This Row],[MonthlyIncome]]&lt;5000,"Low",Table1[[#This Row],[MonthlyIncome]]&lt;10000,"Medium",Table1[[#This Row],[MonthlyIncome]]&gt;10000,"High")</f>
        <v>Low</v>
      </c>
      <c r="AL913" t="str" cm="1">
        <f t="array" ref="AL913">_xlfn.IFS(Table1[[#This Row],[Attrition]]="Yes","Resigned",Table1[[#This Row],[Attrition]]="No","Active")</f>
        <v>Resigned</v>
      </c>
      <c r="AM913" t="str" cm="1">
        <f t="array" ref="AM913">_xlfn.IFS(Table1[[#This Row],[YearsAtCompany]]&lt;=1,"0-1 Year",Table1[[#This Row],[YearsAtCompany]]&lt;=2,"1-2 Years",Table1[[#This Row],[YearsAtCompany]]&lt;=3,"2-3 Years",Table1[[#This Row],[YearsAtCompany]]&lt;=4,"3-4 Years",Table1[[#This Row],[YearsAtCompany]]&lt;=5,"4-5 Years",Table1[[#This Row],[YearsAtCompany]]&gt;5,"&gt;5 Years")</f>
        <v>0-1 Year</v>
      </c>
    </row>
    <row r="914" spans="1:39" hidden="1" x14ac:dyDescent="0.45">
      <c r="A914">
        <v>26</v>
      </c>
      <c r="B914" t="s">
        <v>43</v>
      </c>
      <c r="C914" t="s">
        <v>64</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_xlfn.IFS(Table1[[#This Row],[Age]]&lt;30,"Young",Table1[[#This Row],[Age]]&lt;=40,"Adult",Table1[[#This Row],[Age]]&gt;40,"Senior")</f>
        <v>Young</v>
      </c>
      <c r="AK914" t="str" cm="1">
        <f t="array" ref="AK914">_xlfn.IFS(Table1[[#This Row],[MonthlyIncome]]&lt;5000,"Low",Table1[[#This Row],[MonthlyIncome]]&lt;10000,"Medium",Table1[[#This Row],[MonthlyIncome]]&gt;10000,"High")</f>
        <v>Low</v>
      </c>
      <c r="AL914" t="str" cm="1">
        <f t="array" ref="AL914">_xlfn.IFS(Table1[[#This Row],[Attrition]]="Yes","Resigned",Table1[[#This Row],[Attrition]]="No","Active")</f>
        <v>Active</v>
      </c>
      <c r="AM914" t="str" cm="1">
        <f t="array" ref="AM914">_xlfn.IFS(Table1[[#This Row],[YearsAtCompany]]&lt;=1,"0-1 Year",Table1[[#This Row],[YearsAtCompany]]&lt;=2,"1-2 Years",Table1[[#This Row],[YearsAtCompany]]&lt;=3,"2-3 Years",Table1[[#This Row],[YearsAtCompany]]&lt;=4,"3-4 Years",Table1[[#This Row],[YearsAtCompany]]&lt;=5,"4-5 Years",Table1[[#This Row],[YearsAtCompany]]&gt;5,"&gt;5 Years")</f>
        <v>&gt;5 Years</v>
      </c>
    </row>
    <row r="915" spans="1:39" x14ac:dyDescent="0.45">
      <c r="A915">
        <v>45</v>
      </c>
      <c r="B915" t="s">
        <v>35</v>
      </c>
      <c r="C915" t="s">
        <v>64</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_xlfn.IFS(Table1[[#This Row],[Age]]&lt;30,"Young",Table1[[#This Row],[Age]]&lt;=40,"Adult",Table1[[#This Row],[Age]]&gt;40,"Senior")</f>
        <v>Senior</v>
      </c>
      <c r="AK915" t="str" cm="1">
        <f t="array" ref="AK915">_xlfn.IFS(Table1[[#This Row],[MonthlyIncome]]&lt;5000,"Low",Table1[[#This Row],[MonthlyIncome]]&lt;10000,"Medium",Table1[[#This Row],[MonthlyIncome]]&gt;10000,"High")</f>
        <v>High</v>
      </c>
      <c r="AL915" t="str" cm="1">
        <f t="array" ref="AL915">_xlfn.IFS(Table1[[#This Row],[Attrition]]="Yes","Resigned",Table1[[#This Row],[Attrition]]="No","Active")</f>
        <v>Resigned</v>
      </c>
      <c r="AM915" t="str" cm="1">
        <f t="array" ref="AM915">_xlfn.IFS(Table1[[#This Row],[YearsAtCompany]]&lt;=1,"0-1 Year",Table1[[#This Row],[YearsAtCompany]]&lt;=2,"1-2 Years",Table1[[#This Row],[YearsAtCompany]]&lt;=3,"2-3 Years",Table1[[#This Row],[YearsAtCompany]]&lt;=4,"3-4 Years",Table1[[#This Row],[YearsAtCompany]]&lt;=5,"4-5 Years",Table1[[#This Row],[YearsAtCompany]]&gt;5,"&gt;5 Years")</f>
        <v>&gt;5 Years</v>
      </c>
    </row>
    <row r="916" spans="1:39" hidden="1" x14ac:dyDescent="0.45">
      <c r="A916">
        <v>55</v>
      </c>
      <c r="B916" t="s">
        <v>43</v>
      </c>
      <c r="C916" t="s">
        <v>62</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_xlfn.IFS(Table1[[#This Row],[Age]]&lt;30,"Young",Table1[[#This Row],[Age]]&lt;=40,"Adult",Table1[[#This Row],[Age]]&gt;40,"Senior")</f>
        <v>Senior</v>
      </c>
      <c r="AK916" t="str" cm="1">
        <f t="array" ref="AK916">_xlfn.IFS(Table1[[#This Row],[MonthlyIncome]]&lt;5000,"Low",Table1[[#This Row],[MonthlyIncome]]&lt;10000,"Medium",Table1[[#This Row],[MonthlyIncome]]&gt;10000,"High")</f>
        <v>High</v>
      </c>
      <c r="AL916" t="str" cm="1">
        <f t="array" ref="AL916">_xlfn.IFS(Table1[[#This Row],[Attrition]]="Yes","Resigned",Table1[[#This Row],[Attrition]]="No","Active")</f>
        <v>Active</v>
      </c>
      <c r="AM916" t="str" cm="1">
        <f t="array" ref="AM916">_xlfn.IFS(Table1[[#This Row],[YearsAtCompany]]&lt;=1,"0-1 Year",Table1[[#This Row],[YearsAtCompany]]&lt;=2,"1-2 Years",Table1[[#This Row],[YearsAtCompany]]&lt;=3,"2-3 Years",Table1[[#This Row],[YearsAtCompany]]&lt;=4,"3-4 Years",Table1[[#This Row],[YearsAtCompany]]&lt;=5,"4-5 Years",Table1[[#This Row],[YearsAtCompany]]&gt;5,"&gt;5 Years")</f>
        <v>&gt;5 Years</v>
      </c>
    </row>
    <row r="917" spans="1:39" hidden="1" x14ac:dyDescent="0.45">
      <c r="A917">
        <v>21</v>
      </c>
      <c r="B917" t="s">
        <v>35</v>
      </c>
      <c r="C917" t="s">
        <v>63</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_xlfn.IFS(Table1[[#This Row],[Age]]&lt;30,"Young",Table1[[#This Row],[Age]]&lt;=40,"Adult",Table1[[#This Row],[Age]]&gt;40,"Senior")</f>
        <v>Young</v>
      </c>
      <c r="AK917" t="str" cm="1">
        <f t="array" ref="AK917">_xlfn.IFS(Table1[[#This Row],[MonthlyIncome]]&lt;5000,"Low",Table1[[#This Row],[MonthlyIncome]]&lt;10000,"Medium",Table1[[#This Row],[MonthlyIncome]]&gt;10000,"High")</f>
        <v>Low</v>
      </c>
      <c r="AL917" t="str" cm="1">
        <f t="array" ref="AL917">_xlfn.IFS(Table1[[#This Row],[Attrition]]="Yes","Resigned",Table1[[#This Row],[Attrition]]="No","Active")</f>
        <v>Resigned</v>
      </c>
      <c r="AM917" t="str" cm="1">
        <f t="array" ref="AM917">_xlfn.IFS(Table1[[#This Row],[YearsAtCompany]]&lt;=1,"0-1 Year",Table1[[#This Row],[YearsAtCompany]]&lt;=2,"1-2 Years",Table1[[#This Row],[YearsAtCompany]]&lt;=3,"2-3 Years",Table1[[#This Row],[YearsAtCompany]]&lt;=4,"3-4 Years",Table1[[#This Row],[YearsAtCompany]]&lt;=5,"4-5 Years",Table1[[#This Row],[YearsAtCompany]]&gt;5,"&gt;5 Years")</f>
        <v>1-2 Years</v>
      </c>
    </row>
    <row r="918" spans="1:39" x14ac:dyDescent="0.45">
      <c r="A918">
        <v>46</v>
      </c>
      <c r="B918" t="s">
        <v>43</v>
      </c>
      <c r="C918" t="s">
        <v>64</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_xlfn.IFS(Table1[[#This Row],[Age]]&lt;30,"Young",Table1[[#This Row],[Age]]&lt;=40,"Adult",Table1[[#This Row],[Age]]&gt;40,"Senior")</f>
        <v>Senior</v>
      </c>
      <c r="AK918" t="str" cm="1">
        <f t="array" ref="AK918">_xlfn.IFS(Table1[[#This Row],[MonthlyIncome]]&lt;5000,"Low",Table1[[#This Row],[MonthlyIncome]]&lt;10000,"Medium",Table1[[#This Row],[MonthlyIncome]]&gt;10000,"High")</f>
        <v>High</v>
      </c>
      <c r="AL918" t="str" cm="1">
        <f t="array" ref="AL918">_xlfn.IFS(Table1[[#This Row],[Attrition]]="Yes","Resigned",Table1[[#This Row],[Attrition]]="No","Active")</f>
        <v>Active</v>
      </c>
      <c r="AM918" t="str" cm="1">
        <f t="array" ref="AM918">_xlfn.IFS(Table1[[#This Row],[YearsAtCompany]]&lt;=1,"0-1 Year",Table1[[#This Row],[YearsAtCompany]]&lt;=2,"1-2 Years",Table1[[#This Row],[YearsAtCompany]]&lt;=3,"2-3 Years",Table1[[#This Row],[YearsAtCompany]]&lt;=4,"3-4 Years",Table1[[#This Row],[YearsAtCompany]]&lt;=5,"4-5 Years",Table1[[#This Row],[YearsAtCompany]]&gt;5,"&gt;5 Years")</f>
        <v>&gt;5 Years</v>
      </c>
    </row>
    <row r="919" spans="1:39" x14ac:dyDescent="0.45">
      <c r="A919">
        <v>34</v>
      </c>
      <c r="B919" t="s">
        <v>43</v>
      </c>
      <c r="C919" t="s">
        <v>64</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_xlfn.IFS(Table1[[#This Row],[Age]]&lt;30,"Young",Table1[[#This Row],[Age]]&lt;=40,"Adult",Table1[[#This Row],[Age]]&gt;40,"Senior")</f>
        <v>Adult</v>
      </c>
      <c r="AK919" t="str" cm="1">
        <f t="array" ref="AK919">_xlfn.IFS(Table1[[#This Row],[MonthlyIncome]]&lt;5000,"Low",Table1[[#This Row],[MonthlyIncome]]&lt;10000,"Medium",Table1[[#This Row],[MonthlyIncome]]&gt;10000,"High")</f>
        <v>Low</v>
      </c>
      <c r="AL919" t="str" cm="1">
        <f t="array" ref="AL919">_xlfn.IFS(Table1[[#This Row],[Attrition]]="Yes","Resigned",Table1[[#This Row],[Attrition]]="No","Active")</f>
        <v>Active</v>
      </c>
      <c r="AM919" t="str" cm="1">
        <f t="array" ref="AM919">_xlfn.IFS(Table1[[#This Row],[YearsAtCompany]]&lt;=1,"0-1 Year",Table1[[#This Row],[YearsAtCompany]]&lt;=2,"1-2 Years",Table1[[#This Row],[YearsAtCompany]]&lt;=3,"2-3 Years",Table1[[#This Row],[YearsAtCompany]]&lt;=4,"3-4 Years",Table1[[#This Row],[YearsAtCompany]]&lt;=5,"4-5 Years",Table1[[#This Row],[YearsAtCompany]]&gt;5,"&gt;5 Years")</f>
        <v>2-3 Years</v>
      </c>
    </row>
    <row r="920" spans="1:39" x14ac:dyDescent="0.45">
      <c r="A920">
        <v>51</v>
      </c>
      <c r="B920" t="s">
        <v>43</v>
      </c>
      <c r="C920" t="s">
        <v>63</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_xlfn.IFS(Table1[[#This Row],[Age]]&lt;30,"Young",Table1[[#This Row],[Age]]&lt;=40,"Adult",Table1[[#This Row],[Age]]&gt;40,"Senior")</f>
        <v>Senior</v>
      </c>
      <c r="AK920" t="str" cm="1">
        <f t="array" ref="AK920">_xlfn.IFS(Table1[[#This Row],[MonthlyIncome]]&lt;5000,"Low",Table1[[#This Row],[MonthlyIncome]]&lt;10000,"Medium",Table1[[#This Row],[MonthlyIncome]]&gt;10000,"High")</f>
        <v>High</v>
      </c>
      <c r="AL920" t="str" cm="1">
        <f t="array" ref="AL920">_xlfn.IFS(Table1[[#This Row],[Attrition]]="Yes","Resigned",Table1[[#This Row],[Attrition]]="No","Active")</f>
        <v>Active</v>
      </c>
      <c r="AM920" t="str" cm="1">
        <f t="array" ref="AM920">_xlfn.IFS(Table1[[#This Row],[YearsAtCompany]]&lt;=1,"0-1 Year",Table1[[#This Row],[YearsAtCompany]]&lt;=2,"1-2 Years",Table1[[#This Row],[YearsAtCompany]]&lt;=3,"2-3 Years",Table1[[#This Row],[YearsAtCompany]]&lt;=4,"3-4 Years",Table1[[#This Row],[YearsAtCompany]]&lt;=5,"4-5 Years",Table1[[#This Row],[YearsAtCompany]]&gt;5,"&gt;5 Years")</f>
        <v>&gt;5 Years</v>
      </c>
    </row>
    <row r="921" spans="1:39" hidden="1" x14ac:dyDescent="0.45">
      <c r="A921">
        <v>59</v>
      </c>
      <c r="B921" t="s">
        <v>43</v>
      </c>
      <c r="C921" t="s">
        <v>64</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_xlfn.IFS(Table1[[#This Row],[Age]]&lt;30,"Young",Table1[[#This Row],[Age]]&lt;=40,"Adult",Table1[[#This Row],[Age]]&gt;40,"Senior")</f>
        <v>Senior</v>
      </c>
      <c r="AK921" t="str" cm="1">
        <f t="array" ref="AK921">_xlfn.IFS(Table1[[#This Row],[MonthlyIncome]]&lt;5000,"Low",Table1[[#This Row],[MonthlyIncome]]&lt;10000,"Medium",Table1[[#This Row],[MonthlyIncome]]&gt;10000,"High")</f>
        <v>High</v>
      </c>
      <c r="AL921" t="str" cm="1">
        <f t="array" ref="AL921">_xlfn.IFS(Table1[[#This Row],[Attrition]]="Yes","Resigned",Table1[[#This Row],[Attrition]]="No","Active")</f>
        <v>Active</v>
      </c>
      <c r="AM921" t="str" cm="1">
        <f t="array" ref="AM921">_xlfn.IFS(Table1[[#This Row],[YearsAtCompany]]&lt;=1,"0-1 Year",Table1[[#This Row],[YearsAtCompany]]&lt;=2,"1-2 Years",Table1[[#This Row],[YearsAtCompany]]&lt;=3,"2-3 Years",Table1[[#This Row],[YearsAtCompany]]&lt;=4,"3-4 Years",Table1[[#This Row],[YearsAtCompany]]&lt;=5,"4-5 Years",Table1[[#This Row],[YearsAtCompany]]&gt;5,"&gt;5 Years")</f>
        <v>&gt;5 Years</v>
      </c>
    </row>
    <row r="922" spans="1:39" hidden="1" x14ac:dyDescent="0.45">
      <c r="A922">
        <v>34</v>
      </c>
      <c r="B922" t="s">
        <v>43</v>
      </c>
      <c r="C922" t="s">
        <v>63</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_xlfn.IFS(Table1[[#This Row],[Age]]&lt;30,"Young",Table1[[#This Row],[Age]]&lt;=40,"Adult",Table1[[#This Row],[Age]]&gt;40,"Senior")</f>
        <v>Adult</v>
      </c>
      <c r="AK922" t="str" cm="1">
        <f t="array" ref="AK922">_xlfn.IFS(Table1[[#This Row],[MonthlyIncome]]&lt;5000,"Low",Table1[[#This Row],[MonthlyIncome]]&lt;10000,"Medium",Table1[[#This Row],[MonthlyIncome]]&gt;10000,"High")</f>
        <v>Low</v>
      </c>
      <c r="AL922" t="str" cm="1">
        <f t="array" ref="AL922">_xlfn.IFS(Table1[[#This Row],[Attrition]]="Yes","Resigned",Table1[[#This Row],[Attrition]]="No","Active")</f>
        <v>Active</v>
      </c>
      <c r="AM922" t="str" cm="1">
        <f t="array" ref="AM922">_xlfn.IFS(Table1[[#This Row],[YearsAtCompany]]&lt;=1,"0-1 Year",Table1[[#This Row],[YearsAtCompany]]&lt;=2,"1-2 Years",Table1[[#This Row],[YearsAtCompany]]&lt;=3,"2-3 Years",Table1[[#This Row],[YearsAtCompany]]&lt;=4,"3-4 Years",Table1[[#This Row],[YearsAtCompany]]&lt;=5,"4-5 Years",Table1[[#This Row],[YearsAtCompany]]&gt;5,"&gt;5 Years")</f>
        <v>&gt;5 Years</v>
      </c>
    </row>
    <row r="923" spans="1:39" hidden="1" x14ac:dyDescent="0.45">
      <c r="A923">
        <v>28</v>
      </c>
      <c r="B923" t="s">
        <v>43</v>
      </c>
      <c r="C923" t="s">
        <v>63</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_xlfn.IFS(Table1[[#This Row],[Age]]&lt;30,"Young",Table1[[#This Row],[Age]]&lt;=40,"Adult",Table1[[#This Row],[Age]]&gt;40,"Senior")</f>
        <v>Young</v>
      </c>
      <c r="AK923" t="str" cm="1">
        <f t="array" ref="AK923">_xlfn.IFS(Table1[[#This Row],[MonthlyIncome]]&lt;5000,"Low",Table1[[#This Row],[MonthlyIncome]]&lt;10000,"Medium",Table1[[#This Row],[MonthlyIncome]]&gt;10000,"High")</f>
        <v>Low</v>
      </c>
      <c r="AL923" t="str" cm="1">
        <f t="array" ref="AL923">_xlfn.IFS(Table1[[#This Row],[Attrition]]="Yes","Resigned",Table1[[#This Row],[Attrition]]="No","Active")</f>
        <v>Active</v>
      </c>
      <c r="AM923" t="str" cm="1">
        <f t="array" ref="AM923">_xlfn.IFS(Table1[[#This Row],[YearsAtCompany]]&lt;=1,"0-1 Year",Table1[[#This Row],[YearsAtCompany]]&lt;=2,"1-2 Years",Table1[[#This Row],[YearsAtCompany]]&lt;=3,"2-3 Years",Table1[[#This Row],[YearsAtCompany]]&lt;=4,"3-4 Years",Table1[[#This Row],[YearsAtCompany]]&lt;=5,"4-5 Years",Table1[[#This Row],[YearsAtCompany]]&gt;5,"&gt;5 Years")</f>
        <v>3-4 Years</v>
      </c>
    </row>
    <row r="924" spans="1:39" hidden="1" x14ac:dyDescent="0.45">
      <c r="A924">
        <v>44</v>
      </c>
      <c r="B924" t="s">
        <v>43</v>
      </c>
      <c r="C924" t="s">
        <v>64</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_xlfn.IFS(Table1[[#This Row],[Age]]&lt;30,"Young",Table1[[#This Row],[Age]]&lt;=40,"Adult",Table1[[#This Row],[Age]]&gt;40,"Senior")</f>
        <v>Senior</v>
      </c>
      <c r="AK924" t="str" cm="1">
        <f t="array" ref="AK924">_xlfn.IFS(Table1[[#This Row],[MonthlyIncome]]&lt;5000,"Low",Table1[[#This Row],[MonthlyIncome]]&lt;10000,"Medium",Table1[[#This Row],[MonthlyIncome]]&gt;10000,"High")</f>
        <v>High</v>
      </c>
      <c r="AL924" t="str" cm="1">
        <f t="array" ref="AL924">_xlfn.IFS(Table1[[#This Row],[Attrition]]="Yes","Resigned",Table1[[#This Row],[Attrition]]="No","Active")</f>
        <v>Active</v>
      </c>
      <c r="AM924" t="str" cm="1">
        <f t="array" ref="AM924">_xlfn.IFS(Table1[[#This Row],[YearsAtCompany]]&lt;=1,"0-1 Year",Table1[[#This Row],[YearsAtCompany]]&lt;=2,"1-2 Years",Table1[[#This Row],[YearsAtCompany]]&lt;=3,"2-3 Years",Table1[[#This Row],[YearsAtCompany]]&lt;=4,"3-4 Years",Table1[[#This Row],[YearsAtCompany]]&lt;=5,"4-5 Years",Table1[[#This Row],[YearsAtCompany]]&gt;5,"&gt;5 Years")</f>
        <v>&gt;5 Years</v>
      </c>
    </row>
    <row r="925" spans="1:39" hidden="1" x14ac:dyDescent="0.45">
      <c r="A925">
        <v>34</v>
      </c>
      <c r="B925" t="s">
        <v>43</v>
      </c>
      <c r="C925" t="s">
        <v>63</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_xlfn.IFS(Table1[[#This Row],[Age]]&lt;30,"Young",Table1[[#This Row],[Age]]&lt;=40,"Adult",Table1[[#This Row],[Age]]&gt;40,"Senior")</f>
        <v>Adult</v>
      </c>
      <c r="AK925" t="str" cm="1">
        <f t="array" ref="AK925">_xlfn.IFS(Table1[[#This Row],[MonthlyIncome]]&lt;5000,"Low",Table1[[#This Row],[MonthlyIncome]]&lt;10000,"Medium",Table1[[#This Row],[MonthlyIncome]]&gt;10000,"High")</f>
        <v>Low</v>
      </c>
      <c r="AL925" t="str" cm="1">
        <f t="array" ref="AL925">_xlfn.IFS(Table1[[#This Row],[Attrition]]="Yes","Resigned",Table1[[#This Row],[Attrition]]="No","Active")</f>
        <v>Active</v>
      </c>
      <c r="AM925" t="str" cm="1">
        <f t="array" ref="AM925">_xlfn.IFS(Table1[[#This Row],[YearsAtCompany]]&lt;=1,"0-1 Year",Table1[[#This Row],[YearsAtCompany]]&lt;=2,"1-2 Years",Table1[[#This Row],[YearsAtCompany]]&lt;=3,"2-3 Years",Table1[[#This Row],[YearsAtCompany]]&lt;=4,"3-4 Years",Table1[[#This Row],[YearsAtCompany]]&lt;=5,"4-5 Years",Table1[[#This Row],[YearsAtCompany]]&gt;5,"&gt;5 Years")</f>
        <v>&gt;5 Years</v>
      </c>
    </row>
    <row r="926" spans="1:39" hidden="1" x14ac:dyDescent="0.45">
      <c r="A926">
        <v>35</v>
      </c>
      <c r="B926" t="s">
        <v>43</v>
      </c>
      <c r="C926" t="s">
        <v>64</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_xlfn.IFS(Table1[[#This Row],[Age]]&lt;30,"Young",Table1[[#This Row],[Age]]&lt;=40,"Adult",Table1[[#This Row],[Age]]&gt;40,"Senior")</f>
        <v>Adult</v>
      </c>
      <c r="AK926" t="str" cm="1">
        <f t="array" ref="AK926">_xlfn.IFS(Table1[[#This Row],[MonthlyIncome]]&lt;5000,"Low",Table1[[#This Row],[MonthlyIncome]]&lt;10000,"Medium",Table1[[#This Row],[MonthlyIncome]]&gt;10000,"High")</f>
        <v>Low</v>
      </c>
      <c r="AL926" t="str" cm="1">
        <f t="array" ref="AL926">_xlfn.IFS(Table1[[#This Row],[Attrition]]="Yes","Resigned",Table1[[#This Row],[Attrition]]="No","Active")</f>
        <v>Active</v>
      </c>
      <c r="AM926" t="str" cm="1">
        <f t="array" ref="AM926">_xlfn.IFS(Table1[[#This Row],[YearsAtCompany]]&lt;=1,"0-1 Year",Table1[[#This Row],[YearsAtCompany]]&lt;=2,"1-2 Years",Table1[[#This Row],[YearsAtCompany]]&lt;=3,"2-3 Years",Table1[[#This Row],[YearsAtCompany]]&lt;=4,"3-4 Years",Table1[[#This Row],[YearsAtCompany]]&lt;=5,"4-5 Years",Table1[[#This Row],[YearsAtCompany]]&gt;5,"&gt;5 Years")</f>
        <v>2-3 Years</v>
      </c>
    </row>
    <row r="927" spans="1:39" hidden="1" x14ac:dyDescent="0.45">
      <c r="A927">
        <v>42</v>
      </c>
      <c r="B927" t="s">
        <v>43</v>
      </c>
      <c r="C927" t="s">
        <v>64</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_xlfn.IFS(Table1[[#This Row],[Age]]&lt;30,"Young",Table1[[#This Row],[Age]]&lt;=40,"Adult",Table1[[#This Row],[Age]]&gt;40,"Senior")</f>
        <v>Senior</v>
      </c>
      <c r="AK927" t="str" cm="1">
        <f t="array" ref="AK927">_xlfn.IFS(Table1[[#This Row],[MonthlyIncome]]&lt;5000,"Low",Table1[[#This Row],[MonthlyIncome]]&lt;10000,"Medium",Table1[[#This Row],[MonthlyIncome]]&gt;10000,"High")</f>
        <v>Low</v>
      </c>
      <c r="AL927" t="str" cm="1">
        <f t="array" ref="AL927">_xlfn.IFS(Table1[[#This Row],[Attrition]]="Yes","Resigned",Table1[[#This Row],[Attrition]]="No","Active")</f>
        <v>Active</v>
      </c>
      <c r="AM927" t="str" cm="1">
        <f t="array" ref="AM927">_xlfn.IFS(Table1[[#This Row],[YearsAtCompany]]&lt;=1,"0-1 Year",Table1[[#This Row],[YearsAtCompany]]&lt;=2,"1-2 Years",Table1[[#This Row],[YearsAtCompany]]&lt;=3,"2-3 Years",Table1[[#This Row],[YearsAtCompany]]&lt;=4,"3-4 Years",Table1[[#This Row],[YearsAtCompany]]&lt;=5,"4-5 Years",Table1[[#This Row],[YearsAtCompany]]&gt;5,"&gt;5 Years")</f>
        <v>0-1 Year</v>
      </c>
    </row>
    <row r="928" spans="1:39" x14ac:dyDescent="0.45">
      <c r="A928">
        <v>43</v>
      </c>
      <c r="B928" t="s">
        <v>43</v>
      </c>
      <c r="C928" t="s">
        <v>64</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_xlfn.IFS(Table1[[#This Row],[Age]]&lt;30,"Young",Table1[[#This Row],[Age]]&lt;=40,"Adult",Table1[[#This Row],[Age]]&gt;40,"Senior")</f>
        <v>Senior</v>
      </c>
      <c r="AK928" t="str" cm="1">
        <f t="array" ref="AK928">_xlfn.IFS(Table1[[#This Row],[MonthlyIncome]]&lt;5000,"Low",Table1[[#This Row],[MonthlyIncome]]&lt;10000,"Medium",Table1[[#This Row],[MonthlyIncome]]&gt;10000,"High")</f>
        <v>High</v>
      </c>
      <c r="AL928" t="str" cm="1">
        <f t="array" ref="AL928">_xlfn.IFS(Table1[[#This Row],[Attrition]]="Yes","Resigned",Table1[[#This Row],[Attrition]]="No","Active")</f>
        <v>Active</v>
      </c>
      <c r="AM928" t="str" cm="1">
        <f t="array" ref="AM928">_xlfn.IFS(Table1[[#This Row],[YearsAtCompany]]&lt;=1,"0-1 Year",Table1[[#This Row],[YearsAtCompany]]&lt;=2,"1-2 Years",Table1[[#This Row],[YearsAtCompany]]&lt;=3,"2-3 Years",Table1[[#This Row],[YearsAtCompany]]&lt;=4,"3-4 Years",Table1[[#This Row],[YearsAtCompany]]&lt;=5,"4-5 Years",Table1[[#This Row],[YearsAtCompany]]&gt;5,"&gt;5 Years")</f>
        <v>&gt;5 Years</v>
      </c>
    </row>
    <row r="929" spans="1:39" hidden="1" x14ac:dyDescent="0.45">
      <c r="A929">
        <v>36</v>
      </c>
      <c r="B929" t="s">
        <v>43</v>
      </c>
      <c r="C929" t="s">
        <v>64</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_xlfn.IFS(Table1[[#This Row],[Age]]&lt;30,"Young",Table1[[#This Row],[Age]]&lt;=40,"Adult",Table1[[#This Row],[Age]]&gt;40,"Senior")</f>
        <v>Adult</v>
      </c>
      <c r="AK929" t="str" cm="1">
        <f t="array" ref="AK929">_xlfn.IFS(Table1[[#This Row],[MonthlyIncome]]&lt;5000,"Low",Table1[[#This Row],[MonthlyIncome]]&lt;10000,"Medium",Table1[[#This Row],[MonthlyIncome]]&gt;10000,"High")</f>
        <v>Medium</v>
      </c>
      <c r="AL929" t="str" cm="1">
        <f t="array" ref="AL929">_xlfn.IFS(Table1[[#This Row],[Attrition]]="Yes","Resigned",Table1[[#This Row],[Attrition]]="No","Active")</f>
        <v>Active</v>
      </c>
      <c r="AM929" t="str" cm="1">
        <f t="array" ref="AM929">_xlfn.IFS(Table1[[#This Row],[YearsAtCompany]]&lt;=1,"0-1 Year",Table1[[#This Row],[YearsAtCompany]]&lt;=2,"1-2 Years",Table1[[#This Row],[YearsAtCompany]]&lt;=3,"2-3 Years",Table1[[#This Row],[YearsAtCompany]]&lt;=4,"3-4 Years",Table1[[#This Row],[YearsAtCompany]]&lt;=5,"4-5 Years",Table1[[#This Row],[YearsAtCompany]]&gt;5,"&gt;5 Years")</f>
        <v>&gt;5 Years</v>
      </c>
    </row>
    <row r="930" spans="1:39" hidden="1" x14ac:dyDescent="0.45">
      <c r="A930">
        <v>44</v>
      </c>
      <c r="B930" t="s">
        <v>35</v>
      </c>
      <c r="C930" t="s">
        <v>64</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_xlfn.IFS(Table1[[#This Row],[Age]]&lt;30,"Young",Table1[[#This Row],[Age]]&lt;=40,"Adult",Table1[[#This Row],[Age]]&gt;40,"Senior")</f>
        <v>Senior</v>
      </c>
      <c r="AK930" t="str" cm="1">
        <f t="array" ref="AK930">_xlfn.IFS(Table1[[#This Row],[MonthlyIncome]]&lt;5000,"Low",Table1[[#This Row],[MonthlyIncome]]&lt;10000,"Medium",Table1[[#This Row],[MonthlyIncome]]&gt;10000,"High")</f>
        <v>Medium</v>
      </c>
      <c r="AL930" t="str" cm="1">
        <f t="array" ref="AL930">_xlfn.IFS(Table1[[#This Row],[Attrition]]="Yes","Resigned",Table1[[#This Row],[Attrition]]="No","Active")</f>
        <v>Resigned</v>
      </c>
      <c r="AM930" t="str" cm="1">
        <f t="array" ref="AM930">_xlfn.IFS(Table1[[#This Row],[YearsAtCompany]]&lt;=1,"0-1 Year",Table1[[#This Row],[YearsAtCompany]]&lt;=2,"1-2 Years",Table1[[#This Row],[YearsAtCompany]]&lt;=3,"2-3 Years",Table1[[#This Row],[YearsAtCompany]]&lt;=4,"3-4 Years",Table1[[#This Row],[YearsAtCompany]]&lt;=5,"4-5 Years",Table1[[#This Row],[YearsAtCompany]]&gt;5,"&gt;5 Years")</f>
        <v>&gt;5 Years</v>
      </c>
    </row>
    <row r="931" spans="1:39" hidden="1" x14ac:dyDescent="0.45">
      <c r="A931">
        <v>28</v>
      </c>
      <c r="B931" t="s">
        <v>43</v>
      </c>
      <c r="C931" t="s">
        <v>63</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_xlfn.IFS(Table1[[#This Row],[Age]]&lt;30,"Young",Table1[[#This Row],[Age]]&lt;=40,"Adult",Table1[[#This Row],[Age]]&gt;40,"Senior")</f>
        <v>Young</v>
      </c>
      <c r="AK931" t="str" cm="1">
        <f t="array" ref="AK931">_xlfn.IFS(Table1[[#This Row],[MonthlyIncome]]&lt;5000,"Low",Table1[[#This Row],[MonthlyIncome]]&lt;10000,"Medium",Table1[[#This Row],[MonthlyIncome]]&gt;10000,"High")</f>
        <v>Low</v>
      </c>
      <c r="AL931" t="str" cm="1">
        <f t="array" ref="AL931">_xlfn.IFS(Table1[[#This Row],[Attrition]]="Yes","Resigned",Table1[[#This Row],[Attrition]]="No","Active")</f>
        <v>Active</v>
      </c>
      <c r="AM931" t="str" cm="1">
        <f t="array" ref="AM931">_xlfn.IFS(Table1[[#This Row],[YearsAtCompany]]&lt;=1,"0-1 Year",Table1[[#This Row],[YearsAtCompany]]&lt;=2,"1-2 Years",Table1[[#This Row],[YearsAtCompany]]&lt;=3,"2-3 Years",Table1[[#This Row],[YearsAtCompany]]&lt;=4,"3-4 Years",Table1[[#This Row],[YearsAtCompany]]&lt;=5,"4-5 Years",Table1[[#This Row],[YearsAtCompany]]&gt;5,"&gt;5 Years")</f>
        <v>1-2 Years</v>
      </c>
    </row>
    <row r="932" spans="1:39" hidden="1" x14ac:dyDescent="0.45">
      <c r="A932">
        <v>51</v>
      </c>
      <c r="B932" t="s">
        <v>43</v>
      </c>
      <c r="C932" t="s">
        <v>63</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_xlfn.IFS(Table1[[#This Row],[Age]]&lt;30,"Young",Table1[[#This Row],[Age]]&lt;=40,"Adult",Table1[[#This Row],[Age]]&gt;40,"Senior")</f>
        <v>Senior</v>
      </c>
      <c r="AK932" t="str" cm="1">
        <f t="array" ref="AK932">_xlfn.IFS(Table1[[#This Row],[MonthlyIncome]]&lt;5000,"Low",Table1[[#This Row],[MonthlyIncome]]&lt;10000,"Medium",Table1[[#This Row],[MonthlyIncome]]&gt;10000,"High")</f>
        <v>Low</v>
      </c>
      <c r="AL932" t="str" cm="1">
        <f t="array" ref="AL932">_xlfn.IFS(Table1[[#This Row],[Attrition]]="Yes","Resigned",Table1[[#This Row],[Attrition]]="No","Active")</f>
        <v>Active</v>
      </c>
      <c r="AM932" t="str" cm="1">
        <f t="array" ref="AM932">_xlfn.IFS(Table1[[#This Row],[YearsAtCompany]]&lt;=1,"0-1 Year",Table1[[#This Row],[YearsAtCompany]]&lt;=2,"1-2 Years",Table1[[#This Row],[YearsAtCompany]]&lt;=3,"2-3 Years",Table1[[#This Row],[YearsAtCompany]]&lt;=4,"3-4 Years",Table1[[#This Row],[YearsAtCompany]]&lt;=5,"4-5 Years",Table1[[#This Row],[YearsAtCompany]]&gt;5,"&gt;5 Years")</f>
        <v>&gt;5 Years</v>
      </c>
    </row>
    <row r="933" spans="1:39" hidden="1" x14ac:dyDescent="0.45">
      <c r="A933">
        <v>30</v>
      </c>
      <c r="B933" t="s">
        <v>43</v>
      </c>
      <c r="C933" t="s">
        <v>62</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_xlfn.IFS(Table1[[#This Row],[Age]]&lt;30,"Young",Table1[[#This Row],[Age]]&lt;=40,"Adult",Table1[[#This Row],[Age]]&gt;40,"Senior")</f>
        <v>Adult</v>
      </c>
      <c r="AK933" t="str" cm="1">
        <f t="array" ref="AK933">_xlfn.IFS(Table1[[#This Row],[MonthlyIncome]]&lt;5000,"Low",Table1[[#This Row],[MonthlyIncome]]&lt;10000,"Medium",Table1[[#This Row],[MonthlyIncome]]&gt;10000,"High")</f>
        <v>Low</v>
      </c>
      <c r="AL933" t="str" cm="1">
        <f t="array" ref="AL933">_xlfn.IFS(Table1[[#This Row],[Attrition]]="Yes","Resigned",Table1[[#This Row],[Attrition]]="No","Active")</f>
        <v>Active</v>
      </c>
      <c r="AM933" t="str" cm="1">
        <f t="array" ref="AM933">_xlfn.IFS(Table1[[#This Row],[YearsAtCompany]]&lt;=1,"0-1 Year",Table1[[#This Row],[YearsAtCompany]]&lt;=2,"1-2 Years",Table1[[#This Row],[YearsAtCompany]]&lt;=3,"2-3 Years",Table1[[#This Row],[YearsAtCompany]]&lt;=4,"3-4 Years",Table1[[#This Row],[YearsAtCompany]]&lt;=5,"4-5 Years",Table1[[#This Row],[YearsAtCompany]]&gt;5,"&gt;5 Years")</f>
        <v>&gt;5 Years</v>
      </c>
    </row>
    <row r="934" spans="1:39" hidden="1" x14ac:dyDescent="0.45">
      <c r="A934">
        <v>29</v>
      </c>
      <c r="B934" t="s">
        <v>35</v>
      </c>
      <c r="C934" t="s">
        <v>64</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_xlfn.IFS(Table1[[#This Row],[Age]]&lt;30,"Young",Table1[[#This Row],[Age]]&lt;=40,"Adult",Table1[[#This Row],[Age]]&gt;40,"Senior")</f>
        <v>Young</v>
      </c>
      <c r="AK934" t="str" cm="1">
        <f t="array" ref="AK934">_xlfn.IFS(Table1[[#This Row],[MonthlyIncome]]&lt;5000,"Low",Table1[[#This Row],[MonthlyIncome]]&lt;10000,"Medium",Table1[[#This Row],[MonthlyIncome]]&gt;10000,"High")</f>
        <v>Low</v>
      </c>
      <c r="AL934" t="str" cm="1">
        <f t="array" ref="AL934">_xlfn.IFS(Table1[[#This Row],[Attrition]]="Yes","Resigned",Table1[[#This Row],[Attrition]]="No","Active")</f>
        <v>Resigned</v>
      </c>
      <c r="AM934" t="str" cm="1">
        <f t="array" ref="AM934">_xlfn.IFS(Table1[[#This Row],[YearsAtCompany]]&lt;=1,"0-1 Year",Table1[[#This Row],[YearsAtCompany]]&lt;=2,"1-2 Years",Table1[[#This Row],[YearsAtCompany]]&lt;=3,"2-3 Years",Table1[[#This Row],[YearsAtCompany]]&lt;=4,"3-4 Years",Table1[[#This Row],[YearsAtCompany]]&lt;=5,"4-5 Years",Table1[[#This Row],[YearsAtCompany]]&gt;5,"&gt;5 Years")</f>
        <v>&gt;5 Years</v>
      </c>
    </row>
    <row r="935" spans="1:39" hidden="1" x14ac:dyDescent="0.45">
      <c r="A935">
        <v>28</v>
      </c>
      <c r="B935" t="s">
        <v>43</v>
      </c>
      <c r="C935" t="s">
        <v>64</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_xlfn.IFS(Table1[[#This Row],[Age]]&lt;30,"Young",Table1[[#This Row],[Age]]&lt;=40,"Adult",Table1[[#This Row],[Age]]&gt;40,"Senior")</f>
        <v>Young</v>
      </c>
      <c r="AK935" t="str" cm="1">
        <f t="array" ref="AK935">_xlfn.IFS(Table1[[#This Row],[MonthlyIncome]]&lt;5000,"Low",Table1[[#This Row],[MonthlyIncome]]&lt;10000,"Medium",Table1[[#This Row],[MonthlyIncome]]&gt;10000,"High")</f>
        <v>Low</v>
      </c>
      <c r="AL935" t="str" cm="1">
        <f t="array" ref="AL935">_xlfn.IFS(Table1[[#This Row],[Attrition]]="Yes","Resigned",Table1[[#This Row],[Attrition]]="No","Active")</f>
        <v>Active</v>
      </c>
      <c r="AM935" t="str" cm="1">
        <f t="array" ref="AM935">_xlfn.IFS(Table1[[#This Row],[YearsAtCompany]]&lt;=1,"0-1 Year",Table1[[#This Row],[YearsAtCompany]]&lt;=2,"1-2 Years",Table1[[#This Row],[YearsAtCompany]]&lt;=3,"2-3 Years",Table1[[#This Row],[YearsAtCompany]]&lt;=4,"3-4 Years",Table1[[#This Row],[YearsAtCompany]]&lt;=5,"4-5 Years",Table1[[#This Row],[YearsAtCompany]]&gt;5,"&gt;5 Years")</f>
        <v>2-3 Years</v>
      </c>
    </row>
    <row r="936" spans="1:39" hidden="1" x14ac:dyDescent="0.45">
      <c r="A936">
        <v>25</v>
      </c>
      <c r="B936" t="s">
        <v>43</v>
      </c>
      <c r="C936" t="s">
        <v>64</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_xlfn.IFS(Table1[[#This Row],[Age]]&lt;30,"Young",Table1[[#This Row],[Age]]&lt;=40,"Adult",Table1[[#This Row],[Age]]&gt;40,"Senior")</f>
        <v>Young</v>
      </c>
      <c r="AK936" t="str" cm="1">
        <f t="array" ref="AK936">_xlfn.IFS(Table1[[#This Row],[MonthlyIncome]]&lt;5000,"Low",Table1[[#This Row],[MonthlyIncome]]&lt;10000,"Medium",Table1[[#This Row],[MonthlyIncome]]&gt;10000,"High")</f>
        <v>Low</v>
      </c>
      <c r="AL936" t="str" cm="1">
        <f t="array" ref="AL936">_xlfn.IFS(Table1[[#This Row],[Attrition]]="Yes","Resigned",Table1[[#This Row],[Attrition]]="No","Active")</f>
        <v>Active</v>
      </c>
      <c r="AM936" t="str" cm="1">
        <f t="array" ref="AM936">_xlfn.IFS(Table1[[#This Row],[YearsAtCompany]]&lt;=1,"0-1 Year",Table1[[#This Row],[YearsAtCompany]]&lt;=2,"1-2 Years",Table1[[#This Row],[YearsAtCompany]]&lt;=3,"2-3 Years",Table1[[#This Row],[YearsAtCompany]]&lt;=4,"3-4 Years",Table1[[#This Row],[YearsAtCompany]]&lt;=5,"4-5 Years",Table1[[#This Row],[YearsAtCompany]]&gt;5,"&gt;5 Years")</f>
        <v>1-2 Years</v>
      </c>
    </row>
    <row r="937" spans="1:39" x14ac:dyDescent="0.45">
      <c r="A937">
        <v>32</v>
      </c>
      <c r="B937" t="s">
        <v>43</v>
      </c>
      <c r="C937" t="s">
        <v>64</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_xlfn.IFS(Table1[[#This Row],[Age]]&lt;30,"Young",Table1[[#This Row],[Age]]&lt;=40,"Adult",Table1[[#This Row],[Age]]&gt;40,"Senior")</f>
        <v>Adult</v>
      </c>
      <c r="AK937" t="str" cm="1">
        <f t="array" ref="AK937">_xlfn.IFS(Table1[[#This Row],[MonthlyIncome]]&lt;5000,"Low",Table1[[#This Row],[MonthlyIncome]]&lt;10000,"Medium",Table1[[#This Row],[MonthlyIncome]]&gt;10000,"High")</f>
        <v>Medium</v>
      </c>
      <c r="AL937" t="str" cm="1">
        <f t="array" ref="AL937">_xlfn.IFS(Table1[[#This Row],[Attrition]]="Yes","Resigned",Table1[[#This Row],[Attrition]]="No","Active")</f>
        <v>Active</v>
      </c>
      <c r="AM937" t="str" cm="1">
        <f t="array" ref="AM937">_xlfn.IFS(Table1[[#This Row],[YearsAtCompany]]&lt;=1,"0-1 Year",Table1[[#This Row],[YearsAtCompany]]&lt;=2,"1-2 Years",Table1[[#This Row],[YearsAtCompany]]&lt;=3,"2-3 Years",Table1[[#This Row],[YearsAtCompany]]&lt;=4,"3-4 Years",Table1[[#This Row],[YearsAtCompany]]&lt;=5,"4-5 Years",Table1[[#This Row],[YearsAtCompany]]&gt;5,"&gt;5 Years")</f>
        <v>&gt;5 Years</v>
      </c>
    </row>
    <row r="938" spans="1:39" hidden="1" x14ac:dyDescent="0.45">
      <c r="A938">
        <v>45</v>
      </c>
      <c r="B938" t="s">
        <v>43</v>
      </c>
      <c r="C938" t="s">
        <v>63</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_xlfn.IFS(Table1[[#This Row],[Age]]&lt;30,"Young",Table1[[#This Row],[Age]]&lt;=40,"Adult",Table1[[#This Row],[Age]]&gt;40,"Senior")</f>
        <v>Senior</v>
      </c>
      <c r="AK938" t="str" cm="1">
        <f t="array" ref="AK938">_xlfn.IFS(Table1[[#This Row],[MonthlyIncome]]&lt;5000,"Low",Table1[[#This Row],[MonthlyIncome]]&lt;10000,"Medium",Table1[[#This Row],[MonthlyIncome]]&gt;10000,"High")</f>
        <v>High</v>
      </c>
      <c r="AL938" t="str" cm="1">
        <f t="array" ref="AL938">_xlfn.IFS(Table1[[#This Row],[Attrition]]="Yes","Resigned",Table1[[#This Row],[Attrition]]="No","Active")</f>
        <v>Active</v>
      </c>
      <c r="AM938" t="str" cm="1">
        <f t="array" ref="AM938">_xlfn.IFS(Table1[[#This Row],[YearsAtCompany]]&lt;=1,"0-1 Year",Table1[[#This Row],[YearsAtCompany]]&lt;=2,"1-2 Years",Table1[[#This Row],[YearsAtCompany]]&lt;=3,"2-3 Years",Table1[[#This Row],[YearsAtCompany]]&lt;=4,"3-4 Years",Table1[[#This Row],[YearsAtCompany]]&lt;=5,"4-5 Years",Table1[[#This Row],[YearsAtCompany]]&gt;5,"&gt;5 Years")</f>
        <v>0-1 Year</v>
      </c>
    </row>
    <row r="939" spans="1:39" hidden="1" x14ac:dyDescent="0.45">
      <c r="A939">
        <v>39</v>
      </c>
      <c r="B939" t="s">
        <v>43</v>
      </c>
      <c r="C939" t="s">
        <v>64</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_xlfn.IFS(Table1[[#This Row],[Age]]&lt;30,"Young",Table1[[#This Row],[Age]]&lt;=40,"Adult",Table1[[#This Row],[Age]]&gt;40,"Senior")</f>
        <v>Adult</v>
      </c>
      <c r="AK939" t="str" cm="1">
        <f t="array" ref="AK939">_xlfn.IFS(Table1[[#This Row],[MonthlyIncome]]&lt;5000,"Low",Table1[[#This Row],[MonthlyIncome]]&lt;10000,"Medium",Table1[[#This Row],[MonthlyIncome]]&gt;10000,"High")</f>
        <v>High</v>
      </c>
      <c r="AL939" t="str" cm="1">
        <f t="array" ref="AL939">_xlfn.IFS(Table1[[#This Row],[Attrition]]="Yes","Resigned",Table1[[#This Row],[Attrition]]="No","Active")</f>
        <v>Active</v>
      </c>
      <c r="AM939" t="str" cm="1">
        <f t="array" ref="AM939">_xlfn.IFS(Table1[[#This Row],[YearsAtCompany]]&lt;=1,"0-1 Year",Table1[[#This Row],[YearsAtCompany]]&lt;=2,"1-2 Years",Table1[[#This Row],[YearsAtCompany]]&lt;=3,"2-3 Years",Table1[[#This Row],[YearsAtCompany]]&lt;=4,"3-4 Years",Table1[[#This Row],[YearsAtCompany]]&lt;=5,"4-5 Years",Table1[[#This Row],[YearsAtCompany]]&gt;5,"&gt;5 Years")</f>
        <v>&gt;5 Years</v>
      </c>
    </row>
    <row r="940" spans="1:39" hidden="1" x14ac:dyDescent="0.45">
      <c r="A940">
        <v>58</v>
      </c>
      <c r="B940" t="s">
        <v>43</v>
      </c>
      <c r="C940" t="s">
        <v>64</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_xlfn.IFS(Table1[[#This Row],[Age]]&lt;30,"Young",Table1[[#This Row],[Age]]&lt;=40,"Adult",Table1[[#This Row],[Age]]&gt;40,"Senior")</f>
        <v>Senior</v>
      </c>
      <c r="AK940" t="str" cm="1">
        <f t="array" ref="AK940">_xlfn.IFS(Table1[[#This Row],[MonthlyIncome]]&lt;5000,"Low",Table1[[#This Row],[MonthlyIncome]]&lt;10000,"Medium",Table1[[#This Row],[MonthlyIncome]]&gt;10000,"High")</f>
        <v>Low</v>
      </c>
      <c r="AL940" t="str" cm="1">
        <f t="array" ref="AL940">_xlfn.IFS(Table1[[#This Row],[Attrition]]="Yes","Resigned",Table1[[#This Row],[Attrition]]="No","Active")</f>
        <v>Active</v>
      </c>
      <c r="AM940" t="str" cm="1">
        <f t="array" ref="AM940">_xlfn.IFS(Table1[[#This Row],[YearsAtCompany]]&lt;=1,"0-1 Year",Table1[[#This Row],[YearsAtCompany]]&lt;=2,"1-2 Years",Table1[[#This Row],[YearsAtCompany]]&lt;=3,"2-3 Years",Table1[[#This Row],[YearsAtCompany]]&lt;=4,"3-4 Years",Table1[[#This Row],[YearsAtCompany]]&lt;=5,"4-5 Years",Table1[[#This Row],[YearsAtCompany]]&gt;5,"&gt;5 Years")</f>
        <v>1-2 Years</v>
      </c>
    </row>
    <row r="941" spans="1:39" hidden="1" x14ac:dyDescent="0.45">
      <c r="A941">
        <v>32</v>
      </c>
      <c r="B941" t="s">
        <v>35</v>
      </c>
      <c r="C941" t="s">
        <v>64</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_xlfn.IFS(Table1[[#This Row],[Age]]&lt;30,"Young",Table1[[#This Row],[Age]]&lt;=40,"Adult",Table1[[#This Row],[Age]]&gt;40,"Senior")</f>
        <v>Adult</v>
      </c>
      <c r="AK941" t="str" cm="1">
        <f t="array" ref="AK941">_xlfn.IFS(Table1[[#This Row],[MonthlyIncome]]&lt;5000,"Low",Table1[[#This Row],[MonthlyIncome]]&lt;10000,"Medium",Table1[[#This Row],[MonthlyIncome]]&gt;10000,"High")</f>
        <v>Low</v>
      </c>
      <c r="AL941" t="str" cm="1">
        <f t="array" ref="AL941">_xlfn.IFS(Table1[[#This Row],[Attrition]]="Yes","Resigned",Table1[[#This Row],[Attrition]]="No","Active")</f>
        <v>Resigned</v>
      </c>
      <c r="AM941" t="str" cm="1">
        <f t="array" ref="AM941">_xlfn.IFS(Table1[[#This Row],[YearsAtCompany]]&lt;=1,"0-1 Year",Table1[[#This Row],[YearsAtCompany]]&lt;=2,"1-2 Years",Table1[[#This Row],[YearsAtCompany]]&lt;=3,"2-3 Years",Table1[[#This Row],[YearsAtCompany]]&lt;=4,"3-4 Years",Table1[[#This Row],[YearsAtCompany]]&lt;=5,"4-5 Years",Table1[[#This Row],[YearsAtCompany]]&gt;5,"&gt;5 Years")</f>
        <v>&gt;5 Years</v>
      </c>
    </row>
    <row r="942" spans="1:39" hidden="1" x14ac:dyDescent="0.45">
      <c r="A942">
        <v>39</v>
      </c>
      <c r="B942" t="s">
        <v>35</v>
      </c>
      <c r="C942" t="s">
        <v>64</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_xlfn.IFS(Table1[[#This Row],[Age]]&lt;30,"Young",Table1[[#This Row],[Age]]&lt;=40,"Adult",Table1[[#This Row],[Age]]&gt;40,"Senior")</f>
        <v>Adult</v>
      </c>
      <c r="AK942" t="str" cm="1">
        <f t="array" ref="AK942">_xlfn.IFS(Table1[[#This Row],[MonthlyIncome]]&lt;5000,"Low",Table1[[#This Row],[MonthlyIncome]]&lt;10000,"Medium",Table1[[#This Row],[MonthlyIncome]]&gt;10000,"High")</f>
        <v>Low</v>
      </c>
      <c r="AL942" t="str" cm="1">
        <f t="array" ref="AL942">_xlfn.IFS(Table1[[#This Row],[Attrition]]="Yes","Resigned",Table1[[#This Row],[Attrition]]="No","Active")</f>
        <v>Resigned</v>
      </c>
      <c r="AM942" t="str" cm="1">
        <f t="array" ref="AM942">_xlfn.IFS(Table1[[#This Row],[YearsAtCompany]]&lt;=1,"0-1 Year",Table1[[#This Row],[YearsAtCompany]]&lt;=2,"1-2 Years",Table1[[#This Row],[YearsAtCompany]]&lt;=3,"2-3 Years",Table1[[#This Row],[YearsAtCompany]]&lt;=4,"3-4 Years",Table1[[#This Row],[YearsAtCompany]]&lt;=5,"4-5 Years",Table1[[#This Row],[YearsAtCompany]]&gt;5,"&gt;5 Years")</f>
        <v>4-5 Years</v>
      </c>
    </row>
    <row r="943" spans="1:39" hidden="1" x14ac:dyDescent="0.45">
      <c r="A943">
        <v>30</v>
      </c>
      <c r="B943" t="s">
        <v>43</v>
      </c>
      <c r="C943" t="s">
        <v>64</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_xlfn.IFS(Table1[[#This Row],[Age]]&lt;30,"Young",Table1[[#This Row],[Age]]&lt;=40,"Adult",Table1[[#This Row],[Age]]&gt;40,"Senior")</f>
        <v>Adult</v>
      </c>
      <c r="AK943" t="str" cm="1">
        <f t="array" ref="AK943">_xlfn.IFS(Table1[[#This Row],[MonthlyIncome]]&lt;5000,"Low",Table1[[#This Row],[MonthlyIncome]]&lt;10000,"Medium",Table1[[#This Row],[MonthlyIncome]]&gt;10000,"High")</f>
        <v>Low</v>
      </c>
      <c r="AL943" t="str" cm="1">
        <f t="array" ref="AL943">_xlfn.IFS(Table1[[#This Row],[Attrition]]="Yes","Resigned",Table1[[#This Row],[Attrition]]="No","Active")</f>
        <v>Active</v>
      </c>
      <c r="AM943" t="str" cm="1">
        <f t="array" ref="AM943">_xlfn.IFS(Table1[[#This Row],[YearsAtCompany]]&lt;=1,"0-1 Year",Table1[[#This Row],[YearsAtCompany]]&lt;=2,"1-2 Years",Table1[[#This Row],[YearsAtCompany]]&lt;=3,"2-3 Years",Table1[[#This Row],[YearsAtCompany]]&lt;=4,"3-4 Years",Table1[[#This Row],[YearsAtCompany]]&lt;=5,"4-5 Years",Table1[[#This Row],[YearsAtCompany]]&gt;5,"&gt;5 Years")</f>
        <v>&gt;5 Years</v>
      </c>
    </row>
    <row r="944" spans="1:39" hidden="1" x14ac:dyDescent="0.45">
      <c r="A944">
        <v>36</v>
      </c>
      <c r="B944" t="s">
        <v>43</v>
      </c>
      <c r="C944" t="s">
        <v>64</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_xlfn.IFS(Table1[[#This Row],[Age]]&lt;30,"Young",Table1[[#This Row],[Age]]&lt;=40,"Adult",Table1[[#This Row],[Age]]&gt;40,"Senior")</f>
        <v>Adult</v>
      </c>
      <c r="AK944" t="str" cm="1">
        <f t="array" ref="AK944">_xlfn.IFS(Table1[[#This Row],[MonthlyIncome]]&lt;5000,"Low",Table1[[#This Row],[MonthlyIncome]]&lt;10000,"Medium",Table1[[#This Row],[MonthlyIncome]]&gt;10000,"High")</f>
        <v>Medium</v>
      </c>
      <c r="AL944" t="str" cm="1">
        <f t="array" ref="AL944">_xlfn.IFS(Table1[[#This Row],[Attrition]]="Yes","Resigned",Table1[[#This Row],[Attrition]]="No","Active")</f>
        <v>Active</v>
      </c>
      <c r="AM944" t="str" cm="1">
        <f t="array" ref="AM944">_xlfn.IFS(Table1[[#This Row],[YearsAtCompany]]&lt;=1,"0-1 Year",Table1[[#This Row],[YearsAtCompany]]&lt;=2,"1-2 Years",Table1[[#This Row],[YearsAtCompany]]&lt;=3,"2-3 Years",Table1[[#This Row],[YearsAtCompany]]&lt;=4,"3-4 Years",Table1[[#This Row],[YearsAtCompany]]&lt;=5,"4-5 Years",Table1[[#This Row],[YearsAtCompany]]&gt;5,"&gt;5 Years")</f>
        <v>&gt;5 Years</v>
      </c>
    </row>
    <row r="945" spans="1:39" hidden="1" x14ac:dyDescent="0.45">
      <c r="A945">
        <v>46</v>
      </c>
      <c r="B945" t="s">
        <v>43</v>
      </c>
      <c r="C945" t="s">
        <v>64</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_xlfn.IFS(Table1[[#This Row],[Age]]&lt;30,"Young",Table1[[#This Row],[Age]]&lt;=40,"Adult",Table1[[#This Row],[Age]]&gt;40,"Senior")</f>
        <v>Senior</v>
      </c>
      <c r="AK945" t="str" cm="1">
        <f t="array" ref="AK945">_xlfn.IFS(Table1[[#This Row],[MonthlyIncome]]&lt;5000,"Low",Table1[[#This Row],[MonthlyIncome]]&lt;10000,"Medium",Table1[[#This Row],[MonthlyIncome]]&gt;10000,"High")</f>
        <v>Low</v>
      </c>
      <c r="AL945" t="str" cm="1">
        <f t="array" ref="AL945">_xlfn.IFS(Table1[[#This Row],[Attrition]]="Yes","Resigned",Table1[[#This Row],[Attrition]]="No","Active")</f>
        <v>Active</v>
      </c>
      <c r="AM945" t="str" cm="1">
        <f t="array" ref="AM945">_xlfn.IFS(Table1[[#This Row],[YearsAtCompany]]&lt;=1,"0-1 Year",Table1[[#This Row],[YearsAtCompany]]&lt;=2,"1-2 Years",Table1[[#This Row],[YearsAtCompany]]&lt;=3,"2-3 Years",Table1[[#This Row],[YearsAtCompany]]&lt;=4,"3-4 Years",Table1[[#This Row],[YearsAtCompany]]&lt;=5,"4-5 Years",Table1[[#This Row],[YearsAtCompany]]&gt;5,"&gt;5 Years")</f>
        <v>&gt;5 Years</v>
      </c>
    </row>
    <row r="946" spans="1:39" hidden="1" x14ac:dyDescent="0.45">
      <c r="A946">
        <v>28</v>
      </c>
      <c r="B946" t="s">
        <v>43</v>
      </c>
      <c r="C946" t="s">
        <v>62</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_xlfn.IFS(Table1[[#This Row],[Age]]&lt;30,"Young",Table1[[#This Row],[Age]]&lt;=40,"Adult",Table1[[#This Row],[Age]]&gt;40,"Senior")</f>
        <v>Young</v>
      </c>
      <c r="AK946" t="str" cm="1">
        <f t="array" ref="AK946">_xlfn.IFS(Table1[[#This Row],[MonthlyIncome]]&lt;5000,"Low",Table1[[#This Row],[MonthlyIncome]]&lt;10000,"Medium",Table1[[#This Row],[MonthlyIncome]]&gt;10000,"High")</f>
        <v>Medium</v>
      </c>
      <c r="AL946" t="str" cm="1">
        <f t="array" ref="AL946">_xlfn.IFS(Table1[[#This Row],[Attrition]]="Yes","Resigned",Table1[[#This Row],[Attrition]]="No","Active")</f>
        <v>Active</v>
      </c>
      <c r="AM946" t="str" cm="1">
        <f t="array" ref="AM946">_xlfn.IFS(Table1[[#This Row],[YearsAtCompany]]&lt;=1,"0-1 Year",Table1[[#This Row],[YearsAtCompany]]&lt;=2,"1-2 Years",Table1[[#This Row],[YearsAtCompany]]&lt;=3,"2-3 Years",Table1[[#This Row],[YearsAtCompany]]&lt;=4,"3-4 Years",Table1[[#This Row],[YearsAtCompany]]&lt;=5,"4-5 Years",Table1[[#This Row],[YearsAtCompany]]&gt;5,"&gt;5 Years")</f>
        <v>&gt;5 Years</v>
      </c>
    </row>
    <row r="947" spans="1:39" hidden="1" x14ac:dyDescent="0.45">
      <c r="A947">
        <v>50</v>
      </c>
      <c r="B947" t="s">
        <v>43</v>
      </c>
      <c r="C947" t="s">
        <v>64</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_xlfn.IFS(Table1[[#This Row],[Age]]&lt;30,"Young",Table1[[#This Row],[Age]]&lt;=40,"Adult",Table1[[#This Row],[Age]]&gt;40,"Senior")</f>
        <v>Senior</v>
      </c>
      <c r="AK947" t="str" cm="1">
        <f t="array" ref="AK947">_xlfn.IFS(Table1[[#This Row],[MonthlyIncome]]&lt;5000,"Low",Table1[[#This Row],[MonthlyIncome]]&lt;10000,"Medium",Table1[[#This Row],[MonthlyIncome]]&gt;10000,"High")</f>
        <v>High</v>
      </c>
      <c r="AL947" t="str" cm="1">
        <f t="array" ref="AL947">_xlfn.IFS(Table1[[#This Row],[Attrition]]="Yes","Resigned",Table1[[#This Row],[Attrition]]="No","Active")</f>
        <v>Active</v>
      </c>
      <c r="AM947" t="str" cm="1">
        <f t="array" ref="AM947">_xlfn.IFS(Table1[[#This Row],[YearsAtCompany]]&lt;=1,"0-1 Year",Table1[[#This Row],[YearsAtCompany]]&lt;=2,"1-2 Years",Table1[[#This Row],[YearsAtCompany]]&lt;=3,"2-3 Years",Table1[[#This Row],[YearsAtCompany]]&lt;=4,"3-4 Years",Table1[[#This Row],[YearsAtCompany]]&lt;=5,"4-5 Years",Table1[[#This Row],[YearsAtCompany]]&gt;5,"&gt;5 Years")</f>
        <v>2-3 Years</v>
      </c>
    </row>
    <row r="948" spans="1:39" x14ac:dyDescent="0.45">
      <c r="A948">
        <v>40</v>
      </c>
      <c r="B948" t="s">
        <v>35</v>
      </c>
      <c r="C948" t="s">
        <v>64</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_xlfn.IFS(Table1[[#This Row],[Age]]&lt;30,"Young",Table1[[#This Row],[Age]]&lt;=40,"Adult",Table1[[#This Row],[Age]]&gt;40,"Senior")</f>
        <v>Adult</v>
      </c>
      <c r="AK948" t="str" cm="1">
        <f t="array" ref="AK948">_xlfn.IFS(Table1[[#This Row],[MonthlyIncome]]&lt;5000,"Low",Table1[[#This Row],[MonthlyIncome]]&lt;10000,"Medium",Table1[[#This Row],[MonthlyIncome]]&gt;10000,"High")</f>
        <v>Medium</v>
      </c>
      <c r="AL948" t="str" cm="1">
        <f t="array" ref="AL948">_xlfn.IFS(Table1[[#This Row],[Attrition]]="Yes","Resigned",Table1[[#This Row],[Attrition]]="No","Active")</f>
        <v>Resigned</v>
      </c>
      <c r="AM948" t="str" cm="1">
        <f t="array" ref="AM948">_xlfn.IFS(Table1[[#This Row],[YearsAtCompany]]&lt;=1,"0-1 Year",Table1[[#This Row],[YearsAtCompany]]&lt;=2,"1-2 Years",Table1[[#This Row],[YearsAtCompany]]&lt;=3,"2-3 Years",Table1[[#This Row],[YearsAtCompany]]&lt;=4,"3-4 Years",Table1[[#This Row],[YearsAtCompany]]&lt;=5,"4-5 Years",Table1[[#This Row],[YearsAtCompany]]&gt;5,"&gt;5 Years")</f>
        <v>4-5 Years</v>
      </c>
    </row>
    <row r="949" spans="1:39" x14ac:dyDescent="0.45">
      <c r="A949">
        <v>52</v>
      </c>
      <c r="B949" t="s">
        <v>35</v>
      </c>
      <c r="C949" t="s">
        <v>64</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_xlfn.IFS(Table1[[#This Row],[Age]]&lt;30,"Young",Table1[[#This Row],[Age]]&lt;=40,"Adult",Table1[[#This Row],[Age]]&gt;40,"Senior")</f>
        <v>Senior</v>
      </c>
      <c r="AK949" t="str" cm="1">
        <f t="array" ref="AK949">_xlfn.IFS(Table1[[#This Row],[MonthlyIncome]]&lt;5000,"Low",Table1[[#This Row],[MonthlyIncome]]&lt;10000,"Medium",Table1[[#This Row],[MonthlyIncome]]&gt;10000,"High")</f>
        <v>Medium</v>
      </c>
      <c r="AL949" t="str" cm="1">
        <f t="array" ref="AL949">_xlfn.IFS(Table1[[#This Row],[Attrition]]="Yes","Resigned",Table1[[#This Row],[Attrition]]="No","Active")</f>
        <v>Resigned</v>
      </c>
      <c r="AM949" t="str" cm="1">
        <f t="array" ref="AM949">_xlfn.IFS(Table1[[#This Row],[YearsAtCompany]]&lt;=1,"0-1 Year",Table1[[#This Row],[YearsAtCompany]]&lt;=2,"1-2 Years",Table1[[#This Row],[YearsAtCompany]]&lt;=3,"2-3 Years",Table1[[#This Row],[YearsAtCompany]]&lt;=4,"3-4 Years",Table1[[#This Row],[YearsAtCompany]]&lt;=5,"4-5 Years",Table1[[#This Row],[YearsAtCompany]]&gt;5,"&gt;5 Years")</f>
        <v>&gt;5 Years</v>
      </c>
    </row>
    <row r="950" spans="1:39" hidden="1" x14ac:dyDescent="0.45">
      <c r="A950">
        <v>30</v>
      </c>
      <c r="B950" t="s">
        <v>43</v>
      </c>
      <c r="C950" t="s">
        <v>64</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_xlfn.IFS(Table1[[#This Row],[Age]]&lt;30,"Young",Table1[[#This Row],[Age]]&lt;=40,"Adult",Table1[[#This Row],[Age]]&gt;40,"Senior")</f>
        <v>Adult</v>
      </c>
      <c r="AK950" t="str" cm="1">
        <f t="array" ref="AK950">_xlfn.IFS(Table1[[#This Row],[MonthlyIncome]]&lt;5000,"Low",Table1[[#This Row],[MonthlyIncome]]&lt;10000,"Medium",Table1[[#This Row],[MonthlyIncome]]&gt;10000,"High")</f>
        <v>High</v>
      </c>
      <c r="AL950" t="str" cm="1">
        <f t="array" ref="AL950">_xlfn.IFS(Table1[[#This Row],[Attrition]]="Yes","Resigned",Table1[[#This Row],[Attrition]]="No","Active")</f>
        <v>Active</v>
      </c>
      <c r="AM950" t="str" cm="1">
        <f t="array" ref="AM950">_xlfn.IFS(Table1[[#This Row],[YearsAtCompany]]&lt;=1,"0-1 Year",Table1[[#This Row],[YearsAtCompany]]&lt;=2,"1-2 Years",Table1[[#This Row],[YearsAtCompany]]&lt;=3,"2-3 Years",Table1[[#This Row],[YearsAtCompany]]&lt;=4,"3-4 Years",Table1[[#This Row],[YearsAtCompany]]&lt;=5,"4-5 Years",Table1[[#This Row],[YearsAtCompany]]&gt;5,"&gt;5 Years")</f>
        <v>&gt;5 Years</v>
      </c>
    </row>
    <row r="951" spans="1:39" hidden="1" x14ac:dyDescent="0.45">
      <c r="A951">
        <v>39</v>
      </c>
      <c r="B951" t="s">
        <v>43</v>
      </c>
      <c r="C951" t="s">
        <v>64</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_xlfn.IFS(Table1[[#This Row],[Age]]&lt;30,"Young",Table1[[#This Row],[Age]]&lt;=40,"Adult",Table1[[#This Row],[Age]]&gt;40,"Senior")</f>
        <v>Adult</v>
      </c>
      <c r="AK951" t="str" cm="1">
        <f t="array" ref="AK951">_xlfn.IFS(Table1[[#This Row],[MonthlyIncome]]&lt;5000,"Low",Table1[[#This Row],[MonthlyIncome]]&lt;10000,"Medium",Table1[[#This Row],[MonthlyIncome]]&gt;10000,"High")</f>
        <v>Low</v>
      </c>
      <c r="AL951" t="str" cm="1">
        <f t="array" ref="AL951">_xlfn.IFS(Table1[[#This Row],[Attrition]]="Yes","Resigned",Table1[[#This Row],[Attrition]]="No","Active")</f>
        <v>Active</v>
      </c>
      <c r="AM951" t="str" cm="1">
        <f t="array" ref="AM951">_xlfn.IFS(Table1[[#This Row],[YearsAtCompany]]&lt;=1,"0-1 Year",Table1[[#This Row],[YearsAtCompany]]&lt;=2,"1-2 Years",Table1[[#This Row],[YearsAtCompany]]&lt;=3,"2-3 Years",Table1[[#This Row],[YearsAtCompany]]&lt;=4,"3-4 Years",Table1[[#This Row],[YearsAtCompany]]&lt;=5,"4-5 Years",Table1[[#This Row],[YearsAtCompany]]&gt;5,"&gt;5 Years")</f>
        <v>&gt;5 Years</v>
      </c>
    </row>
    <row r="952" spans="1:39" x14ac:dyDescent="0.45">
      <c r="A952">
        <v>31</v>
      </c>
      <c r="B952" t="s">
        <v>43</v>
      </c>
      <c r="C952" t="s">
        <v>62</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_xlfn.IFS(Table1[[#This Row],[Age]]&lt;30,"Young",Table1[[#This Row],[Age]]&lt;=40,"Adult",Table1[[#This Row],[Age]]&gt;40,"Senior")</f>
        <v>Adult</v>
      </c>
      <c r="AK952" t="str" cm="1">
        <f t="array" ref="AK952">_xlfn.IFS(Table1[[#This Row],[MonthlyIncome]]&lt;5000,"Low",Table1[[#This Row],[MonthlyIncome]]&lt;10000,"Medium",Table1[[#This Row],[MonthlyIncome]]&gt;10000,"High")</f>
        <v>Medium</v>
      </c>
      <c r="AL952" t="str" cm="1">
        <f t="array" ref="AL952">_xlfn.IFS(Table1[[#This Row],[Attrition]]="Yes","Resigned",Table1[[#This Row],[Attrition]]="No","Active")</f>
        <v>Active</v>
      </c>
      <c r="AM952" t="str" cm="1">
        <f t="array" ref="AM952">_xlfn.IFS(Table1[[#This Row],[YearsAtCompany]]&lt;=1,"0-1 Year",Table1[[#This Row],[YearsAtCompany]]&lt;=2,"1-2 Years",Table1[[#This Row],[YearsAtCompany]]&lt;=3,"2-3 Years",Table1[[#This Row],[YearsAtCompany]]&lt;=4,"3-4 Years",Table1[[#This Row],[YearsAtCompany]]&lt;=5,"4-5 Years",Table1[[#This Row],[YearsAtCompany]]&gt;5,"&gt;5 Years")</f>
        <v>&gt;5 Years</v>
      </c>
    </row>
    <row r="953" spans="1:39" x14ac:dyDescent="0.45">
      <c r="A953">
        <v>41</v>
      </c>
      <c r="B953" t="s">
        <v>43</v>
      </c>
      <c r="C953" t="s">
        <v>62</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_xlfn.IFS(Table1[[#This Row],[Age]]&lt;30,"Young",Table1[[#This Row],[Age]]&lt;=40,"Adult",Table1[[#This Row],[Age]]&gt;40,"Senior")</f>
        <v>Senior</v>
      </c>
      <c r="AK953" t="str" cm="1">
        <f t="array" ref="AK953">_xlfn.IFS(Table1[[#This Row],[MonthlyIncome]]&lt;5000,"Low",Table1[[#This Row],[MonthlyIncome]]&lt;10000,"Medium",Table1[[#This Row],[MonthlyIncome]]&gt;10000,"High")</f>
        <v>Medium</v>
      </c>
      <c r="AL953" t="str" cm="1">
        <f t="array" ref="AL953">_xlfn.IFS(Table1[[#This Row],[Attrition]]="Yes","Resigned",Table1[[#This Row],[Attrition]]="No","Active")</f>
        <v>Active</v>
      </c>
      <c r="AM953" t="str" cm="1">
        <f t="array" ref="AM953">_xlfn.IFS(Table1[[#This Row],[YearsAtCompany]]&lt;=1,"0-1 Year",Table1[[#This Row],[YearsAtCompany]]&lt;=2,"1-2 Years",Table1[[#This Row],[YearsAtCompany]]&lt;=3,"2-3 Years",Table1[[#This Row],[YearsAtCompany]]&lt;=4,"3-4 Years",Table1[[#This Row],[YearsAtCompany]]&lt;=5,"4-5 Years",Table1[[#This Row],[YearsAtCompany]]&gt;5,"&gt;5 Years")</f>
        <v>&gt;5 Years</v>
      </c>
    </row>
    <row r="954" spans="1:39" x14ac:dyDescent="0.45">
      <c r="A954">
        <v>31</v>
      </c>
      <c r="B954" t="s">
        <v>35</v>
      </c>
      <c r="C954" t="s">
        <v>63</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_xlfn.IFS(Table1[[#This Row],[Age]]&lt;30,"Young",Table1[[#This Row],[Age]]&lt;=40,"Adult",Table1[[#This Row],[Age]]&gt;40,"Senior")</f>
        <v>Adult</v>
      </c>
      <c r="AK954" t="str" cm="1">
        <f t="array" ref="AK954">_xlfn.IFS(Table1[[#This Row],[MonthlyIncome]]&lt;5000,"Low",Table1[[#This Row],[MonthlyIncome]]&lt;10000,"Medium",Table1[[#This Row],[MonthlyIncome]]&gt;10000,"High")</f>
        <v>Low</v>
      </c>
      <c r="AL954" t="str" cm="1">
        <f t="array" ref="AL954">_xlfn.IFS(Table1[[#This Row],[Attrition]]="Yes","Resigned",Table1[[#This Row],[Attrition]]="No","Active")</f>
        <v>Resigned</v>
      </c>
      <c r="AM954" t="str" cm="1">
        <f t="array" ref="AM954">_xlfn.IFS(Table1[[#This Row],[YearsAtCompany]]&lt;=1,"0-1 Year",Table1[[#This Row],[YearsAtCompany]]&lt;=2,"1-2 Years",Table1[[#This Row],[YearsAtCompany]]&lt;=3,"2-3 Years",Table1[[#This Row],[YearsAtCompany]]&lt;=4,"3-4 Years",Table1[[#This Row],[YearsAtCompany]]&lt;=5,"4-5 Years",Table1[[#This Row],[YearsAtCompany]]&gt;5,"&gt;5 Years")</f>
        <v>2-3 Years</v>
      </c>
    </row>
    <row r="955" spans="1:39" hidden="1" x14ac:dyDescent="0.45">
      <c r="A955">
        <v>44</v>
      </c>
      <c r="B955" t="s">
        <v>35</v>
      </c>
      <c r="C955" t="s">
        <v>64</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_xlfn.IFS(Table1[[#This Row],[Age]]&lt;30,"Young",Table1[[#This Row],[Age]]&lt;=40,"Adult",Table1[[#This Row],[Age]]&gt;40,"Senior")</f>
        <v>Senior</v>
      </c>
      <c r="AK955" t="str" cm="1">
        <f t="array" ref="AK955">_xlfn.IFS(Table1[[#This Row],[MonthlyIncome]]&lt;5000,"Low",Table1[[#This Row],[MonthlyIncome]]&lt;10000,"Medium",Table1[[#This Row],[MonthlyIncome]]&gt;10000,"High")</f>
        <v>Low</v>
      </c>
      <c r="AL955" t="str" cm="1">
        <f t="array" ref="AL955">_xlfn.IFS(Table1[[#This Row],[Attrition]]="Yes","Resigned",Table1[[#This Row],[Attrition]]="No","Active")</f>
        <v>Resigned</v>
      </c>
      <c r="AM955" t="str" cm="1">
        <f t="array" ref="AM955">_xlfn.IFS(Table1[[#This Row],[YearsAtCompany]]&lt;=1,"0-1 Year",Table1[[#This Row],[YearsAtCompany]]&lt;=2,"1-2 Years",Table1[[#This Row],[YearsAtCompany]]&lt;=3,"2-3 Years",Table1[[#This Row],[YearsAtCompany]]&lt;=4,"3-4 Years",Table1[[#This Row],[YearsAtCompany]]&lt;=5,"4-5 Years",Table1[[#This Row],[YearsAtCompany]]&gt;5,"&gt;5 Years")</f>
        <v>2-3 Years</v>
      </c>
    </row>
    <row r="956" spans="1:39" hidden="1" x14ac:dyDescent="0.45">
      <c r="A956">
        <v>42</v>
      </c>
      <c r="B956" t="s">
        <v>43</v>
      </c>
      <c r="C956" t="s">
        <v>62</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_xlfn.IFS(Table1[[#This Row],[Age]]&lt;30,"Young",Table1[[#This Row],[Age]]&lt;=40,"Adult",Table1[[#This Row],[Age]]&gt;40,"Senior")</f>
        <v>Senior</v>
      </c>
      <c r="AK956" t="str" cm="1">
        <f t="array" ref="AK956">_xlfn.IFS(Table1[[#This Row],[MonthlyIncome]]&lt;5000,"Low",Table1[[#This Row],[MonthlyIncome]]&lt;10000,"Medium",Table1[[#This Row],[MonthlyIncome]]&gt;10000,"High")</f>
        <v>High</v>
      </c>
      <c r="AL956" t="str" cm="1">
        <f t="array" ref="AL956">_xlfn.IFS(Table1[[#This Row],[Attrition]]="Yes","Resigned",Table1[[#This Row],[Attrition]]="No","Active")</f>
        <v>Active</v>
      </c>
      <c r="AM956" t="str" cm="1">
        <f t="array" ref="AM956">_xlfn.IFS(Table1[[#This Row],[YearsAtCompany]]&lt;=1,"0-1 Year",Table1[[#This Row],[YearsAtCompany]]&lt;=2,"1-2 Years",Table1[[#This Row],[YearsAtCompany]]&lt;=3,"2-3 Years",Table1[[#This Row],[YearsAtCompany]]&lt;=4,"3-4 Years",Table1[[#This Row],[YearsAtCompany]]&lt;=5,"4-5 Years",Table1[[#This Row],[YearsAtCompany]]&gt;5,"&gt;5 Years")</f>
        <v>&gt;5 Years</v>
      </c>
    </row>
    <row r="957" spans="1:39" hidden="1" x14ac:dyDescent="0.45">
      <c r="A957">
        <v>55</v>
      </c>
      <c r="B957" t="s">
        <v>43</v>
      </c>
      <c r="C957" t="s">
        <v>64</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_xlfn.IFS(Table1[[#This Row],[Age]]&lt;30,"Young",Table1[[#This Row],[Age]]&lt;=40,"Adult",Table1[[#This Row],[Age]]&gt;40,"Senior")</f>
        <v>Senior</v>
      </c>
      <c r="AK957" t="str" cm="1">
        <f t="array" ref="AK957">_xlfn.IFS(Table1[[#This Row],[MonthlyIncome]]&lt;5000,"Low",Table1[[#This Row],[MonthlyIncome]]&lt;10000,"Medium",Table1[[#This Row],[MonthlyIncome]]&gt;10000,"High")</f>
        <v>High</v>
      </c>
      <c r="AL957" t="str" cm="1">
        <f t="array" ref="AL957">_xlfn.IFS(Table1[[#This Row],[Attrition]]="Yes","Resigned",Table1[[#This Row],[Attrition]]="No","Active")</f>
        <v>Active</v>
      </c>
      <c r="AM957" t="str" cm="1">
        <f t="array" ref="AM957">_xlfn.IFS(Table1[[#This Row],[YearsAtCompany]]&lt;=1,"0-1 Year",Table1[[#This Row],[YearsAtCompany]]&lt;=2,"1-2 Years",Table1[[#This Row],[YearsAtCompany]]&lt;=3,"2-3 Years",Table1[[#This Row],[YearsAtCompany]]&lt;=4,"3-4 Years",Table1[[#This Row],[YearsAtCompany]]&lt;=5,"4-5 Years",Table1[[#This Row],[YearsAtCompany]]&gt;5,"&gt;5 Years")</f>
        <v>&gt;5 Years</v>
      </c>
    </row>
    <row r="958" spans="1:39" hidden="1" x14ac:dyDescent="0.45">
      <c r="A958">
        <v>56</v>
      </c>
      <c r="B958" t="s">
        <v>43</v>
      </c>
      <c r="C958" t="s">
        <v>64</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_xlfn.IFS(Table1[[#This Row],[Age]]&lt;30,"Young",Table1[[#This Row],[Age]]&lt;=40,"Adult",Table1[[#This Row],[Age]]&gt;40,"Senior")</f>
        <v>Senior</v>
      </c>
      <c r="AK958" t="str" cm="1">
        <f t="array" ref="AK958">_xlfn.IFS(Table1[[#This Row],[MonthlyIncome]]&lt;5000,"Low",Table1[[#This Row],[MonthlyIncome]]&lt;10000,"Medium",Table1[[#This Row],[MonthlyIncome]]&gt;10000,"High")</f>
        <v>High</v>
      </c>
      <c r="AL958" t="str" cm="1">
        <f t="array" ref="AL958">_xlfn.IFS(Table1[[#This Row],[Attrition]]="Yes","Resigned",Table1[[#This Row],[Attrition]]="No","Active")</f>
        <v>Active</v>
      </c>
      <c r="AM958" t="str" cm="1">
        <f t="array" ref="AM958">_xlfn.IFS(Table1[[#This Row],[YearsAtCompany]]&lt;=1,"0-1 Year",Table1[[#This Row],[YearsAtCompany]]&lt;=2,"1-2 Years",Table1[[#This Row],[YearsAtCompany]]&lt;=3,"2-3 Years",Table1[[#This Row],[YearsAtCompany]]&lt;=4,"3-4 Years",Table1[[#This Row],[YearsAtCompany]]&lt;=5,"4-5 Years",Table1[[#This Row],[YearsAtCompany]]&gt;5,"&gt;5 Years")</f>
        <v>&gt;5 Years</v>
      </c>
    </row>
    <row r="959" spans="1:39" hidden="1" x14ac:dyDescent="0.45">
      <c r="A959">
        <v>40</v>
      </c>
      <c r="B959" t="s">
        <v>43</v>
      </c>
      <c r="C959" t="s">
        <v>62</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_xlfn.IFS(Table1[[#This Row],[Age]]&lt;30,"Young",Table1[[#This Row],[Age]]&lt;=40,"Adult",Table1[[#This Row],[Age]]&gt;40,"Senior")</f>
        <v>Adult</v>
      </c>
      <c r="AK959" t="str" cm="1">
        <f t="array" ref="AK959">_xlfn.IFS(Table1[[#This Row],[MonthlyIncome]]&lt;5000,"Low",Table1[[#This Row],[MonthlyIncome]]&lt;10000,"Medium",Table1[[#This Row],[MonthlyIncome]]&gt;10000,"High")</f>
        <v>Low</v>
      </c>
      <c r="AL959" t="str" cm="1">
        <f t="array" ref="AL959">_xlfn.IFS(Table1[[#This Row],[Attrition]]="Yes","Resigned",Table1[[#This Row],[Attrition]]="No","Active")</f>
        <v>Active</v>
      </c>
      <c r="AM959" t="str" cm="1">
        <f t="array" ref="AM959">_xlfn.IFS(Table1[[#This Row],[YearsAtCompany]]&lt;=1,"0-1 Year",Table1[[#This Row],[YearsAtCompany]]&lt;=2,"1-2 Years",Table1[[#This Row],[YearsAtCompany]]&lt;=3,"2-3 Years",Table1[[#This Row],[YearsAtCompany]]&lt;=4,"3-4 Years",Table1[[#This Row],[YearsAtCompany]]&lt;=5,"4-5 Years",Table1[[#This Row],[YearsAtCompany]]&gt;5,"&gt;5 Years")</f>
        <v>3-4 Years</v>
      </c>
    </row>
    <row r="960" spans="1:39" hidden="1" x14ac:dyDescent="0.45">
      <c r="A960">
        <v>34</v>
      </c>
      <c r="B960" t="s">
        <v>43</v>
      </c>
      <c r="C960" t="s">
        <v>64</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_xlfn.IFS(Table1[[#This Row],[Age]]&lt;30,"Young",Table1[[#This Row],[Age]]&lt;=40,"Adult",Table1[[#This Row],[Age]]&gt;40,"Senior")</f>
        <v>Adult</v>
      </c>
      <c r="AK960" t="str" cm="1">
        <f t="array" ref="AK960">_xlfn.IFS(Table1[[#This Row],[MonthlyIncome]]&lt;5000,"Low",Table1[[#This Row],[MonthlyIncome]]&lt;10000,"Medium",Table1[[#This Row],[MonthlyIncome]]&gt;10000,"High")</f>
        <v>Medium</v>
      </c>
      <c r="AL960" t="str" cm="1">
        <f t="array" ref="AL960">_xlfn.IFS(Table1[[#This Row],[Attrition]]="Yes","Resigned",Table1[[#This Row],[Attrition]]="No","Active")</f>
        <v>Active</v>
      </c>
      <c r="AM960" t="str" cm="1">
        <f t="array" ref="AM960">_xlfn.IFS(Table1[[#This Row],[YearsAtCompany]]&lt;=1,"0-1 Year",Table1[[#This Row],[YearsAtCompany]]&lt;=2,"1-2 Years",Table1[[#This Row],[YearsAtCompany]]&lt;=3,"2-3 Years",Table1[[#This Row],[YearsAtCompany]]&lt;=4,"3-4 Years",Table1[[#This Row],[YearsAtCompany]]&lt;=5,"4-5 Years",Table1[[#This Row],[YearsAtCompany]]&gt;5,"&gt;5 Years")</f>
        <v>&gt;5 Years</v>
      </c>
    </row>
    <row r="961" spans="1:39" hidden="1" x14ac:dyDescent="0.45">
      <c r="A961">
        <v>40</v>
      </c>
      <c r="B961" t="s">
        <v>43</v>
      </c>
      <c r="C961" t="s">
        <v>64</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_xlfn.IFS(Table1[[#This Row],[Age]]&lt;30,"Young",Table1[[#This Row],[Age]]&lt;=40,"Adult",Table1[[#This Row],[Age]]&gt;40,"Senior")</f>
        <v>Adult</v>
      </c>
      <c r="AK961" t="str" cm="1">
        <f t="array" ref="AK961">_xlfn.IFS(Table1[[#This Row],[MonthlyIncome]]&lt;5000,"Low",Table1[[#This Row],[MonthlyIncome]]&lt;10000,"Medium",Table1[[#This Row],[MonthlyIncome]]&gt;10000,"High")</f>
        <v>Low</v>
      </c>
      <c r="AL961" t="str" cm="1">
        <f t="array" ref="AL961">_xlfn.IFS(Table1[[#This Row],[Attrition]]="Yes","Resigned",Table1[[#This Row],[Attrition]]="No","Active")</f>
        <v>Active</v>
      </c>
      <c r="AM961" t="str" cm="1">
        <f t="array" ref="AM961">_xlfn.IFS(Table1[[#This Row],[YearsAtCompany]]&lt;=1,"0-1 Year",Table1[[#This Row],[YearsAtCompany]]&lt;=2,"1-2 Years",Table1[[#This Row],[YearsAtCompany]]&lt;=3,"2-3 Years",Table1[[#This Row],[YearsAtCompany]]&lt;=4,"3-4 Years",Table1[[#This Row],[YearsAtCompany]]&lt;=5,"4-5 Years",Table1[[#This Row],[YearsAtCompany]]&gt;5,"&gt;5 Years")</f>
        <v>&gt;5 Years</v>
      </c>
    </row>
    <row r="962" spans="1:39" x14ac:dyDescent="0.45">
      <c r="A962">
        <v>41</v>
      </c>
      <c r="B962" t="s">
        <v>43</v>
      </c>
      <c r="C962" t="s">
        <v>63</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_xlfn.IFS(Table1[[#This Row],[Age]]&lt;30,"Young",Table1[[#This Row],[Age]]&lt;=40,"Adult",Table1[[#This Row],[Age]]&gt;40,"Senior")</f>
        <v>Senior</v>
      </c>
      <c r="AK962" t="str" cm="1">
        <f t="array" ref="AK962">_xlfn.IFS(Table1[[#This Row],[MonthlyIncome]]&lt;5000,"Low",Table1[[#This Row],[MonthlyIncome]]&lt;10000,"Medium",Table1[[#This Row],[MonthlyIncome]]&gt;10000,"High")</f>
        <v>Low</v>
      </c>
      <c r="AL962" t="str" cm="1">
        <f t="array" ref="AL962">_xlfn.IFS(Table1[[#This Row],[Attrition]]="Yes","Resigned",Table1[[#This Row],[Attrition]]="No","Active")</f>
        <v>Active</v>
      </c>
      <c r="AM962" t="str" cm="1">
        <f t="array" ref="AM962">_xlfn.IFS(Table1[[#This Row],[YearsAtCompany]]&lt;=1,"0-1 Year",Table1[[#This Row],[YearsAtCompany]]&lt;=2,"1-2 Years",Table1[[#This Row],[YearsAtCompany]]&lt;=3,"2-3 Years",Table1[[#This Row],[YearsAtCompany]]&lt;=4,"3-4 Years",Table1[[#This Row],[YearsAtCompany]]&lt;=5,"4-5 Years",Table1[[#This Row],[YearsAtCompany]]&gt;5,"&gt;5 Years")</f>
        <v>&gt;5 Years</v>
      </c>
    </row>
    <row r="963" spans="1:39" hidden="1" x14ac:dyDescent="0.45">
      <c r="A963">
        <v>35</v>
      </c>
      <c r="B963" t="s">
        <v>43</v>
      </c>
      <c r="C963" t="s">
        <v>63</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_xlfn.IFS(Table1[[#This Row],[Age]]&lt;30,"Young",Table1[[#This Row],[Age]]&lt;=40,"Adult",Table1[[#This Row],[Age]]&gt;40,"Senior")</f>
        <v>Adult</v>
      </c>
      <c r="AK963" t="str" cm="1">
        <f t="array" ref="AK963">_xlfn.IFS(Table1[[#This Row],[MonthlyIncome]]&lt;5000,"Low",Table1[[#This Row],[MonthlyIncome]]&lt;10000,"Medium",Table1[[#This Row],[MonthlyIncome]]&gt;10000,"High")</f>
        <v>Low</v>
      </c>
      <c r="AL963" t="str" cm="1">
        <f t="array" ref="AL963">_xlfn.IFS(Table1[[#This Row],[Attrition]]="Yes","Resigned",Table1[[#This Row],[Attrition]]="No","Active")</f>
        <v>Active</v>
      </c>
      <c r="AM963" t="str" cm="1">
        <f t="array" ref="AM963">_xlfn.IFS(Table1[[#This Row],[YearsAtCompany]]&lt;=1,"0-1 Year",Table1[[#This Row],[YearsAtCompany]]&lt;=2,"1-2 Years",Table1[[#This Row],[YearsAtCompany]]&lt;=3,"2-3 Years",Table1[[#This Row],[YearsAtCompany]]&lt;=4,"3-4 Years",Table1[[#This Row],[YearsAtCompany]]&lt;=5,"4-5 Years",Table1[[#This Row],[YearsAtCompany]]&gt;5,"&gt;5 Years")</f>
        <v>&gt;5 Years</v>
      </c>
    </row>
    <row r="964" spans="1:39" hidden="1" x14ac:dyDescent="0.45">
      <c r="A964">
        <v>51</v>
      </c>
      <c r="B964" t="s">
        <v>43</v>
      </c>
      <c r="C964" t="s">
        <v>64</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_xlfn.IFS(Table1[[#This Row],[Age]]&lt;30,"Young",Table1[[#This Row],[Age]]&lt;=40,"Adult",Table1[[#This Row],[Age]]&gt;40,"Senior")</f>
        <v>Senior</v>
      </c>
      <c r="AK964" t="str" cm="1">
        <f t="array" ref="AK964">_xlfn.IFS(Table1[[#This Row],[MonthlyIncome]]&lt;5000,"Low",Table1[[#This Row],[MonthlyIncome]]&lt;10000,"Medium",Table1[[#This Row],[MonthlyIncome]]&gt;10000,"High")</f>
        <v>High</v>
      </c>
      <c r="AL964" t="str" cm="1">
        <f t="array" ref="AL964">_xlfn.IFS(Table1[[#This Row],[Attrition]]="Yes","Resigned",Table1[[#This Row],[Attrition]]="No","Active")</f>
        <v>Active</v>
      </c>
      <c r="AM964" t="str" cm="1">
        <f t="array" ref="AM964">_xlfn.IFS(Table1[[#This Row],[YearsAtCompany]]&lt;=1,"0-1 Year",Table1[[#This Row],[YearsAtCompany]]&lt;=2,"1-2 Years",Table1[[#This Row],[YearsAtCompany]]&lt;=3,"2-3 Years",Table1[[#This Row],[YearsAtCompany]]&lt;=4,"3-4 Years",Table1[[#This Row],[YearsAtCompany]]&lt;=5,"4-5 Years",Table1[[#This Row],[YearsAtCompany]]&gt;5,"&gt;5 Years")</f>
        <v>&gt;5 Years</v>
      </c>
    </row>
    <row r="965" spans="1:39" x14ac:dyDescent="0.45">
      <c r="A965">
        <v>38</v>
      </c>
      <c r="B965" t="s">
        <v>43</v>
      </c>
      <c r="C965" t="s">
        <v>64</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_xlfn.IFS(Table1[[#This Row],[Age]]&lt;30,"Young",Table1[[#This Row],[Age]]&lt;=40,"Adult",Table1[[#This Row],[Age]]&gt;40,"Senior")</f>
        <v>Adult</v>
      </c>
      <c r="AK965" t="str" cm="1">
        <f t="array" ref="AK965">_xlfn.IFS(Table1[[#This Row],[MonthlyIncome]]&lt;5000,"Low",Table1[[#This Row],[MonthlyIncome]]&lt;10000,"Medium",Table1[[#This Row],[MonthlyIncome]]&gt;10000,"High")</f>
        <v>Medium</v>
      </c>
      <c r="AL965" t="str" cm="1">
        <f t="array" ref="AL965">_xlfn.IFS(Table1[[#This Row],[Attrition]]="Yes","Resigned",Table1[[#This Row],[Attrition]]="No","Active")</f>
        <v>Active</v>
      </c>
      <c r="AM965" t="str" cm="1">
        <f t="array" ref="AM965">_xlfn.IFS(Table1[[#This Row],[YearsAtCompany]]&lt;=1,"0-1 Year",Table1[[#This Row],[YearsAtCompany]]&lt;=2,"1-2 Years",Table1[[#This Row],[YearsAtCompany]]&lt;=3,"2-3 Years",Table1[[#This Row],[YearsAtCompany]]&lt;=4,"3-4 Years",Table1[[#This Row],[YearsAtCompany]]&lt;=5,"4-5 Years",Table1[[#This Row],[YearsAtCompany]]&gt;5,"&gt;5 Years")</f>
        <v>&gt;5 Years</v>
      </c>
    </row>
    <row r="966" spans="1:39" x14ac:dyDescent="0.45">
      <c r="A966">
        <v>34</v>
      </c>
      <c r="B966" t="s">
        <v>43</v>
      </c>
      <c r="C966" t="s">
        <v>64</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_xlfn.IFS(Table1[[#This Row],[Age]]&lt;30,"Young",Table1[[#This Row],[Age]]&lt;=40,"Adult",Table1[[#This Row],[Age]]&gt;40,"Senior")</f>
        <v>Adult</v>
      </c>
      <c r="AK966" t="str" cm="1">
        <f t="array" ref="AK966">_xlfn.IFS(Table1[[#This Row],[MonthlyIncome]]&lt;5000,"Low",Table1[[#This Row],[MonthlyIncome]]&lt;10000,"Medium",Table1[[#This Row],[MonthlyIncome]]&gt;10000,"High")</f>
        <v>Medium</v>
      </c>
      <c r="AL966" t="str" cm="1">
        <f t="array" ref="AL966">_xlfn.IFS(Table1[[#This Row],[Attrition]]="Yes","Resigned",Table1[[#This Row],[Attrition]]="No","Active")</f>
        <v>Active</v>
      </c>
      <c r="AM966" t="str" cm="1">
        <f t="array" ref="AM966">_xlfn.IFS(Table1[[#This Row],[YearsAtCompany]]&lt;=1,"0-1 Year",Table1[[#This Row],[YearsAtCompany]]&lt;=2,"1-2 Years",Table1[[#This Row],[YearsAtCompany]]&lt;=3,"2-3 Years",Table1[[#This Row],[YearsAtCompany]]&lt;=4,"3-4 Years",Table1[[#This Row],[YearsAtCompany]]&lt;=5,"4-5 Years",Table1[[#This Row],[YearsAtCompany]]&gt;5,"&gt;5 Years")</f>
        <v>&gt;5 Years</v>
      </c>
    </row>
    <row r="967" spans="1:39" hidden="1" x14ac:dyDescent="0.45">
      <c r="A967">
        <v>25</v>
      </c>
      <c r="B967" t="s">
        <v>43</v>
      </c>
      <c r="C967" t="s">
        <v>64</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_xlfn.IFS(Table1[[#This Row],[Age]]&lt;30,"Young",Table1[[#This Row],[Age]]&lt;=40,"Adult",Table1[[#This Row],[Age]]&gt;40,"Senior")</f>
        <v>Young</v>
      </c>
      <c r="AK967" t="str" cm="1">
        <f t="array" ref="AK967">_xlfn.IFS(Table1[[#This Row],[MonthlyIncome]]&lt;5000,"Low",Table1[[#This Row],[MonthlyIncome]]&lt;10000,"Medium",Table1[[#This Row],[MonthlyIncome]]&gt;10000,"High")</f>
        <v>Low</v>
      </c>
      <c r="AL967" t="str" cm="1">
        <f t="array" ref="AL967">_xlfn.IFS(Table1[[#This Row],[Attrition]]="Yes","Resigned",Table1[[#This Row],[Attrition]]="No","Active")</f>
        <v>Active</v>
      </c>
      <c r="AM967" t="str" cm="1">
        <f t="array" ref="AM967">_xlfn.IFS(Table1[[#This Row],[YearsAtCompany]]&lt;=1,"0-1 Year",Table1[[#This Row],[YearsAtCompany]]&lt;=2,"1-2 Years",Table1[[#This Row],[YearsAtCompany]]&lt;=3,"2-3 Years",Table1[[#This Row],[YearsAtCompany]]&lt;=4,"3-4 Years",Table1[[#This Row],[YearsAtCompany]]&lt;=5,"4-5 Years",Table1[[#This Row],[YearsAtCompany]]&gt;5,"&gt;5 Years")</f>
        <v>2-3 Years</v>
      </c>
    </row>
    <row r="968" spans="1:39" hidden="1" x14ac:dyDescent="0.45">
      <c r="A968">
        <v>58</v>
      </c>
      <c r="B968" t="s">
        <v>35</v>
      </c>
      <c r="C968" t="s">
        <v>64</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_xlfn.IFS(Table1[[#This Row],[Age]]&lt;30,"Young",Table1[[#This Row],[Age]]&lt;=40,"Adult",Table1[[#This Row],[Age]]&gt;40,"Senior")</f>
        <v>Senior</v>
      </c>
      <c r="AK968" t="str" cm="1">
        <f t="array" ref="AK968">_xlfn.IFS(Table1[[#This Row],[MonthlyIncome]]&lt;5000,"Low",Table1[[#This Row],[MonthlyIncome]]&lt;10000,"Medium",Table1[[#This Row],[MonthlyIncome]]&gt;10000,"High")</f>
        <v>High</v>
      </c>
      <c r="AL968" t="str" cm="1">
        <f t="array" ref="AL968">_xlfn.IFS(Table1[[#This Row],[Attrition]]="Yes","Resigned",Table1[[#This Row],[Attrition]]="No","Active")</f>
        <v>Resigned</v>
      </c>
      <c r="AM968" t="str" cm="1">
        <f t="array" ref="AM968">_xlfn.IFS(Table1[[#This Row],[YearsAtCompany]]&lt;=1,"0-1 Year",Table1[[#This Row],[YearsAtCompany]]&lt;=2,"1-2 Years",Table1[[#This Row],[YearsAtCompany]]&lt;=3,"2-3 Years",Table1[[#This Row],[YearsAtCompany]]&lt;=4,"3-4 Years",Table1[[#This Row],[YearsAtCompany]]&lt;=5,"4-5 Years",Table1[[#This Row],[YearsAtCompany]]&gt;5,"&gt;5 Years")</f>
        <v>&gt;5 Years</v>
      </c>
    </row>
    <row r="969" spans="1:39" hidden="1" x14ac:dyDescent="0.45">
      <c r="A969">
        <v>40</v>
      </c>
      <c r="B969" t="s">
        <v>43</v>
      </c>
      <c r="C969" t="s">
        <v>64</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_xlfn.IFS(Table1[[#This Row],[Age]]&lt;30,"Young",Table1[[#This Row],[Age]]&lt;=40,"Adult",Table1[[#This Row],[Age]]&gt;40,"Senior")</f>
        <v>Adult</v>
      </c>
      <c r="AK969" t="str" cm="1">
        <f t="array" ref="AK969">_xlfn.IFS(Table1[[#This Row],[MonthlyIncome]]&lt;5000,"Low",Table1[[#This Row],[MonthlyIncome]]&lt;10000,"Medium",Table1[[#This Row],[MonthlyIncome]]&gt;10000,"High")</f>
        <v>Low</v>
      </c>
      <c r="AL969" t="str" cm="1">
        <f t="array" ref="AL969">_xlfn.IFS(Table1[[#This Row],[Attrition]]="Yes","Resigned",Table1[[#This Row],[Attrition]]="No","Active")</f>
        <v>Active</v>
      </c>
      <c r="AM969" t="str" cm="1">
        <f t="array" ref="AM969">_xlfn.IFS(Table1[[#This Row],[YearsAtCompany]]&lt;=1,"0-1 Year",Table1[[#This Row],[YearsAtCompany]]&lt;=2,"1-2 Years",Table1[[#This Row],[YearsAtCompany]]&lt;=3,"2-3 Years",Table1[[#This Row],[YearsAtCompany]]&lt;=4,"3-4 Years",Table1[[#This Row],[YearsAtCompany]]&lt;=5,"4-5 Years",Table1[[#This Row],[YearsAtCompany]]&gt;5,"&gt;5 Years")</f>
        <v>3-4 Years</v>
      </c>
    </row>
    <row r="970" spans="1:39" x14ac:dyDescent="0.45">
      <c r="A970">
        <v>36</v>
      </c>
      <c r="B970" t="s">
        <v>43</v>
      </c>
      <c r="C970" t="s">
        <v>63</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_xlfn.IFS(Table1[[#This Row],[Age]]&lt;30,"Young",Table1[[#This Row],[Age]]&lt;=40,"Adult",Table1[[#This Row],[Age]]&gt;40,"Senior")</f>
        <v>Adult</v>
      </c>
      <c r="AK970" t="str" cm="1">
        <f t="array" ref="AK970">_xlfn.IFS(Table1[[#This Row],[MonthlyIncome]]&lt;5000,"Low",Table1[[#This Row],[MonthlyIncome]]&lt;10000,"Medium",Table1[[#This Row],[MonthlyIncome]]&gt;10000,"High")</f>
        <v>Low</v>
      </c>
      <c r="AL970" t="str" cm="1">
        <f t="array" ref="AL970">_xlfn.IFS(Table1[[#This Row],[Attrition]]="Yes","Resigned",Table1[[#This Row],[Attrition]]="No","Active")</f>
        <v>Active</v>
      </c>
      <c r="AM970" t="str" cm="1">
        <f t="array" ref="AM970">_xlfn.IFS(Table1[[#This Row],[YearsAtCompany]]&lt;=1,"0-1 Year",Table1[[#This Row],[YearsAtCompany]]&lt;=2,"1-2 Years",Table1[[#This Row],[YearsAtCompany]]&lt;=3,"2-3 Years",Table1[[#This Row],[YearsAtCompany]]&lt;=4,"3-4 Years",Table1[[#This Row],[YearsAtCompany]]&lt;=5,"4-5 Years",Table1[[#This Row],[YearsAtCompany]]&gt;5,"&gt;5 Years")</f>
        <v>&gt;5 Years</v>
      </c>
    </row>
    <row r="971" spans="1:39" hidden="1" x14ac:dyDescent="0.45">
      <c r="A971">
        <v>48</v>
      </c>
      <c r="B971" t="s">
        <v>43</v>
      </c>
      <c r="C971" t="s">
        <v>64</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_xlfn.IFS(Table1[[#This Row],[Age]]&lt;30,"Young",Table1[[#This Row],[Age]]&lt;=40,"Adult",Table1[[#This Row],[Age]]&gt;40,"Senior")</f>
        <v>Senior</v>
      </c>
      <c r="AK971" t="str" cm="1">
        <f t="array" ref="AK971">_xlfn.IFS(Table1[[#This Row],[MonthlyIncome]]&lt;5000,"Low",Table1[[#This Row],[MonthlyIncome]]&lt;10000,"Medium",Table1[[#This Row],[MonthlyIncome]]&gt;10000,"High")</f>
        <v>Medium</v>
      </c>
      <c r="AL971" t="str" cm="1">
        <f t="array" ref="AL971">_xlfn.IFS(Table1[[#This Row],[Attrition]]="Yes","Resigned",Table1[[#This Row],[Attrition]]="No","Active")</f>
        <v>Active</v>
      </c>
      <c r="AM971" t="str" cm="1">
        <f t="array" ref="AM971">_xlfn.IFS(Table1[[#This Row],[YearsAtCompany]]&lt;=1,"0-1 Year",Table1[[#This Row],[YearsAtCompany]]&lt;=2,"1-2 Years",Table1[[#This Row],[YearsAtCompany]]&lt;=3,"2-3 Years",Table1[[#This Row],[YearsAtCompany]]&lt;=4,"3-4 Years",Table1[[#This Row],[YearsAtCompany]]&lt;=5,"4-5 Years",Table1[[#This Row],[YearsAtCompany]]&gt;5,"&gt;5 Years")</f>
        <v>&gt;5 Years</v>
      </c>
    </row>
    <row r="972" spans="1:39" x14ac:dyDescent="0.45">
      <c r="A972">
        <v>27</v>
      </c>
      <c r="B972" t="s">
        <v>43</v>
      </c>
      <c r="C972" t="s">
        <v>64</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_xlfn.IFS(Table1[[#This Row],[Age]]&lt;30,"Young",Table1[[#This Row],[Age]]&lt;=40,"Adult",Table1[[#This Row],[Age]]&gt;40,"Senior")</f>
        <v>Young</v>
      </c>
      <c r="AK972" t="str" cm="1">
        <f t="array" ref="AK972">_xlfn.IFS(Table1[[#This Row],[MonthlyIncome]]&lt;5000,"Low",Table1[[#This Row],[MonthlyIncome]]&lt;10000,"Medium",Table1[[#This Row],[MonthlyIncome]]&gt;10000,"High")</f>
        <v>Low</v>
      </c>
      <c r="AL972" t="str" cm="1">
        <f t="array" ref="AL972">_xlfn.IFS(Table1[[#This Row],[Attrition]]="Yes","Resigned",Table1[[#This Row],[Attrition]]="No","Active")</f>
        <v>Active</v>
      </c>
      <c r="AM972" t="str" cm="1">
        <f t="array" ref="AM972">_xlfn.IFS(Table1[[#This Row],[YearsAtCompany]]&lt;=1,"0-1 Year",Table1[[#This Row],[YearsAtCompany]]&lt;=2,"1-2 Years",Table1[[#This Row],[YearsAtCompany]]&lt;=3,"2-3 Years",Table1[[#This Row],[YearsAtCompany]]&lt;=4,"3-4 Years",Table1[[#This Row],[YearsAtCompany]]&lt;=5,"4-5 Years",Table1[[#This Row],[YearsAtCompany]]&gt;5,"&gt;5 Years")</f>
        <v>0-1 Year</v>
      </c>
    </row>
    <row r="973" spans="1:39" hidden="1" x14ac:dyDescent="0.45">
      <c r="A973">
        <v>51</v>
      </c>
      <c r="B973" t="s">
        <v>43</v>
      </c>
      <c r="C973" t="s">
        <v>64</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_xlfn.IFS(Table1[[#This Row],[Age]]&lt;30,"Young",Table1[[#This Row],[Age]]&lt;=40,"Adult",Table1[[#This Row],[Age]]&gt;40,"Senior")</f>
        <v>Senior</v>
      </c>
      <c r="AK973" t="str" cm="1">
        <f t="array" ref="AK973">_xlfn.IFS(Table1[[#This Row],[MonthlyIncome]]&lt;5000,"Low",Table1[[#This Row],[MonthlyIncome]]&lt;10000,"Medium",Table1[[#This Row],[MonthlyIncome]]&gt;10000,"High")</f>
        <v>High</v>
      </c>
      <c r="AL973" t="str" cm="1">
        <f t="array" ref="AL973">_xlfn.IFS(Table1[[#This Row],[Attrition]]="Yes","Resigned",Table1[[#This Row],[Attrition]]="No","Active")</f>
        <v>Active</v>
      </c>
      <c r="AM973" t="str" cm="1">
        <f t="array" ref="AM973">_xlfn.IFS(Table1[[#This Row],[YearsAtCompany]]&lt;=1,"0-1 Year",Table1[[#This Row],[YearsAtCompany]]&lt;=2,"1-2 Years",Table1[[#This Row],[YearsAtCompany]]&lt;=3,"2-3 Years",Table1[[#This Row],[YearsAtCompany]]&lt;=4,"3-4 Years",Table1[[#This Row],[YearsAtCompany]]&lt;=5,"4-5 Years",Table1[[#This Row],[YearsAtCompany]]&gt;5,"&gt;5 Years")</f>
        <v>4-5 Years</v>
      </c>
    </row>
    <row r="974" spans="1:39" hidden="1" x14ac:dyDescent="0.45">
      <c r="A974">
        <v>18</v>
      </c>
      <c r="B974" t="s">
        <v>43</v>
      </c>
      <c r="C974" t="s">
        <v>62</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_xlfn.IFS(Table1[[#This Row],[Age]]&lt;30,"Young",Table1[[#This Row],[Age]]&lt;=40,"Adult",Table1[[#This Row],[Age]]&gt;40,"Senior")</f>
        <v>Young</v>
      </c>
      <c r="AK974" t="str" cm="1">
        <f t="array" ref="AK974">_xlfn.IFS(Table1[[#This Row],[MonthlyIncome]]&lt;5000,"Low",Table1[[#This Row],[MonthlyIncome]]&lt;10000,"Medium",Table1[[#This Row],[MonthlyIncome]]&gt;10000,"High")</f>
        <v>Low</v>
      </c>
      <c r="AL974" t="str" cm="1">
        <f t="array" ref="AL974">_xlfn.IFS(Table1[[#This Row],[Attrition]]="Yes","Resigned",Table1[[#This Row],[Attrition]]="No","Active")</f>
        <v>Active</v>
      </c>
      <c r="AM974" t="str" cm="1">
        <f t="array" ref="AM974">_xlfn.IFS(Table1[[#This Row],[YearsAtCompany]]&lt;=1,"0-1 Year",Table1[[#This Row],[YearsAtCompany]]&lt;=2,"1-2 Years",Table1[[#This Row],[YearsAtCompany]]&lt;=3,"2-3 Years",Table1[[#This Row],[YearsAtCompany]]&lt;=4,"3-4 Years",Table1[[#This Row],[YearsAtCompany]]&lt;=5,"4-5 Years",Table1[[#This Row],[YearsAtCompany]]&gt;5,"&gt;5 Years")</f>
        <v>0-1 Year</v>
      </c>
    </row>
    <row r="975" spans="1:39" hidden="1" x14ac:dyDescent="0.45">
      <c r="A975">
        <v>35</v>
      </c>
      <c r="B975" t="s">
        <v>43</v>
      </c>
      <c r="C975" t="s">
        <v>64</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_xlfn.IFS(Table1[[#This Row],[Age]]&lt;30,"Young",Table1[[#This Row],[Age]]&lt;=40,"Adult",Table1[[#This Row],[Age]]&gt;40,"Senior")</f>
        <v>Adult</v>
      </c>
      <c r="AK975" t="str" cm="1">
        <f t="array" ref="AK975">_xlfn.IFS(Table1[[#This Row],[MonthlyIncome]]&lt;5000,"Low",Table1[[#This Row],[MonthlyIncome]]&lt;10000,"Medium",Table1[[#This Row],[MonthlyIncome]]&gt;10000,"High")</f>
        <v>Medium</v>
      </c>
      <c r="AL975" t="str" cm="1">
        <f t="array" ref="AL975">_xlfn.IFS(Table1[[#This Row],[Attrition]]="Yes","Resigned",Table1[[#This Row],[Attrition]]="No","Active")</f>
        <v>Active</v>
      </c>
      <c r="AM975" t="str" cm="1">
        <f t="array" ref="AM975">_xlfn.IFS(Table1[[#This Row],[YearsAtCompany]]&lt;=1,"0-1 Year",Table1[[#This Row],[YearsAtCompany]]&lt;=2,"1-2 Years",Table1[[#This Row],[YearsAtCompany]]&lt;=3,"2-3 Years",Table1[[#This Row],[YearsAtCompany]]&lt;=4,"3-4 Years",Table1[[#This Row],[YearsAtCompany]]&lt;=5,"4-5 Years",Table1[[#This Row],[YearsAtCompany]]&gt;5,"&gt;5 Years")</f>
        <v>&gt;5 Years</v>
      </c>
    </row>
    <row r="976" spans="1:39" x14ac:dyDescent="0.45">
      <c r="A976">
        <v>27</v>
      </c>
      <c r="B976" t="s">
        <v>43</v>
      </c>
      <c r="C976" t="s">
        <v>63</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_xlfn.IFS(Table1[[#This Row],[Age]]&lt;30,"Young",Table1[[#This Row],[Age]]&lt;=40,"Adult",Table1[[#This Row],[Age]]&gt;40,"Senior")</f>
        <v>Young</v>
      </c>
      <c r="AK976" t="str" cm="1">
        <f t="array" ref="AK976">_xlfn.IFS(Table1[[#This Row],[MonthlyIncome]]&lt;5000,"Low",Table1[[#This Row],[MonthlyIncome]]&lt;10000,"Medium",Table1[[#This Row],[MonthlyIncome]]&gt;10000,"High")</f>
        <v>Medium</v>
      </c>
      <c r="AL976" t="str" cm="1">
        <f t="array" ref="AL976">_xlfn.IFS(Table1[[#This Row],[Attrition]]="Yes","Resigned",Table1[[#This Row],[Attrition]]="No","Active")</f>
        <v>Active</v>
      </c>
      <c r="AM976" t="str" cm="1">
        <f t="array" ref="AM976">_xlfn.IFS(Table1[[#This Row],[YearsAtCompany]]&lt;=1,"0-1 Year",Table1[[#This Row],[YearsAtCompany]]&lt;=2,"1-2 Years",Table1[[#This Row],[YearsAtCompany]]&lt;=3,"2-3 Years",Table1[[#This Row],[YearsAtCompany]]&lt;=4,"3-4 Years",Table1[[#This Row],[YearsAtCompany]]&lt;=5,"4-5 Years",Table1[[#This Row],[YearsAtCompany]]&gt;5,"&gt;5 Years")</f>
        <v>&gt;5 Years</v>
      </c>
    </row>
    <row r="977" spans="1:39" x14ac:dyDescent="0.45">
      <c r="A977">
        <v>55</v>
      </c>
      <c r="B977" t="s">
        <v>35</v>
      </c>
      <c r="C977" t="s">
        <v>64</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_xlfn.IFS(Table1[[#This Row],[Age]]&lt;30,"Young",Table1[[#This Row],[Age]]&lt;=40,"Adult",Table1[[#This Row],[Age]]&gt;40,"Senior")</f>
        <v>Senior</v>
      </c>
      <c r="AK977" t="str" cm="1">
        <f t="array" ref="AK977">_xlfn.IFS(Table1[[#This Row],[MonthlyIncome]]&lt;5000,"Low",Table1[[#This Row],[MonthlyIncome]]&lt;10000,"Medium",Table1[[#This Row],[MonthlyIncome]]&gt;10000,"High")</f>
        <v>High</v>
      </c>
      <c r="AL977" t="str" cm="1">
        <f t="array" ref="AL977">_xlfn.IFS(Table1[[#This Row],[Attrition]]="Yes","Resigned",Table1[[#This Row],[Attrition]]="No","Active")</f>
        <v>Resigned</v>
      </c>
      <c r="AM977" t="str" cm="1">
        <f t="array" ref="AM977">_xlfn.IFS(Table1[[#This Row],[YearsAtCompany]]&lt;=1,"0-1 Year",Table1[[#This Row],[YearsAtCompany]]&lt;=2,"1-2 Years",Table1[[#This Row],[YearsAtCompany]]&lt;=3,"2-3 Years",Table1[[#This Row],[YearsAtCompany]]&lt;=4,"3-4 Years",Table1[[#This Row],[YearsAtCompany]]&lt;=5,"4-5 Years",Table1[[#This Row],[YearsAtCompany]]&gt;5,"&gt;5 Years")</f>
        <v>&gt;5 Years</v>
      </c>
    </row>
    <row r="978" spans="1:39" hidden="1" x14ac:dyDescent="0.45">
      <c r="A978">
        <v>56</v>
      </c>
      <c r="B978" t="s">
        <v>43</v>
      </c>
      <c r="C978" t="s">
        <v>64</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_xlfn.IFS(Table1[[#This Row],[Age]]&lt;30,"Young",Table1[[#This Row],[Age]]&lt;=40,"Adult",Table1[[#This Row],[Age]]&gt;40,"Senior")</f>
        <v>Senior</v>
      </c>
      <c r="AK978" t="str" cm="1">
        <f t="array" ref="AK978">_xlfn.IFS(Table1[[#This Row],[MonthlyIncome]]&lt;5000,"Low",Table1[[#This Row],[MonthlyIncome]]&lt;10000,"Medium",Table1[[#This Row],[MonthlyIncome]]&gt;10000,"High")</f>
        <v>High</v>
      </c>
      <c r="AL978" t="str" cm="1">
        <f t="array" ref="AL978">_xlfn.IFS(Table1[[#This Row],[Attrition]]="Yes","Resigned",Table1[[#This Row],[Attrition]]="No","Active")</f>
        <v>Active</v>
      </c>
      <c r="AM978" t="str" cm="1">
        <f t="array" ref="AM978">_xlfn.IFS(Table1[[#This Row],[YearsAtCompany]]&lt;=1,"0-1 Year",Table1[[#This Row],[YearsAtCompany]]&lt;=2,"1-2 Years",Table1[[#This Row],[YearsAtCompany]]&lt;=3,"2-3 Years",Table1[[#This Row],[YearsAtCompany]]&lt;=4,"3-4 Years",Table1[[#This Row],[YearsAtCompany]]&lt;=5,"4-5 Years",Table1[[#This Row],[YearsAtCompany]]&gt;5,"&gt;5 Years")</f>
        <v>&gt;5 Years</v>
      </c>
    </row>
    <row r="979" spans="1:39" hidden="1" x14ac:dyDescent="0.45">
      <c r="A979">
        <v>34</v>
      </c>
      <c r="B979" t="s">
        <v>43</v>
      </c>
      <c r="C979" t="s">
        <v>62</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_xlfn.IFS(Table1[[#This Row],[Age]]&lt;30,"Young",Table1[[#This Row],[Age]]&lt;=40,"Adult",Table1[[#This Row],[Age]]&gt;40,"Senior")</f>
        <v>Adult</v>
      </c>
      <c r="AK979" t="str" cm="1">
        <f t="array" ref="AK979">_xlfn.IFS(Table1[[#This Row],[MonthlyIncome]]&lt;5000,"Low",Table1[[#This Row],[MonthlyIncome]]&lt;10000,"Medium",Table1[[#This Row],[MonthlyIncome]]&gt;10000,"High")</f>
        <v>Low</v>
      </c>
      <c r="AL979" t="str" cm="1">
        <f t="array" ref="AL979">_xlfn.IFS(Table1[[#This Row],[Attrition]]="Yes","Resigned",Table1[[#This Row],[Attrition]]="No","Active")</f>
        <v>Active</v>
      </c>
      <c r="AM979" t="str" cm="1">
        <f t="array" ref="AM979">_xlfn.IFS(Table1[[#This Row],[YearsAtCompany]]&lt;=1,"0-1 Year",Table1[[#This Row],[YearsAtCompany]]&lt;=2,"1-2 Years",Table1[[#This Row],[YearsAtCompany]]&lt;=3,"2-3 Years",Table1[[#This Row],[YearsAtCompany]]&lt;=4,"3-4 Years",Table1[[#This Row],[YearsAtCompany]]&lt;=5,"4-5 Years",Table1[[#This Row],[YearsAtCompany]]&gt;5,"&gt;5 Years")</f>
        <v>4-5 Years</v>
      </c>
    </row>
    <row r="980" spans="1:39" hidden="1" x14ac:dyDescent="0.45">
      <c r="A980">
        <v>40</v>
      </c>
      <c r="B980" t="s">
        <v>43</v>
      </c>
      <c r="C980" t="s">
        <v>64</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_xlfn.IFS(Table1[[#This Row],[Age]]&lt;30,"Young",Table1[[#This Row],[Age]]&lt;=40,"Adult",Table1[[#This Row],[Age]]&gt;40,"Senior")</f>
        <v>Adult</v>
      </c>
      <c r="AK980" t="str" cm="1">
        <f t="array" ref="AK980">_xlfn.IFS(Table1[[#This Row],[MonthlyIncome]]&lt;5000,"Low",Table1[[#This Row],[MonthlyIncome]]&lt;10000,"Medium",Table1[[#This Row],[MonthlyIncome]]&gt;10000,"High")</f>
        <v>Medium</v>
      </c>
      <c r="AL980" t="str" cm="1">
        <f t="array" ref="AL980">_xlfn.IFS(Table1[[#This Row],[Attrition]]="Yes","Resigned",Table1[[#This Row],[Attrition]]="No","Active")</f>
        <v>Active</v>
      </c>
      <c r="AM980" t="str" cm="1">
        <f t="array" ref="AM980">_xlfn.IFS(Table1[[#This Row],[YearsAtCompany]]&lt;=1,"0-1 Year",Table1[[#This Row],[YearsAtCompany]]&lt;=2,"1-2 Years",Table1[[#This Row],[YearsAtCompany]]&lt;=3,"2-3 Years",Table1[[#This Row],[YearsAtCompany]]&lt;=4,"3-4 Years",Table1[[#This Row],[YearsAtCompany]]&lt;=5,"4-5 Years",Table1[[#This Row],[YearsAtCompany]]&gt;5,"&gt;5 Years")</f>
        <v>&gt;5 Years</v>
      </c>
    </row>
    <row r="981" spans="1:39" hidden="1" x14ac:dyDescent="0.45">
      <c r="A981">
        <v>34</v>
      </c>
      <c r="B981" t="s">
        <v>43</v>
      </c>
      <c r="C981" t="s">
        <v>64</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_xlfn.IFS(Table1[[#This Row],[Age]]&lt;30,"Young",Table1[[#This Row],[Age]]&lt;=40,"Adult",Table1[[#This Row],[Age]]&gt;40,"Senior")</f>
        <v>Adult</v>
      </c>
      <c r="AK981" t="str" cm="1">
        <f t="array" ref="AK981">_xlfn.IFS(Table1[[#This Row],[MonthlyIncome]]&lt;5000,"Low",Table1[[#This Row],[MonthlyIncome]]&lt;10000,"Medium",Table1[[#This Row],[MonthlyIncome]]&gt;10000,"High")</f>
        <v>Medium</v>
      </c>
      <c r="AL981" t="str" cm="1">
        <f t="array" ref="AL981">_xlfn.IFS(Table1[[#This Row],[Attrition]]="Yes","Resigned",Table1[[#This Row],[Attrition]]="No","Active")</f>
        <v>Active</v>
      </c>
      <c r="AM981" t="str" cm="1">
        <f t="array" ref="AM981">_xlfn.IFS(Table1[[#This Row],[YearsAtCompany]]&lt;=1,"0-1 Year",Table1[[#This Row],[YearsAtCompany]]&lt;=2,"1-2 Years",Table1[[#This Row],[YearsAtCompany]]&lt;=3,"2-3 Years",Table1[[#This Row],[YearsAtCompany]]&lt;=4,"3-4 Years",Table1[[#This Row],[YearsAtCompany]]&lt;=5,"4-5 Years",Table1[[#This Row],[YearsAtCompany]]&gt;5,"&gt;5 Years")</f>
        <v>&gt;5 Years</v>
      </c>
    </row>
    <row r="982" spans="1:39" x14ac:dyDescent="0.45">
      <c r="A982">
        <v>31</v>
      </c>
      <c r="B982" t="s">
        <v>35</v>
      </c>
      <c r="C982" t="s">
        <v>63</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_xlfn.IFS(Table1[[#This Row],[Age]]&lt;30,"Young",Table1[[#This Row],[Age]]&lt;=40,"Adult",Table1[[#This Row],[Age]]&gt;40,"Senior")</f>
        <v>Adult</v>
      </c>
      <c r="AK982" t="str" cm="1">
        <f t="array" ref="AK982">_xlfn.IFS(Table1[[#This Row],[MonthlyIncome]]&lt;5000,"Low",Table1[[#This Row],[MonthlyIncome]]&lt;10000,"Medium",Table1[[#This Row],[MonthlyIncome]]&gt;10000,"High")</f>
        <v>Low</v>
      </c>
      <c r="AL982" t="str" cm="1">
        <f t="array" ref="AL982">_xlfn.IFS(Table1[[#This Row],[Attrition]]="Yes","Resigned",Table1[[#This Row],[Attrition]]="No","Active")</f>
        <v>Resigned</v>
      </c>
      <c r="AM982" t="str" cm="1">
        <f t="array" ref="AM982">_xlfn.IFS(Table1[[#This Row],[YearsAtCompany]]&lt;=1,"0-1 Year",Table1[[#This Row],[YearsAtCompany]]&lt;=2,"1-2 Years",Table1[[#This Row],[YearsAtCompany]]&lt;=3,"2-3 Years",Table1[[#This Row],[YearsAtCompany]]&lt;=4,"3-4 Years",Table1[[#This Row],[YearsAtCompany]]&lt;=5,"4-5 Years",Table1[[#This Row],[YearsAtCompany]]&gt;5,"&gt;5 Years")</f>
        <v>0-1 Year</v>
      </c>
    </row>
    <row r="983" spans="1:39" x14ac:dyDescent="0.45">
      <c r="A983">
        <v>35</v>
      </c>
      <c r="B983" t="s">
        <v>35</v>
      </c>
      <c r="C983" t="s">
        <v>63</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_xlfn.IFS(Table1[[#This Row],[Age]]&lt;30,"Young",Table1[[#This Row],[Age]]&lt;=40,"Adult",Table1[[#This Row],[Age]]&gt;40,"Senior")</f>
        <v>Adult</v>
      </c>
      <c r="AK983" t="str" cm="1">
        <f t="array" ref="AK983">_xlfn.IFS(Table1[[#This Row],[MonthlyIncome]]&lt;5000,"Low",Table1[[#This Row],[MonthlyIncome]]&lt;10000,"Medium",Table1[[#This Row],[MonthlyIncome]]&gt;10000,"High")</f>
        <v>Low</v>
      </c>
      <c r="AL983" t="str" cm="1">
        <f t="array" ref="AL983">_xlfn.IFS(Table1[[#This Row],[Attrition]]="Yes","Resigned",Table1[[#This Row],[Attrition]]="No","Active")</f>
        <v>Resigned</v>
      </c>
      <c r="AM983" t="str" cm="1">
        <f t="array" ref="AM983">_xlfn.IFS(Table1[[#This Row],[YearsAtCompany]]&lt;=1,"0-1 Year",Table1[[#This Row],[YearsAtCompany]]&lt;=2,"1-2 Years",Table1[[#This Row],[YearsAtCompany]]&lt;=3,"2-3 Years",Table1[[#This Row],[YearsAtCompany]]&lt;=4,"3-4 Years",Table1[[#This Row],[YearsAtCompany]]&lt;=5,"4-5 Years",Table1[[#This Row],[YearsAtCompany]]&gt;5,"&gt;5 Years")</f>
        <v>3-4 Years</v>
      </c>
    </row>
    <row r="984" spans="1:39" hidden="1" x14ac:dyDescent="0.45">
      <c r="A984">
        <v>38</v>
      </c>
      <c r="B984" t="s">
        <v>43</v>
      </c>
      <c r="C984" t="s">
        <v>63</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_xlfn.IFS(Table1[[#This Row],[Age]]&lt;30,"Young",Table1[[#This Row],[Age]]&lt;=40,"Adult",Table1[[#This Row],[Age]]&gt;40,"Senior")</f>
        <v>Adult</v>
      </c>
      <c r="AK984" t="str" cm="1">
        <f t="array" ref="AK984">_xlfn.IFS(Table1[[#This Row],[MonthlyIncome]]&lt;5000,"Low",Table1[[#This Row],[MonthlyIncome]]&lt;10000,"Medium",Table1[[#This Row],[MonthlyIncome]]&gt;10000,"High")</f>
        <v>Low</v>
      </c>
      <c r="AL984" t="str" cm="1">
        <f t="array" ref="AL984">_xlfn.IFS(Table1[[#This Row],[Attrition]]="Yes","Resigned",Table1[[#This Row],[Attrition]]="No","Active")</f>
        <v>Active</v>
      </c>
      <c r="AM984" t="str" cm="1">
        <f t="array" ref="AM984">_xlfn.IFS(Table1[[#This Row],[YearsAtCompany]]&lt;=1,"0-1 Year",Table1[[#This Row],[YearsAtCompany]]&lt;=2,"1-2 Years",Table1[[#This Row],[YearsAtCompany]]&lt;=3,"2-3 Years",Table1[[#This Row],[YearsAtCompany]]&lt;=4,"3-4 Years",Table1[[#This Row],[YearsAtCompany]]&lt;=5,"4-5 Years",Table1[[#This Row],[YearsAtCompany]]&gt;5,"&gt;5 Years")</f>
        <v>3-4 Years</v>
      </c>
    </row>
    <row r="985" spans="1:39" hidden="1" x14ac:dyDescent="0.45">
      <c r="A985">
        <v>34</v>
      </c>
      <c r="B985" t="s">
        <v>43</v>
      </c>
      <c r="C985" t="s">
        <v>64</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_xlfn.IFS(Table1[[#This Row],[Age]]&lt;30,"Young",Table1[[#This Row],[Age]]&lt;=40,"Adult",Table1[[#This Row],[Age]]&gt;40,"Senior")</f>
        <v>Adult</v>
      </c>
      <c r="AK985" t="str" cm="1">
        <f t="array" ref="AK985">_xlfn.IFS(Table1[[#This Row],[MonthlyIncome]]&lt;5000,"Low",Table1[[#This Row],[MonthlyIncome]]&lt;10000,"Medium",Table1[[#This Row],[MonthlyIncome]]&gt;10000,"High")</f>
        <v>Medium</v>
      </c>
      <c r="AL985" t="str" cm="1">
        <f t="array" ref="AL985">_xlfn.IFS(Table1[[#This Row],[Attrition]]="Yes","Resigned",Table1[[#This Row],[Attrition]]="No","Active")</f>
        <v>Active</v>
      </c>
      <c r="AM985" t="str" cm="1">
        <f t="array" ref="AM985">_xlfn.IFS(Table1[[#This Row],[YearsAtCompany]]&lt;=1,"0-1 Year",Table1[[#This Row],[YearsAtCompany]]&lt;=2,"1-2 Years",Table1[[#This Row],[YearsAtCompany]]&lt;=3,"2-3 Years",Table1[[#This Row],[YearsAtCompany]]&lt;=4,"3-4 Years",Table1[[#This Row],[YearsAtCompany]]&lt;=5,"4-5 Years",Table1[[#This Row],[YearsAtCompany]]&gt;5,"&gt;5 Years")</f>
        <v>&gt;5 Years</v>
      </c>
    </row>
    <row r="986" spans="1:39" x14ac:dyDescent="0.45">
      <c r="A986">
        <v>28</v>
      </c>
      <c r="B986" t="s">
        <v>43</v>
      </c>
      <c r="C986" t="s">
        <v>64</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_xlfn.IFS(Table1[[#This Row],[Age]]&lt;30,"Young",Table1[[#This Row],[Age]]&lt;=40,"Adult",Table1[[#This Row],[Age]]&gt;40,"Senior")</f>
        <v>Young</v>
      </c>
      <c r="AK986" t="str" cm="1">
        <f t="array" ref="AK986">_xlfn.IFS(Table1[[#This Row],[MonthlyIncome]]&lt;5000,"Low",Table1[[#This Row],[MonthlyIncome]]&lt;10000,"Medium",Table1[[#This Row],[MonthlyIncome]]&gt;10000,"High")</f>
        <v>Low</v>
      </c>
      <c r="AL986" t="str" cm="1">
        <f t="array" ref="AL986">_xlfn.IFS(Table1[[#This Row],[Attrition]]="Yes","Resigned",Table1[[#This Row],[Attrition]]="No","Active")</f>
        <v>Active</v>
      </c>
      <c r="AM986" t="str" cm="1">
        <f t="array" ref="AM986">_xlfn.IFS(Table1[[#This Row],[YearsAtCompany]]&lt;=1,"0-1 Year",Table1[[#This Row],[YearsAtCompany]]&lt;=2,"1-2 Years",Table1[[#This Row],[YearsAtCompany]]&lt;=3,"2-3 Years",Table1[[#This Row],[YearsAtCompany]]&lt;=4,"3-4 Years",Table1[[#This Row],[YearsAtCompany]]&lt;=5,"4-5 Years",Table1[[#This Row],[YearsAtCompany]]&gt;5,"&gt;5 Years")</f>
        <v>4-5 Years</v>
      </c>
    </row>
    <row r="987" spans="1:39" hidden="1" x14ac:dyDescent="0.45">
      <c r="A987">
        <v>31</v>
      </c>
      <c r="B987" t="s">
        <v>35</v>
      </c>
      <c r="C987" t="s">
        <v>64</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_xlfn.IFS(Table1[[#This Row],[Age]]&lt;30,"Young",Table1[[#This Row],[Age]]&lt;=40,"Adult",Table1[[#This Row],[Age]]&gt;40,"Senior")</f>
        <v>Adult</v>
      </c>
      <c r="AK987" t="str" cm="1">
        <f t="array" ref="AK987">_xlfn.IFS(Table1[[#This Row],[MonthlyIncome]]&lt;5000,"Low",Table1[[#This Row],[MonthlyIncome]]&lt;10000,"Medium",Table1[[#This Row],[MonthlyIncome]]&gt;10000,"High")</f>
        <v>Medium</v>
      </c>
      <c r="AL987" t="str" cm="1">
        <f t="array" ref="AL987">_xlfn.IFS(Table1[[#This Row],[Attrition]]="Yes","Resigned",Table1[[#This Row],[Attrition]]="No","Active")</f>
        <v>Resigned</v>
      </c>
      <c r="AM987" t="str" cm="1">
        <f t="array" ref="AM987">_xlfn.IFS(Table1[[#This Row],[YearsAtCompany]]&lt;=1,"0-1 Year",Table1[[#This Row],[YearsAtCompany]]&lt;=2,"1-2 Years",Table1[[#This Row],[YearsAtCompany]]&lt;=3,"2-3 Years",Table1[[#This Row],[YearsAtCompany]]&lt;=4,"3-4 Years",Table1[[#This Row],[YearsAtCompany]]&lt;=5,"4-5 Years",Table1[[#This Row],[YearsAtCompany]]&gt;5,"&gt;5 Years")</f>
        <v>&gt;5 Years</v>
      </c>
    </row>
    <row r="988" spans="1:39" x14ac:dyDescent="0.45">
      <c r="A988">
        <v>39</v>
      </c>
      <c r="B988" t="s">
        <v>43</v>
      </c>
      <c r="C988" t="s">
        <v>64</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_xlfn.IFS(Table1[[#This Row],[Age]]&lt;30,"Young",Table1[[#This Row],[Age]]&lt;=40,"Adult",Table1[[#This Row],[Age]]&gt;40,"Senior")</f>
        <v>Adult</v>
      </c>
      <c r="AK988" t="str" cm="1">
        <f t="array" ref="AK988">_xlfn.IFS(Table1[[#This Row],[MonthlyIncome]]&lt;5000,"Low",Table1[[#This Row],[MonthlyIncome]]&lt;10000,"Medium",Table1[[#This Row],[MonthlyIncome]]&gt;10000,"High")</f>
        <v>Medium</v>
      </c>
      <c r="AL988" t="str" cm="1">
        <f t="array" ref="AL988">_xlfn.IFS(Table1[[#This Row],[Attrition]]="Yes","Resigned",Table1[[#This Row],[Attrition]]="No","Active")</f>
        <v>Active</v>
      </c>
      <c r="AM988" t="str" cm="1">
        <f t="array" ref="AM988">_xlfn.IFS(Table1[[#This Row],[YearsAtCompany]]&lt;=1,"0-1 Year",Table1[[#This Row],[YearsAtCompany]]&lt;=2,"1-2 Years",Table1[[#This Row],[YearsAtCompany]]&lt;=3,"2-3 Years",Table1[[#This Row],[YearsAtCompany]]&lt;=4,"3-4 Years",Table1[[#This Row],[YearsAtCompany]]&lt;=5,"4-5 Years",Table1[[#This Row],[YearsAtCompany]]&gt;5,"&gt;5 Years")</f>
        <v>4-5 Years</v>
      </c>
    </row>
    <row r="989" spans="1:39" x14ac:dyDescent="0.45">
      <c r="A989">
        <v>51</v>
      </c>
      <c r="B989" t="s">
        <v>43</v>
      </c>
      <c r="C989" t="s">
        <v>63</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_xlfn.IFS(Table1[[#This Row],[Age]]&lt;30,"Young",Table1[[#This Row],[Age]]&lt;=40,"Adult",Table1[[#This Row],[Age]]&gt;40,"Senior")</f>
        <v>Senior</v>
      </c>
      <c r="AK989" t="str" cm="1">
        <f t="array" ref="AK989">_xlfn.IFS(Table1[[#This Row],[MonthlyIncome]]&lt;5000,"Low",Table1[[#This Row],[MonthlyIncome]]&lt;10000,"Medium",Table1[[#This Row],[MonthlyIncome]]&gt;10000,"High")</f>
        <v>High</v>
      </c>
      <c r="AL989" t="str" cm="1">
        <f t="array" ref="AL989">_xlfn.IFS(Table1[[#This Row],[Attrition]]="Yes","Resigned",Table1[[#This Row],[Attrition]]="No","Active")</f>
        <v>Active</v>
      </c>
      <c r="AM989" t="str" cm="1">
        <f t="array" ref="AM989">_xlfn.IFS(Table1[[#This Row],[YearsAtCompany]]&lt;=1,"0-1 Year",Table1[[#This Row],[YearsAtCompany]]&lt;=2,"1-2 Years",Table1[[#This Row],[YearsAtCompany]]&lt;=3,"2-3 Years",Table1[[#This Row],[YearsAtCompany]]&lt;=4,"3-4 Years",Table1[[#This Row],[YearsAtCompany]]&lt;=5,"4-5 Years",Table1[[#This Row],[YearsAtCompany]]&gt;5,"&gt;5 Years")</f>
        <v>3-4 Years</v>
      </c>
    </row>
    <row r="990" spans="1:39" hidden="1" x14ac:dyDescent="0.45">
      <c r="A990">
        <v>41</v>
      </c>
      <c r="B990" t="s">
        <v>43</v>
      </c>
      <c r="C990" t="s">
        <v>63</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_xlfn.IFS(Table1[[#This Row],[Age]]&lt;30,"Young",Table1[[#This Row],[Age]]&lt;=40,"Adult",Table1[[#This Row],[Age]]&gt;40,"Senior")</f>
        <v>Senior</v>
      </c>
      <c r="AK990" t="str" cm="1">
        <f t="array" ref="AK990">_xlfn.IFS(Table1[[#This Row],[MonthlyIncome]]&lt;5000,"Low",Table1[[#This Row],[MonthlyIncome]]&lt;10000,"Medium",Table1[[#This Row],[MonthlyIncome]]&gt;10000,"High")</f>
        <v>Medium</v>
      </c>
      <c r="AL990" t="str" cm="1">
        <f t="array" ref="AL990">_xlfn.IFS(Table1[[#This Row],[Attrition]]="Yes","Resigned",Table1[[#This Row],[Attrition]]="No","Active")</f>
        <v>Active</v>
      </c>
      <c r="AM990" t="str" cm="1">
        <f t="array" ref="AM990">_xlfn.IFS(Table1[[#This Row],[YearsAtCompany]]&lt;=1,"0-1 Year",Table1[[#This Row],[YearsAtCompany]]&lt;=2,"1-2 Years",Table1[[#This Row],[YearsAtCompany]]&lt;=3,"2-3 Years",Table1[[#This Row],[YearsAtCompany]]&lt;=4,"3-4 Years",Table1[[#This Row],[YearsAtCompany]]&lt;=5,"4-5 Years",Table1[[#This Row],[YearsAtCompany]]&gt;5,"&gt;5 Years")</f>
        <v>&gt;5 Years</v>
      </c>
    </row>
    <row r="991" spans="1:39" hidden="1" x14ac:dyDescent="0.45">
      <c r="A991">
        <v>37</v>
      </c>
      <c r="B991" t="s">
        <v>43</v>
      </c>
      <c r="C991" t="s">
        <v>64</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_xlfn.IFS(Table1[[#This Row],[Age]]&lt;30,"Young",Table1[[#This Row],[Age]]&lt;=40,"Adult",Table1[[#This Row],[Age]]&gt;40,"Senior")</f>
        <v>Adult</v>
      </c>
      <c r="AK991" t="str" cm="1">
        <f t="array" ref="AK991">_xlfn.IFS(Table1[[#This Row],[MonthlyIncome]]&lt;5000,"Low",Table1[[#This Row],[MonthlyIncome]]&lt;10000,"Medium",Table1[[#This Row],[MonthlyIncome]]&gt;10000,"High")</f>
        <v>Low</v>
      </c>
      <c r="AL991" t="str" cm="1">
        <f t="array" ref="AL991">_xlfn.IFS(Table1[[#This Row],[Attrition]]="Yes","Resigned",Table1[[#This Row],[Attrition]]="No","Active")</f>
        <v>Active</v>
      </c>
      <c r="AM991" t="str" cm="1">
        <f t="array" ref="AM991">_xlfn.IFS(Table1[[#This Row],[YearsAtCompany]]&lt;=1,"0-1 Year",Table1[[#This Row],[YearsAtCompany]]&lt;=2,"1-2 Years",Table1[[#This Row],[YearsAtCompany]]&lt;=3,"2-3 Years",Table1[[#This Row],[YearsAtCompany]]&lt;=4,"3-4 Years",Table1[[#This Row],[YearsAtCompany]]&lt;=5,"4-5 Years",Table1[[#This Row],[YearsAtCompany]]&gt;5,"&gt;5 Years")</f>
        <v>&gt;5 Years</v>
      </c>
    </row>
    <row r="992" spans="1:39" x14ac:dyDescent="0.45">
      <c r="A992">
        <v>33</v>
      </c>
      <c r="B992" t="s">
        <v>43</v>
      </c>
      <c r="C992" t="s">
        <v>63</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_xlfn.IFS(Table1[[#This Row],[Age]]&lt;30,"Young",Table1[[#This Row],[Age]]&lt;=40,"Adult",Table1[[#This Row],[Age]]&gt;40,"Senior")</f>
        <v>Adult</v>
      </c>
      <c r="AK992" t="str" cm="1">
        <f t="array" ref="AK992">_xlfn.IFS(Table1[[#This Row],[MonthlyIncome]]&lt;5000,"Low",Table1[[#This Row],[MonthlyIncome]]&lt;10000,"Medium",Table1[[#This Row],[MonthlyIncome]]&gt;10000,"High")</f>
        <v>Medium</v>
      </c>
      <c r="AL992" t="str" cm="1">
        <f t="array" ref="AL992">_xlfn.IFS(Table1[[#This Row],[Attrition]]="Yes","Resigned",Table1[[#This Row],[Attrition]]="No","Active")</f>
        <v>Active</v>
      </c>
      <c r="AM992" t="str" cm="1">
        <f t="array" ref="AM992">_xlfn.IFS(Table1[[#This Row],[YearsAtCompany]]&lt;=1,"0-1 Year",Table1[[#This Row],[YearsAtCompany]]&lt;=2,"1-2 Years",Table1[[#This Row],[YearsAtCompany]]&lt;=3,"2-3 Years",Table1[[#This Row],[YearsAtCompany]]&lt;=4,"3-4 Years",Table1[[#This Row],[YearsAtCompany]]&lt;=5,"4-5 Years",Table1[[#This Row],[YearsAtCompany]]&gt;5,"&gt;5 Years")</f>
        <v>4-5 Years</v>
      </c>
    </row>
    <row r="993" spans="1:39" x14ac:dyDescent="0.45">
      <c r="A993">
        <v>32</v>
      </c>
      <c r="B993" t="s">
        <v>43</v>
      </c>
      <c r="C993" t="s">
        <v>64</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_xlfn.IFS(Table1[[#This Row],[Age]]&lt;30,"Young",Table1[[#This Row],[Age]]&lt;=40,"Adult",Table1[[#This Row],[Age]]&gt;40,"Senior")</f>
        <v>Adult</v>
      </c>
      <c r="AK993" t="str" cm="1">
        <f t="array" ref="AK993">_xlfn.IFS(Table1[[#This Row],[MonthlyIncome]]&lt;5000,"Low",Table1[[#This Row],[MonthlyIncome]]&lt;10000,"Medium",Table1[[#This Row],[MonthlyIncome]]&gt;10000,"High")</f>
        <v>Low</v>
      </c>
      <c r="AL993" t="str" cm="1">
        <f t="array" ref="AL993">_xlfn.IFS(Table1[[#This Row],[Attrition]]="Yes","Resigned",Table1[[#This Row],[Attrition]]="No","Active")</f>
        <v>Active</v>
      </c>
      <c r="AM993" t="str" cm="1">
        <f t="array" ref="AM993">_xlfn.IFS(Table1[[#This Row],[YearsAtCompany]]&lt;=1,"0-1 Year",Table1[[#This Row],[YearsAtCompany]]&lt;=2,"1-2 Years",Table1[[#This Row],[YearsAtCompany]]&lt;=3,"2-3 Years",Table1[[#This Row],[YearsAtCompany]]&lt;=4,"3-4 Years",Table1[[#This Row],[YearsAtCompany]]&lt;=5,"4-5 Years",Table1[[#This Row],[YearsAtCompany]]&gt;5,"&gt;5 Years")</f>
        <v>2-3 Years</v>
      </c>
    </row>
    <row r="994" spans="1:39" hidden="1" x14ac:dyDescent="0.45">
      <c r="A994">
        <v>39</v>
      </c>
      <c r="B994" t="s">
        <v>43</v>
      </c>
      <c r="C994" t="s">
        <v>62</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_xlfn.IFS(Table1[[#This Row],[Age]]&lt;30,"Young",Table1[[#This Row],[Age]]&lt;=40,"Adult",Table1[[#This Row],[Age]]&gt;40,"Senior")</f>
        <v>Adult</v>
      </c>
      <c r="AK994" t="str" cm="1">
        <f t="array" ref="AK994">_xlfn.IFS(Table1[[#This Row],[MonthlyIncome]]&lt;5000,"Low",Table1[[#This Row],[MonthlyIncome]]&lt;10000,"Medium",Table1[[#This Row],[MonthlyIncome]]&gt;10000,"High")</f>
        <v>High</v>
      </c>
      <c r="AL994" t="str" cm="1">
        <f t="array" ref="AL994">_xlfn.IFS(Table1[[#This Row],[Attrition]]="Yes","Resigned",Table1[[#This Row],[Attrition]]="No","Active")</f>
        <v>Active</v>
      </c>
      <c r="AM994" t="str" cm="1">
        <f t="array" ref="AM994">_xlfn.IFS(Table1[[#This Row],[YearsAtCompany]]&lt;=1,"0-1 Year",Table1[[#This Row],[YearsAtCompany]]&lt;=2,"1-2 Years",Table1[[#This Row],[YearsAtCompany]]&lt;=3,"2-3 Years",Table1[[#This Row],[YearsAtCompany]]&lt;=4,"3-4 Years",Table1[[#This Row],[YearsAtCompany]]&lt;=5,"4-5 Years",Table1[[#This Row],[YearsAtCompany]]&gt;5,"&gt;5 Years")</f>
        <v>&gt;5 Years</v>
      </c>
    </row>
    <row r="995" spans="1:39" x14ac:dyDescent="0.45">
      <c r="A995">
        <v>25</v>
      </c>
      <c r="B995" t="s">
        <v>43</v>
      </c>
      <c r="C995" t="s">
        <v>64</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_xlfn.IFS(Table1[[#This Row],[Age]]&lt;30,"Young",Table1[[#This Row],[Age]]&lt;=40,"Adult",Table1[[#This Row],[Age]]&gt;40,"Senior")</f>
        <v>Young</v>
      </c>
      <c r="AK995" t="str" cm="1">
        <f t="array" ref="AK995">_xlfn.IFS(Table1[[#This Row],[MonthlyIncome]]&lt;5000,"Low",Table1[[#This Row],[MonthlyIncome]]&lt;10000,"Medium",Table1[[#This Row],[MonthlyIncome]]&gt;10000,"High")</f>
        <v>Medium</v>
      </c>
      <c r="AL995" t="str" cm="1">
        <f t="array" ref="AL995">_xlfn.IFS(Table1[[#This Row],[Attrition]]="Yes","Resigned",Table1[[#This Row],[Attrition]]="No","Active")</f>
        <v>Active</v>
      </c>
      <c r="AM995" t="str" cm="1">
        <f t="array" ref="AM995">_xlfn.IFS(Table1[[#This Row],[YearsAtCompany]]&lt;=1,"0-1 Year",Table1[[#This Row],[YearsAtCompany]]&lt;=2,"1-2 Years",Table1[[#This Row],[YearsAtCompany]]&lt;=3,"2-3 Years",Table1[[#This Row],[YearsAtCompany]]&lt;=4,"3-4 Years",Table1[[#This Row],[YearsAtCompany]]&lt;=5,"4-5 Years",Table1[[#This Row],[YearsAtCompany]]&gt;5,"&gt;5 Years")</f>
        <v>2-3 Years</v>
      </c>
    </row>
    <row r="996" spans="1:39" hidden="1" x14ac:dyDescent="0.45">
      <c r="A996">
        <v>52</v>
      </c>
      <c r="B996" t="s">
        <v>43</v>
      </c>
      <c r="C996" t="s">
        <v>63</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_xlfn.IFS(Table1[[#This Row],[Age]]&lt;30,"Young",Table1[[#This Row],[Age]]&lt;=40,"Adult",Table1[[#This Row],[Age]]&gt;40,"Senior")</f>
        <v>Senior</v>
      </c>
      <c r="AK996" t="str" cm="1">
        <f t="array" ref="AK996">_xlfn.IFS(Table1[[#This Row],[MonthlyIncome]]&lt;5000,"Low",Table1[[#This Row],[MonthlyIncome]]&lt;10000,"Medium",Table1[[#This Row],[MonthlyIncome]]&gt;10000,"High")</f>
        <v>High</v>
      </c>
      <c r="AL996" t="str" cm="1">
        <f t="array" ref="AL996">_xlfn.IFS(Table1[[#This Row],[Attrition]]="Yes","Resigned",Table1[[#This Row],[Attrition]]="No","Active")</f>
        <v>Active</v>
      </c>
      <c r="AM996" t="str" cm="1">
        <f t="array" ref="AM996">_xlfn.IFS(Table1[[#This Row],[YearsAtCompany]]&lt;=1,"0-1 Year",Table1[[#This Row],[YearsAtCompany]]&lt;=2,"1-2 Years",Table1[[#This Row],[YearsAtCompany]]&lt;=3,"2-3 Years",Table1[[#This Row],[YearsAtCompany]]&lt;=4,"3-4 Years",Table1[[#This Row],[YearsAtCompany]]&lt;=5,"4-5 Years",Table1[[#This Row],[YearsAtCompany]]&gt;5,"&gt;5 Years")</f>
        <v>4-5 Years</v>
      </c>
    </row>
    <row r="997" spans="1:39" hidden="1" x14ac:dyDescent="0.45">
      <c r="A997">
        <v>43</v>
      </c>
      <c r="B997" t="s">
        <v>43</v>
      </c>
      <c r="C997" t="s">
        <v>64</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_xlfn.IFS(Table1[[#This Row],[Age]]&lt;30,"Young",Table1[[#This Row],[Age]]&lt;=40,"Adult",Table1[[#This Row],[Age]]&gt;40,"Senior")</f>
        <v>Senior</v>
      </c>
      <c r="AK997" t="str" cm="1">
        <f t="array" ref="AK997">_xlfn.IFS(Table1[[#This Row],[MonthlyIncome]]&lt;5000,"Low",Table1[[#This Row],[MonthlyIncome]]&lt;10000,"Medium",Table1[[#This Row],[MonthlyIncome]]&gt;10000,"High")</f>
        <v>Low</v>
      </c>
      <c r="AL997" t="str" cm="1">
        <f t="array" ref="AL997">_xlfn.IFS(Table1[[#This Row],[Attrition]]="Yes","Resigned",Table1[[#This Row],[Attrition]]="No","Active")</f>
        <v>Active</v>
      </c>
      <c r="AM997" t="str" cm="1">
        <f t="array" ref="AM997">_xlfn.IFS(Table1[[#This Row],[YearsAtCompany]]&lt;=1,"0-1 Year",Table1[[#This Row],[YearsAtCompany]]&lt;=2,"1-2 Years",Table1[[#This Row],[YearsAtCompany]]&lt;=3,"2-3 Years",Table1[[#This Row],[YearsAtCompany]]&lt;=4,"3-4 Years",Table1[[#This Row],[YearsAtCompany]]&lt;=5,"4-5 Years",Table1[[#This Row],[YearsAtCompany]]&gt;5,"&gt;5 Years")</f>
        <v>&gt;5 Years</v>
      </c>
    </row>
    <row r="998" spans="1:39" x14ac:dyDescent="0.45">
      <c r="A998">
        <v>27</v>
      </c>
      <c r="B998" t="s">
        <v>43</v>
      </c>
      <c r="C998" t="s">
        <v>64</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_xlfn.IFS(Table1[[#This Row],[Age]]&lt;30,"Young",Table1[[#This Row],[Age]]&lt;=40,"Adult",Table1[[#This Row],[Age]]&gt;40,"Senior")</f>
        <v>Young</v>
      </c>
      <c r="AK998" t="str" cm="1">
        <f t="array" ref="AK998">_xlfn.IFS(Table1[[#This Row],[MonthlyIncome]]&lt;5000,"Low",Table1[[#This Row],[MonthlyIncome]]&lt;10000,"Medium",Table1[[#This Row],[MonthlyIncome]]&gt;10000,"High")</f>
        <v>Medium</v>
      </c>
      <c r="AL998" t="str" cm="1">
        <f t="array" ref="AL998">_xlfn.IFS(Table1[[#This Row],[Attrition]]="Yes","Resigned",Table1[[#This Row],[Attrition]]="No","Active")</f>
        <v>Active</v>
      </c>
      <c r="AM998" t="str" cm="1">
        <f t="array" ref="AM998">_xlfn.IFS(Table1[[#This Row],[YearsAtCompany]]&lt;=1,"0-1 Year",Table1[[#This Row],[YearsAtCompany]]&lt;=2,"1-2 Years",Table1[[#This Row],[YearsAtCompany]]&lt;=3,"2-3 Years",Table1[[#This Row],[YearsAtCompany]]&lt;=4,"3-4 Years",Table1[[#This Row],[YearsAtCompany]]&lt;=5,"4-5 Years",Table1[[#This Row],[YearsAtCompany]]&gt;5,"&gt;5 Years")</f>
        <v>&gt;5 Years</v>
      </c>
    </row>
    <row r="999" spans="1:39" hidden="1" x14ac:dyDescent="0.45">
      <c r="A999">
        <v>27</v>
      </c>
      <c r="B999" t="s">
        <v>35</v>
      </c>
      <c r="C999" t="s">
        <v>64</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_xlfn.IFS(Table1[[#This Row],[Age]]&lt;30,"Young",Table1[[#This Row],[Age]]&lt;=40,"Adult",Table1[[#This Row],[Age]]&gt;40,"Senior")</f>
        <v>Young</v>
      </c>
      <c r="AK999" t="str" cm="1">
        <f t="array" ref="AK999">_xlfn.IFS(Table1[[#This Row],[MonthlyIncome]]&lt;5000,"Low",Table1[[#This Row],[MonthlyIncome]]&lt;10000,"Medium",Table1[[#This Row],[MonthlyIncome]]&gt;10000,"High")</f>
        <v>Low</v>
      </c>
      <c r="AL999" t="str" cm="1">
        <f t="array" ref="AL999">_xlfn.IFS(Table1[[#This Row],[Attrition]]="Yes","Resigned",Table1[[#This Row],[Attrition]]="No","Active")</f>
        <v>Resigned</v>
      </c>
      <c r="AM999" t="str" cm="1">
        <f t="array" ref="AM999">_xlfn.IFS(Table1[[#This Row],[YearsAtCompany]]&lt;=1,"0-1 Year",Table1[[#This Row],[YearsAtCompany]]&lt;=2,"1-2 Years",Table1[[#This Row],[YearsAtCompany]]&lt;=3,"2-3 Years",Table1[[#This Row],[YearsAtCompany]]&lt;=4,"3-4 Years",Table1[[#This Row],[YearsAtCompany]]&lt;=5,"4-5 Years",Table1[[#This Row],[YearsAtCompany]]&gt;5,"&gt;5 Years")</f>
        <v>&gt;5 Years</v>
      </c>
    </row>
    <row r="1000" spans="1:39" hidden="1" x14ac:dyDescent="0.45">
      <c r="A1000">
        <v>26</v>
      </c>
      <c r="B1000" t="s">
        <v>43</v>
      </c>
      <c r="C1000" t="s">
        <v>64</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_xlfn.IFS(Table1[[#This Row],[Age]]&lt;30,"Young",Table1[[#This Row],[Age]]&lt;=40,"Adult",Table1[[#This Row],[Age]]&gt;40,"Senior")</f>
        <v>Young</v>
      </c>
      <c r="AK1000" t="str" cm="1">
        <f t="array" ref="AK1000">_xlfn.IFS(Table1[[#This Row],[MonthlyIncome]]&lt;5000,"Low",Table1[[#This Row],[MonthlyIncome]]&lt;10000,"Medium",Table1[[#This Row],[MonthlyIncome]]&gt;10000,"High")</f>
        <v>Low</v>
      </c>
      <c r="AL1000" t="str" cm="1">
        <f t="array" ref="AL1000">_xlfn.IFS(Table1[[#This Row],[Attrition]]="Yes","Resigned",Table1[[#This Row],[Attrition]]="No","Active")</f>
        <v>Active</v>
      </c>
      <c r="AM1000" t="str" cm="1">
        <f t="array" ref="AM1000">_xlfn.IFS(Table1[[#This Row],[YearsAtCompany]]&lt;=1,"0-1 Year",Table1[[#This Row],[YearsAtCompany]]&lt;=2,"1-2 Years",Table1[[#This Row],[YearsAtCompany]]&lt;=3,"2-3 Years",Table1[[#This Row],[YearsAtCompany]]&lt;=4,"3-4 Years",Table1[[#This Row],[YearsAtCompany]]&lt;=5,"4-5 Years",Table1[[#This Row],[YearsAtCompany]]&gt;5,"&gt;5 Years")</f>
        <v>3-4 Years</v>
      </c>
    </row>
    <row r="1001" spans="1:39" hidden="1" x14ac:dyDescent="0.45">
      <c r="A1001">
        <v>42</v>
      </c>
      <c r="B1001" t="s">
        <v>43</v>
      </c>
      <c r="C1001" t="s">
        <v>64</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_xlfn.IFS(Table1[[#This Row],[Age]]&lt;30,"Young",Table1[[#This Row],[Age]]&lt;=40,"Adult",Table1[[#This Row],[Age]]&gt;40,"Senior")</f>
        <v>Senior</v>
      </c>
      <c r="AK1001" t="str" cm="1">
        <f t="array" ref="AK1001">_xlfn.IFS(Table1[[#This Row],[MonthlyIncome]]&lt;5000,"Low",Table1[[#This Row],[MonthlyIncome]]&lt;10000,"Medium",Table1[[#This Row],[MonthlyIncome]]&gt;10000,"High")</f>
        <v>High</v>
      </c>
      <c r="AL1001" t="str" cm="1">
        <f t="array" ref="AL1001">_xlfn.IFS(Table1[[#This Row],[Attrition]]="Yes","Resigned",Table1[[#This Row],[Attrition]]="No","Active")</f>
        <v>Active</v>
      </c>
      <c r="AM1001" t="str" cm="1">
        <f t="array" ref="AM1001">_xlfn.IFS(Table1[[#This Row],[YearsAtCompany]]&lt;=1,"0-1 Year",Table1[[#This Row],[YearsAtCompany]]&lt;=2,"1-2 Years",Table1[[#This Row],[YearsAtCompany]]&lt;=3,"2-3 Years",Table1[[#This Row],[YearsAtCompany]]&lt;=4,"3-4 Years",Table1[[#This Row],[YearsAtCompany]]&lt;=5,"4-5 Years",Table1[[#This Row],[YearsAtCompany]]&gt;5,"&gt;5 Years")</f>
        <v>&gt;5 Years</v>
      </c>
    </row>
    <row r="1002" spans="1:39" hidden="1" x14ac:dyDescent="0.45">
      <c r="A1002">
        <v>52</v>
      </c>
      <c r="B1002" t="s">
        <v>43</v>
      </c>
      <c r="C1002" t="s">
        <v>64</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_xlfn.IFS(Table1[[#This Row],[Age]]&lt;30,"Young",Table1[[#This Row],[Age]]&lt;=40,"Adult",Table1[[#This Row],[Age]]&gt;40,"Senior")</f>
        <v>Senior</v>
      </c>
      <c r="AK1002" t="str" cm="1">
        <f t="array" ref="AK1002">_xlfn.IFS(Table1[[#This Row],[MonthlyIncome]]&lt;5000,"Low",Table1[[#This Row],[MonthlyIncome]]&lt;10000,"Medium",Table1[[#This Row],[MonthlyIncome]]&gt;10000,"High")</f>
        <v>Low</v>
      </c>
      <c r="AL1002" t="str" cm="1">
        <f t="array" ref="AL1002">_xlfn.IFS(Table1[[#This Row],[Attrition]]="Yes","Resigned",Table1[[#This Row],[Attrition]]="No","Active")</f>
        <v>Active</v>
      </c>
      <c r="AM1002" t="str" cm="1">
        <f t="array" ref="AM1002">_xlfn.IFS(Table1[[#This Row],[YearsAtCompany]]&lt;=1,"0-1 Year",Table1[[#This Row],[YearsAtCompany]]&lt;=2,"1-2 Years",Table1[[#This Row],[YearsAtCompany]]&lt;=3,"2-3 Years",Table1[[#This Row],[YearsAtCompany]]&lt;=4,"3-4 Years",Table1[[#This Row],[YearsAtCompany]]&lt;=5,"4-5 Years",Table1[[#This Row],[YearsAtCompany]]&gt;5,"&gt;5 Years")</f>
        <v>4-5 Years</v>
      </c>
    </row>
    <row r="1003" spans="1:39" hidden="1" x14ac:dyDescent="0.45">
      <c r="A1003">
        <v>37</v>
      </c>
      <c r="B1003" t="s">
        <v>43</v>
      </c>
      <c r="C1003" t="s">
        <v>64</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_xlfn.IFS(Table1[[#This Row],[Age]]&lt;30,"Young",Table1[[#This Row],[Age]]&lt;=40,"Adult",Table1[[#This Row],[Age]]&gt;40,"Senior")</f>
        <v>Adult</v>
      </c>
      <c r="AK1003" t="str" cm="1">
        <f t="array" ref="AK1003">_xlfn.IFS(Table1[[#This Row],[MonthlyIncome]]&lt;5000,"Low",Table1[[#This Row],[MonthlyIncome]]&lt;10000,"Medium",Table1[[#This Row],[MonthlyIncome]]&gt;10000,"High")</f>
        <v>Low</v>
      </c>
      <c r="AL1003" t="str" cm="1">
        <f t="array" ref="AL1003">_xlfn.IFS(Table1[[#This Row],[Attrition]]="Yes","Resigned",Table1[[#This Row],[Attrition]]="No","Active")</f>
        <v>Active</v>
      </c>
      <c r="AM1003" t="str" cm="1">
        <f t="array" ref="AM1003">_xlfn.IFS(Table1[[#This Row],[YearsAtCompany]]&lt;=1,"0-1 Year",Table1[[#This Row],[YearsAtCompany]]&lt;=2,"1-2 Years",Table1[[#This Row],[YearsAtCompany]]&lt;=3,"2-3 Years",Table1[[#This Row],[YearsAtCompany]]&lt;=4,"3-4 Years",Table1[[#This Row],[YearsAtCompany]]&lt;=5,"4-5 Years",Table1[[#This Row],[YearsAtCompany]]&gt;5,"&gt;5 Years")</f>
        <v>2-3 Years</v>
      </c>
    </row>
    <row r="1004" spans="1:39" hidden="1" x14ac:dyDescent="0.45">
      <c r="A1004">
        <v>35</v>
      </c>
      <c r="B1004" t="s">
        <v>43</v>
      </c>
      <c r="C1004" t="s">
        <v>63</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_xlfn.IFS(Table1[[#This Row],[Age]]&lt;30,"Young",Table1[[#This Row],[Age]]&lt;=40,"Adult",Table1[[#This Row],[Age]]&gt;40,"Senior")</f>
        <v>Adult</v>
      </c>
      <c r="AK1004" t="str" cm="1">
        <f t="array" ref="AK1004">_xlfn.IFS(Table1[[#This Row],[MonthlyIncome]]&lt;5000,"Low",Table1[[#This Row],[MonthlyIncome]]&lt;10000,"Medium",Table1[[#This Row],[MonthlyIncome]]&gt;10000,"High")</f>
        <v>Medium</v>
      </c>
      <c r="AL1004" t="str" cm="1">
        <f t="array" ref="AL1004">_xlfn.IFS(Table1[[#This Row],[Attrition]]="Yes","Resigned",Table1[[#This Row],[Attrition]]="No","Active")</f>
        <v>Active</v>
      </c>
      <c r="AM1004" t="str" cm="1">
        <f t="array" ref="AM1004">_xlfn.IFS(Table1[[#This Row],[YearsAtCompany]]&lt;=1,"0-1 Year",Table1[[#This Row],[YearsAtCompany]]&lt;=2,"1-2 Years",Table1[[#This Row],[YearsAtCompany]]&lt;=3,"2-3 Years",Table1[[#This Row],[YearsAtCompany]]&lt;=4,"3-4 Years",Table1[[#This Row],[YearsAtCompany]]&lt;=5,"4-5 Years",Table1[[#This Row],[YearsAtCompany]]&gt;5,"&gt;5 Years")</f>
        <v>1-2 Years</v>
      </c>
    </row>
    <row r="1005" spans="1:39" hidden="1" x14ac:dyDescent="0.45">
      <c r="A1005">
        <v>25</v>
      </c>
      <c r="B1005" t="s">
        <v>43</v>
      </c>
      <c r="C1005" t="s">
        <v>64</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_xlfn.IFS(Table1[[#This Row],[Age]]&lt;30,"Young",Table1[[#This Row],[Age]]&lt;=40,"Adult",Table1[[#This Row],[Age]]&gt;40,"Senior")</f>
        <v>Young</v>
      </c>
      <c r="AK1005" t="str" cm="1">
        <f t="array" ref="AK1005">_xlfn.IFS(Table1[[#This Row],[MonthlyIncome]]&lt;5000,"Low",Table1[[#This Row],[MonthlyIncome]]&lt;10000,"Medium",Table1[[#This Row],[MonthlyIncome]]&gt;10000,"High")</f>
        <v>Low</v>
      </c>
      <c r="AL1005" t="str" cm="1">
        <f t="array" ref="AL1005">_xlfn.IFS(Table1[[#This Row],[Attrition]]="Yes","Resigned",Table1[[#This Row],[Attrition]]="No","Active")</f>
        <v>Active</v>
      </c>
      <c r="AM1005" t="str" cm="1">
        <f t="array" ref="AM1005">_xlfn.IFS(Table1[[#This Row],[YearsAtCompany]]&lt;=1,"0-1 Year",Table1[[#This Row],[YearsAtCompany]]&lt;=2,"1-2 Years",Table1[[#This Row],[YearsAtCompany]]&lt;=3,"2-3 Years",Table1[[#This Row],[YearsAtCompany]]&lt;=4,"3-4 Years",Table1[[#This Row],[YearsAtCompany]]&lt;=5,"4-5 Years",Table1[[#This Row],[YearsAtCompany]]&gt;5,"&gt;5 Years")</f>
        <v>2-3 Years</v>
      </c>
    </row>
    <row r="1006" spans="1:39" hidden="1" x14ac:dyDescent="0.45">
      <c r="A1006">
        <v>26</v>
      </c>
      <c r="B1006" t="s">
        <v>43</v>
      </c>
      <c r="C1006" t="s">
        <v>64</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_xlfn.IFS(Table1[[#This Row],[Age]]&lt;30,"Young",Table1[[#This Row],[Age]]&lt;=40,"Adult",Table1[[#This Row],[Age]]&gt;40,"Senior")</f>
        <v>Young</v>
      </c>
      <c r="AK1006" t="str" cm="1">
        <f t="array" ref="AK1006">_xlfn.IFS(Table1[[#This Row],[MonthlyIncome]]&lt;5000,"Low",Table1[[#This Row],[MonthlyIncome]]&lt;10000,"Medium",Table1[[#This Row],[MonthlyIncome]]&gt;10000,"High")</f>
        <v>Low</v>
      </c>
      <c r="AL1006" t="str" cm="1">
        <f t="array" ref="AL1006">_xlfn.IFS(Table1[[#This Row],[Attrition]]="Yes","Resigned",Table1[[#This Row],[Attrition]]="No","Active")</f>
        <v>Active</v>
      </c>
      <c r="AM1006" t="str" cm="1">
        <f t="array" ref="AM1006">_xlfn.IFS(Table1[[#This Row],[YearsAtCompany]]&lt;=1,"0-1 Year",Table1[[#This Row],[YearsAtCompany]]&lt;=2,"1-2 Years",Table1[[#This Row],[YearsAtCompany]]&lt;=3,"2-3 Years",Table1[[#This Row],[YearsAtCompany]]&lt;=4,"3-4 Years",Table1[[#This Row],[YearsAtCompany]]&lt;=5,"4-5 Years",Table1[[#This Row],[YearsAtCompany]]&gt;5,"&gt;5 Years")</f>
        <v>&gt;5 Years</v>
      </c>
    </row>
    <row r="1007" spans="1:39" hidden="1" x14ac:dyDescent="0.45">
      <c r="A1007">
        <v>29</v>
      </c>
      <c r="B1007" t="s">
        <v>43</v>
      </c>
      <c r="C1007" t="s">
        <v>64</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_xlfn.IFS(Table1[[#This Row],[Age]]&lt;30,"Young",Table1[[#This Row],[Age]]&lt;=40,"Adult",Table1[[#This Row],[Age]]&gt;40,"Senior")</f>
        <v>Young</v>
      </c>
      <c r="AK1007" t="str" cm="1">
        <f t="array" ref="AK1007">_xlfn.IFS(Table1[[#This Row],[MonthlyIncome]]&lt;5000,"Low",Table1[[#This Row],[MonthlyIncome]]&lt;10000,"Medium",Table1[[#This Row],[MonthlyIncome]]&gt;10000,"High")</f>
        <v>Medium</v>
      </c>
      <c r="AL1007" t="str" cm="1">
        <f t="array" ref="AL1007">_xlfn.IFS(Table1[[#This Row],[Attrition]]="Yes","Resigned",Table1[[#This Row],[Attrition]]="No","Active")</f>
        <v>Active</v>
      </c>
      <c r="AM1007" t="str" cm="1">
        <f t="array" ref="AM1007">_xlfn.IFS(Table1[[#This Row],[YearsAtCompany]]&lt;=1,"0-1 Year",Table1[[#This Row],[YearsAtCompany]]&lt;=2,"1-2 Years",Table1[[#This Row],[YearsAtCompany]]&lt;=3,"2-3 Years",Table1[[#This Row],[YearsAtCompany]]&lt;=4,"3-4 Years",Table1[[#This Row],[YearsAtCompany]]&lt;=5,"4-5 Years",Table1[[#This Row],[YearsAtCompany]]&gt;5,"&gt;5 Years")</f>
        <v>&gt;5 Years</v>
      </c>
    </row>
    <row r="1008" spans="1:39" hidden="1" x14ac:dyDescent="0.45">
      <c r="A1008">
        <v>49</v>
      </c>
      <c r="B1008" t="s">
        <v>35</v>
      </c>
      <c r="C1008" t="s">
        <v>63</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_xlfn.IFS(Table1[[#This Row],[Age]]&lt;30,"Young",Table1[[#This Row],[Age]]&lt;=40,"Adult",Table1[[#This Row],[Age]]&gt;40,"Senior")</f>
        <v>Senior</v>
      </c>
      <c r="AK1008" t="str" cm="1">
        <f t="array" ref="AK1008">_xlfn.IFS(Table1[[#This Row],[MonthlyIncome]]&lt;5000,"Low",Table1[[#This Row],[MonthlyIncome]]&lt;10000,"Medium",Table1[[#This Row],[MonthlyIncome]]&gt;10000,"High")</f>
        <v>Low</v>
      </c>
      <c r="AL1008" t="str" cm="1">
        <f t="array" ref="AL1008">_xlfn.IFS(Table1[[#This Row],[Attrition]]="Yes","Resigned",Table1[[#This Row],[Attrition]]="No","Active")</f>
        <v>Resigned</v>
      </c>
      <c r="AM1008" t="str" cm="1">
        <f t="array" ref="AM1008">_xlfn.IFS(Table1[[#This Row],[YearsAtCompany]]&lt;=1,"0-1 Year",Table1[[#This Row],[YearsAtCompany]]&lt;=2,"1-2 Years",Table1[[#This Row],[YearsAtCompany]]&lt;=3,"2-3 Years",Table1[[#This Row],[YearsAtCompany]]&lt;=4,"3-4 Years",Table1[[#This Row],[YearsAtCompany]]&lt;=5,"4-5 Years",Table1[[#This Row],[YearsAtCompany]]&gt;5,"&gt;5 Years")</f>
        <v>3-4 Years</v>
      </c>
    </row>
    <row r="1009" spans="1:39" hidden="1" x14ac:dyDescent="0.45">
      <c r="A1009">
        <v>29</v>
      </c>
      <c r="B1009" t="s">
        <v>35</v>
      </c>
      <c r="C1009" t="s">
        <v>63</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_xlfn.IFS(Table1[[#This Row],[Age]]&lt;30,"Young",Table1[[#This Row],[Age]]&lt;=40,"Adult",Table1[[#This Row],[Age]]&gt;40,"Senior")</f>
        <v>Young</v>
      </c>
      <c r="AK1009" t="str" cm="1">
        <f t="array" ref="AK1009">_xlfn.IFS(Table1[[#This Row],[MonthlyIncome]]&lt;5000,"Low",Table1[[#This Row],[MonthlyIncome]]&lt;10000,"Medium",Table1[[#This Row],[MonthlyIncome]]&gt;10000,"High")</f>
        <v>Medium</v>
      </c>
      <c r="AL1009" t="str" cm="1">
        <f t="array" ref="AL1009">_xlfn.IFS(Table1[[#This Row],[Attrition]]="Yes","Resigned",Table1[[#This Row],[Attrition]]="No","Active")</f>
        <v>Resigned</v>
      </c>
      <c r="AM1009" t="str" cm="1">
        <f t="array" ref="AM1009">_xlfn.IFS(Table1[[#This Row],[YearsAtCompany]]&lt;=1,"0-1 Year",Table1[[#This Row],[YearsAtCompany]]&lt;=2,"1-2 Years",Table1[[#This Row],[YearsAtCompany]]&lt;=3,"2-3 Years",Table1[[#This Row],[YearsAtCompany]]&lt;=4,"3-4 Years",Table1[[#This Row],[YearsAtCompany]]&lt;=5,"4-5 Years",Table1[[#This Row],[YearsAtCompany]]&gt;5,"&gt;5 Years")</f>
        <v>&gt;5 Years</v>
      </c>
    </row>
    <row r="1010" spans="1:39" hidden="1" x14ac:dyDescent="0.45">
      <c r="A1010">
        <v>54</v>
      </c>
      <c r="B1010" t="s">
        <v>43</v>
      </c>
      <c r="C1010" t="s">
        <v>64</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_xlfn.IFS(Table1[[#This Row],[Age]]&lt;30,"Young",Table1[[#This Row],[Age]]&lt;=40,"Adult",Table1[[#This Row],[Age]]&gt;40,"Senior")</f>
        <v>Senior</v>
      </c>
      <c r="AK1010" t="str" cm="1">
        <f t="array" ref="AK1010">_xlfn.IFS(Table1[[#This Row],[MonthlyIncome]]&lt;5000,"Low",Table1[[#This Row],[MonthlyIncome]]&lt;10000,"Medium",Table1[[#This Row],[MonthlyIncome]]&gt;10000,"High")</f>
        <v>High</v>
      </c>
      <c r="AL1010" t="str" cm="1">
        <f t="array" ref="AL1010">_xlfn.IFS(Table1[[#This Row],[Attrition]]="Yes","Resigned",Table1[[#This Row],[Attrition]]="No","Active")</f>
        <v>Active</v>
      </c>
      <c r="AM1010" t="str" cm="1">
        <f t="array" ref="AM1010">_xlfn.IFS(Table1[[#This Row],[YearsAtCompany]]&lt;=1,"0-1 Year",Table1[[#This Row],[YearsAtCompany]]&lt;=2,"1-2 Years",Table1[[#This Row],[YearsAtCompany]]&lt;=3,"2-3 Years",Table1[[#This Row],[YearsAtCompany]]&lt;=4,"3-4 Years",Table1[[#This Row],[YearsAtCompany]]&lt;=5,"4-5 Years",Table1[[#This Row],[YearsAtCompany]]&gt;5,"&gt;5 Years")</f>
        <v>&gt;5 Years</v>
      </c>
    </row>
    <row r="1011" spans="1:39" hidden="1" x14ac:dyDescent="0.45">
      <c r="A1011">
        <v>58</v>
      </c>
      <c r="B1011" t="s">
        <v>43</v>
      </c>
      <c r="C1011" t="s">
        <v>64</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_xlfn.IFS(Table1[[#This Row],[Age]]&lt;30,"Young",Table1[[#This Row],[Age]]&lt;=40,"Adult",Table1[[#This Row],[Age]]&gt;40,"Senior")</f>
        <v>Senior</v>
      </c>
      <c r="AK1011" t="str" cm="1">
        <f t="array" ref="AK1011">_xlfn.IFS(Table1[[#This Row],[MonthlyIncome]]&lt;5000,"Low",Table1[[#This Row],[MonthlyIncome]]&lt;10000,"Medium",Table1[[#This Row],[MonthlyIncome]]&gt;10000,"High")</f>
        <v>High</v>
      </c>
      <c r="AL1011" t="str" cm="1">
        <f t="array" ref="AL1011">_xlfn.IFS(Table1[[#This Row],[Attrition]]="Yes","Resigned",Table1[[#This Row],[Attrition]]="No","Active")</f>
        <v>Active</v>
      </c>
      <c r="AM1011" t="str" cm="1">
        <f t="array" ref="AM1011">_xlfn.IFS(Table1[[#This Row],[YearsAtCompany]]&lt;=1,"0-1 Year",Table1[[#This Row],[YearsAtCompany]]&lt;=2,"1-2 Years",Table1[[#This Row],[YearsAtCompany]]&lt;=3,"2-3 Years",Table1[[#This Row],[YearsAtCompany]]&lt;=4,"3-4 Years",Table1[[#This Row],[YearsAtCompany]]&lt;=5,"4-5 Years",Table1[[#This Row],[YearsAtCompany]]&gt;5,"&gt;5 Years")</f>
        <v>&gt;5 Years</v>
      </c>
    </row>
    <row r="1012" spans="1:39" hidden="1" x14ac:dyDescent="0.45">
      <c r="A1012">
        <v>55</v>
      </c>
      <c r="B1012" t="s">
        <v>43</v>
      </c>
      <c r="C1012" t="s">
        <v>64</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_xlfn.IFS(Table1[[#This Row],[Age]]&lt;30,"Young",Table1[[#This Row],[Age]]&lt;=40,"Adult",Table1[[#This Row],[Age]]&gt;40,"Senior")</f>
        <v>Senior</v>
      </c>
      <c r="AK1012" t="str" cm="1">
        <f t="array" ref="AK1012">_xlfn.IFS(Table1[[#This Row],[MonthlyIncome]]&lt;5000,"Low",Table1[[#This Row],[MonthlyIncome]]&lt;10000,"Medium",Table1[[#This Row],[MonthlyIncome]]&gt;10000,"High")</f>
        <v>High</v>
      </c>
      <c r="AL1012" t="str" cm="1">
        <f t="array" ref="AL1012">_xlfn.IFS(Table1[[#This Row],[Attrition]]="Yes","Resigned",Table1[[#This Row],[Attrition]]="No","Active")</f>
        <v>Active</v>
      </c>
      <c r="AM1012" t="str" cm="1">
        <f t="array" ref="AM1012">_xlfn.IFS(Table1[[#This Row],[YearsAtCompany]]&lt;=1,"0-1 Year",Table1[[#This Row],[YearsAtCompany]]&lt;=2,"1-2 Years",Table1[[#This Row],[YearsAtCompany]]&lt;=3,"2-3 Years",Table1[[#This Row],[YearsAtCompany]]&lt;=4,"3-4 Years",Table1[[#This Row],[YearsAtCompany]]&lt;=5,"4-5 Years",Table1[[#This Row],[YearsAtCompany]]&gt;5,"&gt;5 Years")</f>
        <v>&gt;5 Years</v>
      </c>
    </row>
    <row r="1013" spans="1:39" x14ac:dyDescent="0.45">
      <c r="A1013">
        <v>36</v>
      </c>
      <c r="B1013" t="s">
        <v>43</v>
      </c>
      <c r="C1013" t="s">
        <v>64</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_xlfn.IFS(Table1[[#This Row],[Age]]&lt;30,"Young",Table1[[#This Row],[Age]]&lt;=40,"Adult",Table1[[#This Row],[Age]]&gt;40,"Senior")</f>
        <v>Adult</v>
      </c>
      <c r="AK1013" t="str" cm="1">
        <f t="array" ref="AK1013">_xlfn.IFS(Table1[[#This Row],[MonthlyIncome]]&lt;5000,"Low",Table1[[#This Row],[MonthlyIncome]]&lt;10000,"Medium",Table1[[#This Row],[MonthlyIncome]]&gt;10000,"High")</f>
        <v>Medium</v>
      </c>
      <c r="AL1013" t="str" cm="1">
        <f t="array" ref="AL1013">_xlfn.IFS(Table1[[#This Row],[Attrition]]="Yes","Resigned",Table1[[#This Row],[Attrition]]="No","Active")</f>
        <v>Active</v>
      </c>
      <c r="AM1013" t="str" cm="1">
        <f t="array" ref="AM1013">_xlfn.IFS(Table1[[#This Row],[YearsAtCompany]]&lt;=1,"0-1 Year",Table1[[#This Row],[YearsAtCompany]]&lt;=2,"1-2 Years",Table1[[#This Row],[YearsAtCompany]]&lt;=3,"2-3 Years",Table1[[#This Row],[YearsAtCompany]]&lt;=4,"3-4 Years",Table1[[#This Row],[YearsAtCompany]]&lt;=5,"4-5 Years",Table1[[#This Row],[YearsAtCompany]]&gt;5,"&gt;5 Years")</f>
        <v>4-5 Years</v>
      </c>
    </row>
    <row r="1014" spans="1:39" x14ac:dyDescent="0.45">
      <c r="A1014">
        <v>31</v>
      </c>
      <c r="B1014" t="s">
        <v>35</v>
      </c>
      <c r="C1014" t="s">
        <v>63</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_xlfn.IFS(Table1[[#This Row],[Age]]&lt;30,"Young",Table1[[#This Row],[Age]]&lt;=40,"Adult",Table1[[#This Row],[Age]]&gt;40,"Senior")</f>
        <v>Adult</v>
      </c>
      <c r="AK1014" t="str" cm="1">
        <f t="array" ref="AK1014">_xlfn.IFS(Table1[[#This Row],[MonthlyIncome]]&lt;5000,"Low",Table1[[#This Row],[MonthlyIncome]]&lt;10000,"Medium",Table1[[#This Row],[MonthlyIncome]]&gt;10000,"High")</f>
        <v>Low</v>
      </c>
      <c r="AL1014" t="str" cm="1">
        <f t="array" ref="AL1014">_xlfn.IFS(Table1[[#This Row],[Attrition]]="Yes","Resigned",Table1[[#This Row],[Attrition]]="No","Active")</f>
        <v>Resigned</v>
      </c>
      <c r="AM1014" t="str" cm="1">
        <f t="array" ref="AM1014">_xlfn.IFS(Table1[[#This Row],[YearsAtCompany]]&lt;=1,"0-1 Year",Table1[[#This Row],[YearsAtCompany]]&lt;=2,"1-2 Years",Table1[[#This Row],[YearsAtCompany]]&lt;=3,"2-3 Years",Table1[[#This Row],[YearsAtCompany]]&lt;=4,"3-4 Years",Table1[[#This Row],[YearsAtCompany]]&lt;=5,"4-5 Years",Table1[[#This Row],[YearsAtCompany]]&gt;5,"&gt;5 Years")</f>
        <v>0-1 Year</v>
      </c>
    </row>
    <row r="1015" spans="1:39" x14ac:dyDescent="0.45">
      <c r="A1015">
        <v>30</v>
      </c>
      <c r="B1015" t="s">
        <v>43</v>
      </c>
      <c r="C1015" t="s">
        <v>64</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_xlfn.IFS(Table1[[#This Row],[Age]]&lt;30,"Young",Table1[[#This Row],[Age]]&lt;=40,"Adult",Table1[[#This Row],[Age]]&gt;40,"Senior")</f>
        <v>Adult</v>
      </c>
      <c r="AK1015" t="str" cm="1">
        <f t="array" ref="AK1015">_xlfn.IFS(Table1[[#This Row],[MonthlyIncome]]&lt;5000,"Low",Table1[[#This Row],[MonthlyIncome]]&lt;10000,"Medium",Table1[[#This Row],[MonthlyIncome]]&gt;10000,"High")</f>
        <v>Low</v>
      </c>
      <c r="AL1015" t="str" cm="1">
        <f t="array" ref="AL1015">_xlfn.IFS(Table1[[#This Row],[Attrition]]="Yes","Resigned",Table1[[#This Row],[Attrition]]="No","Active")</f>
        <v>Active</v>
      </c>
      <c r="AM1015" t="str" cm="1">
        <f t="array" ref="AM1015">_xlfn.IFS(Table1[[#This Row],[YearsAtCompany]]&lt;=1,"0-1 Year",Table1[[#This Row],[YearsAtCompany]]&lt;=2,"1-2 Years",Table1[[#This Row],[YearsAtCompany]]&lt;=3,"2-3 Years",Table1[[#This Row],[YearsAtCompany]]&lt;=4,"3-4 Years",Table1[[#This Row],[YearsAtCompany]]&lt;=5,"4-5 Years",Table1[[#This Row],[YearsAtCompany]]&gt;5,"&gt;5 Years")</f>
        <v>2-3 Years</v>
      </c>
    </row>
    <row r="1016" spans="1:39" hidden="1" x14ac:dyDescent="0.45">
      <c r="A1016">
        <v>31</v>
      </c>
      <c r="B1016" t="s">
        <v>43</v>
      </c>
      <c r="C1016" t="s">
        <v>64</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_xlfn.IFS(Table1[[#This Row],[Age]]&lt;30,"Young",Table1[[#This Row],[Age]]&lt;=40,"Adult",Table1[[#This Row],[Age]]&gt;40,"Senior")</f>
        <v>Adult</v>
      </c>
      <c r="AK1016" t="str" cm="1">
        <f t="array" ref="AK1016">_xlfn.IFS(Table1[[#This Row],[MonthlyIncome]]&lt;5000,"Low",Table1[[#This Row],[MonthlyIncome]]&lt;10000,"Medium",Table1[[#This Row],[MonthlyIncome]]&gt;10000,"High")</f>
        <v>High</v>
      </c>
      <c r="AL1016" t="str" cm="1">
        <f t="array" ref="AL1016">_xlfn.IFS(Table1[[#This Row],[Attrition]]="Yes","Resigned",Table1[[#This Row],[Attrition]]="No","Active")</f>
        <v>Active</v>
      </c>
      <c r="AM1016" t="str" cm="1">
        <f t="array" ref="AM1016">_xlfn.IFS(Table1[[#This Row],[YearsAtCompany]]&lt;=1,"0-1 Year",Table1[[#This Row],[YearsAtCompany]]&lt;=2,"1-2 Years",Table1[[#This Row],[YearsAtCompany]]&lt;=3,"2-3 Years",Table1[[#This Row],[YearsAtCompany]]&lt;=4,"3-4 Years",Table1[[#This Row],[YearsAtCompany]]&lt;=5,"4-5 Years",Table1[[#This Row],[YearsAtCompany]]&gt;5,"&gt;5 Years")</f>
        <v>2-3 Years</v>
      </c>
    </row>
    <row r="1017" spans="1:39" hidden="1" x14ac:dyDescent="0.45">
      <c r="A1017">
        <v>34</v>
      </c>
      <c r="B1017" t="s">
        <v>43</v>
      </c>
      <c r="C1017" t="s">
        <v>63</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_xlfn.IFS(Table1[[#This Row],[Age]]&lt;30,"Young",Table1[[#This Row],[Age]]&lt;=40,"Adult",Table1[[#This Row],[Age]]&gt;40,"Senior")</f>
        <v>Adult</v>
      </c>
      <c r="AK1017" t="str" cm="1">
        <f t="array" ref="AK1017">_xlfn.IFS(Table1[[#This Row],[MonthlyIncome]]&lt;5000,"Low",Table1[[#This Row],[MonthlyIncome]]&lt;10000,"Medium",Table1[[#This Row],[MonthlyIncome]]&gt;10000,"High")</f>
        <v>Low</v>
      </c>
      <c r="AL1017" t="str" cm="1">
        <f t="array" ref="AL1017">_xlfn.IFS(Table1[[#This Row],[Attrition]]="Yes","Resigned",Table1[[#This Row],[Attrition]]="No","Active")</f>
        <v>Active</v>
      </c>
      <c r="AM1017" t="str" cm="1">
        <f t="array" ref="AM1017">_xlfn.IFS(Table1[[#This Row],[YearsAtCompany]]&lt;=1,"0-1 Year",Table1[[#This Row],[YearsAtCompany]]&lt;=2,"1-2 Years",Table1[[#This Row],[YearsAtCompany]]&lt;=3,"2-3 Years",Table1[[#This Row],[YearsAtCompany]]&lt;=4,"3-4 Years",Table1[[#This Row],[YearsAtCompany]]&lt;=5,"4-5 Years",Table1[[#This Row],[YearsAtCompany]]&gt;5,"&gt;5 Years")</f>
        <v>3-4 Years</v>
      </c>
    </row>
    <row r="1018" spans="1:39" hidden="1" x14ac:dyDescent="0.45">
      <c r="A1018">
        <v>31</v>
      </c>
      <c r="B1018" t="s">
        <v>35</v>
      </c>
      <c r="C1018" t="s">
        <v>64</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_xlfn.IFS(Table1[[#This Row],[Age]]&lt;30,"Young",Table1[[#This Row],[Age]]&lt;=40,"Adult",Table1[[#This Row],[Age]]&gt;40,"Senior")</f>
        <v>Adult</v>
      </c>
      <c r="AK1018" t="str" cm="1">
        <f t="array" ref="AK1018">_xlfn.IFS(Table1[[#This Row],[MonthlyIncome]]&lt;5000,"Low",Table1[[#This Row],[MonthlyIncome]]&lt;10000,"Medium",Table1[[#This Row],[MonthlyIncome]]&gt;10000,"High")</f>
        <v>Low</v>
      </c>
      <c r="AL1018" t="str" cm="1">
        <f t="array" ref="AL1018">_xlfn.IFS(Table1[[#This Row],[Attrition]]="Yes","Resigned",Table1[[#This Row],[Attrition]]="No","Active")</f>
        <v>Resigned</v>
      </c>
      <c r="AM1018" t="str" cm="1">
        <f t="array" ref="AM1018">_xlfn.IFS(Table1[[#This Row],[YearsAtCompany]]&lt;=1,"0-1 Year",Table1[[#This Row],[YearsAtCompany]]&lt;=2,"1-2 Years",Table1[[#This Row],[YearsAtCompany]]&lt;=3,"2-3 Years",Table1[[#This Row],[YearsAtCompany]]&lt;=4,"3-4 Years",Table1[[#This Row],[YearsAtCompany]]&lt;=5,"4-5 Years",Table1[[#This Row],[YearsAtCompany]]&gt;5,"&gt;5 Years")</f>
        <v>0-1 Year</v>
      </c>
    </row>
    <row r="1019" spans="1:39" hidden="1" x14ac:dyDescent="0.45">
      <c r="A1019">
        <v>27</v>
      </c>
      <c r="B1019" t="s">
        <v>43</v>
      </c>
      <c r="C1019" t="s">
        <v>64</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_xlfn.IFS(Table1[[#This Row],[Age]]&lt;30,"Young",Table1[[#This Row],[Age]]&lt;=40,"Adult",Table1[[#This Row],[Age]]&gt;40,"Senior")</f>
        <v>Young</v>
      </c>
      <c r="AK1019" t="str" cm="1">
        <f t="array" ref="AK1019">_xlfn.IFS(Table1[[#This Row],[MonthlyIncome]]&lt;5000,"Low",Table1[[#This Row],[MonthlyIncome]]&lt;10000,"Medium",Table1[[#This Row],[MonthlyIncome]]&gt;10000,"High")</f>
        <v>Low</v>
      </c>
      <c r="AL1019" t="str" cm="1">
        <f t="array" ref="AL1019">_xlfn.IFS(Table1[[#This Row],[Attrition]]="Yes","Resigned",Table1[[#This Row],[Attrition]]="No","Active")</f>
        <v>Active</v>
      </c>
      <c r="AM1019" t="str" cm="1">
        <f t="array" ref="AM1019">_xlfn.IFS(Table1[[#This Row],[YearsAtCompany]]&lt;=1,"0-1 Year",Table1[[#This Row],[YearsAtCompany]]&lt;=2,"1-2 Years",Table1[[#This Row],[YearsAtCompany]]&lt;=3,"2-3 Years",Table1[[#This Row],[YearsAtCompany]]&lt;=4,"3-4 Years",Table1[[#This Row],[YearsAtCompany]]&lt;=5,"4-5 Years",Table1[[#This Row],[YearsAtCompany]]&gt;5,"&gt;5 Years")</f>
        <v>4-5 Years</v>
      </c>
    </row>
    <row r="1020" spans="1:39" hidden="1" x14ac:dyDescent="0.45">
      <c r="A1020">
        <v>36</v>
      </c>
      <c r="B1020" t="s">
        <v>43</v>
      </c>
      <c r="C1020" t="s">
        <v>64</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_xlfn.IFS(Table1[[#This Row],[Age]]&lt;30,"Young",Table1[[#This Row],[Age]]&lt;=40,"Adult",Table1[[#This Row],[Age]]&gt;40,"Senior")</f>
        <v>Adult</v>
      </c>
      <c r="AK1020" t="str" cm="1">
        <f t="array" ref="AK1020">_xlfn.IFS(Table1[[#This Row],[MonthlyIncome]]&lt;5000,"Low",Table1[[#This Row],[MonthlyIncome]]&lt;10000,"Medium",Table1[[#This Row],[MonthlyIncome]]&gt;10000,"High")</f>
        <v>Medium</v>
      </c>
      <c r="AL1020" t="str" cm="1">
        <f t="array" ref="AL1020">_xlfn.IFS(Table1[[#This Row],[Attrition]]="Yes","Resigned",Table1[[#This Row],[Attrition]]="No","Active")</f>
        <v>Active</v>
      </c>
      <c r="AM1020" t="str" cm="1">
        <f t="array" ref="AM1020">_xlfn.IFS(Table1[[#This Row],[YearsAtCompany]]&lt;=1,"0-1 Year",Table1[[#This Row],[YearsAtCompany]]&lt;=2,"1-2 Years",Table1[[#This Row],[YearsAtCompany]]&lt;=3,"2-3 Years",Table1[[#This Row],[YearsAtCompany]]&lt;=4,"3-4 Years",Table1[[#This Row],[YearsAtCompany]]&lt;=5,"4-5 Years",Table1[[#This Row],[YearsAtCompany]]&gt;5,"&gt;5 Years")</f>
        <v>&gt;5 Years</v>
      </c>
    </row>
    <row r="1021" spans="1:39" x14ac:dyDescent="0.45">
      <c r="A1021">
        <v>36</v>
      </c>
      <c r="B1021" t="s">
        <v>43</v>
      </c>
      <c r="C1021" t="s">
        <v>64</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_xlfn.IFS(Table1[[#This Row],[Age]]&lt;30,"Young",Table1[[#This Row],[Age]]&lt;=40,"Adult",Table1[[#This Row],[Age]]&gt;40,"Senior")</f>
        <v>Adult</v>
      </c>
      <c r="AK1021" t="str" cm="1">
        <f t="array" ref="AK1021">_xlfn.IFS(Table1[[#This Row],[MonthlyIncome]]&lt;5000,"Low",Table1[[#This Row],[MonthlyIncome]]&lt;10000,"Medium",Table1[[#This Row],[MonthlyIncome]]&gt;10000,"High")</f>
        <v>Medium</v>
      </c>
      <c r="AL1021" t="str" cm="1">
        <f t="array" ref="AL1021">_xlfn.IFS(Table1[[#This Row],[Attrition]]="Yes","Resigned",Table1[[#This Row],[Attrition]]="No","Active")</f>
        <v>Active</v>
      </c>
      <c r="AM1021" t="str" cm="1">
        <f t="array" ref="AM1021">_xlfn.IFS(Table1[[#This Row],[YearsAtCompany]]&lt;=1,"0-1 Year",Table1[[#This Row],[YearsAtCompany]]&lt;=2,"1-2 Years",Table1[[#This Row],[YearsAtCompany]]&lt;=3,"2-3 Years",Table1[[#This Row],[YearsAtCompany]]&lt;=4,"3-4 Years",Table1[[#This Row],[YearsAtCompany]]&lt;=5,"4-5 Years",Table1[[#This Row],[YearsAtCompany]]&gt;5,"&gt;5 Years")</f>
        <v>2-3 Years</v>
      </c>
    </row>
    <row r="1022" spans="1:39" hidden="1" x14ac:dyDescent="0.45">
      <c r="A1022">
        <v>47</v>
      </c>
      <c r="B1022" t="s">
        <v>43</v>
      </c>
      <c r="C1022" t="s">
        <v>64</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_xlfn.IFS(Table1[[#This Row],[Age]]&lt;30,"Young",Table1[[#This Row],[Age]]&lt;=40,"Adult",Table1[[#This Row],[Age]]&gt;40,"Senior")</f>
        <v>Senior</v>
      </c>
      <c r="AK1022" t="str" cm="1">
        <f t="array" ref="AK1022">_xlfn.IFS(Table1[[#This Row],[MonthlyIncome]]&lt;5000,"Low",Table1[[#This Row],[MonthlyIncome]]&lt;10000,"Medium",Table1[[#This Row],[MonthlyIncome]]&gt;10000,"High")</f>
        <v>Low</v>
      </c>
      <c r="AL1022" t="str" cm="1">
        <f t="array" ref="AL1022">_xlfn.IFS(Table1[[#This Row],[Attrition]]="Yes","Resigned",Table1[[#This Row],[Attrition]]="No","Active")</f>
        <v>Active</v>
      </c>
      <c r="AM1022" t="str" cm="1">
        <f t="array" ref="AM1022">_xlfn.IFS(Table1[[#This Row],[YearsAtCompany]]&lt;=1,"0-1 Year",Table1[[#This Row],[YearsAtCompany]]&lt;=2,"1-2 Years",Table1[[#This Row],[YearsAtCompany]]&lt;=3,"2-3 Years",Table1[[#This Row],[YearsAtCompany]]&lt;=4,"3-4 Years",Table1[[#This Row],[YearsAtCompany]]&lt;=5,"4-5 Years",Table1[[#This Row],[YearsAtCompany]]&gt;5,"&gt;5 Years")</f>
        <v>&gt;5 Years</v>
      </c>
    </row>
    <row r="1023" spans="1:39" x14ac:dyDescent="0.45">
      <c r="A1023">
        <v>25</v>
      </c>
      <c r="B1023" t="s">
        <v>35</v>
      </c>
      <c r="C1023" t="s">
        <v>64</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_xlfn.IFS(Table1[[#This Row],[Age]]&lt;30,"Young",Table1[[#This Row],[Age]]&lt;=40,"Adult",Table1[[#This Row],[Age]]&gt;40,"Senior")</f>
        <v>Young</v>
      </c>
      <c r="AK1023" t="str" cm="1">
        <f t="array" ref="AK1023">_xlfn.IFS(Table1[[#This Row],[MonthlyIncome]]&lt;5000,"Low",Table1[[#This Row],[MonthlyIncome]]&lt;10000,"Medium",Table1[[#This Row],[MonthlyIncome]]&gt;10000,"High")</f>
        <v>Low</v>
      </c>
      <c r="AL1023" t="str" cm="1">
        <f t="array" ref="AL1023">_xlfn.IFS(Table1[[#This Row],[Attrition]]="Yes","Resigned",Table1[[#This Row],[Attrition]]="No","Active")</f>
        <v>Resigned</v>
      </c>
      <c r="AM1023" t="str" cm="1">
        <f t="array" ref="AM1023">_xlfn.IFS(Table1[[#This Row],[YearsAtCompany]]&lt;=1,"0-1 Year",Table1[[#This Row],[YearsAtCompany]]&lt;=2,"1-2 Years",Table1[[#This Row],[YearsAtCompany]]&lt;=3,"2-3 Years",Table1[[#This Row],[YearsAtCompany]]&lt;=4,"3-4 Years",Table1[[#This Row],[YearsAtCompany]]&lt;=5,"4-5 Years",Table1[[#This Row],[YearsAtCompany]]&gt;5,"&gt;5 Years")</f>
        <v>2-3 Years</v>
      </c>
    </row>
    <row r="1024" spans="1:39" hidden="1" x14ac:dyDescent="0.45">
      <c r="A1024">
        <v>37</v>
      </c>
      <c r="B1024" t="s">
        <v>43</v>
      </c>
      <c r="C1024" t="s">
        <v>62</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_xlfn.IFS(Table1[[#This Row],[Age]]&lt;30,"Young",Table1[[#This Row],[Age]]&lt;=40,"Adult",Table1[[#This Row],[Age]]&gt;40,"Senior")</f>
        <v>Adult</v>
      </c>
      <c r="AK1024" t="str" cm="1">
        <f t="array" ref="AK1024">_xlfn.IFS(Table1[[#This Row],[MonthlyIncome]]&lt;5000,"Low",Table1[[#This Row],[MonthlyIncome]]&lt;10000,"Medium",Table1[[#This Row],[MonthlyIncome]]&gt;10000,"High")</f>
        <v>Low</v>
      </c>
      <c r="AL1024" t="str" cm="1">
        <f t="array" ref="AL1024">_xlfn.IFS(Table1[[#This Row],[Attrition]]="Yes","Resigned",Table1[[#This Row],[Attrition]]="No","Active")</f>
        <v>Active</v>
      </c>
      <c r="AM1024" t="str" cm="1">
        <f t="array" ref="AM1024">_xlfn.IFS(Table1[[#This Row],[YearsAtCompany]]&lt;=1,"0-1 Year",Table1[[#This Row],[YearsAtCompany]]&lt;=2,"1-2 Years",Table1[[#This Row],[YearsAtCompany]]&lt;=3,"2-3 Years",Table1[[#This Row],[YearsAtCompany]]&lt;=4,"3-4 Years",Table1[[#This Row],[YearsAtCompany]]&lt;=5,"4-5 Years",Table1[[#This Row],[YearsAtCompany]]&gt;5,"&gt;5 Years")</f>
        <v>&gt;5 Years</v>
      </c>
    </row>
    <row r="1025" spans="1:39" hidden="1" x14ac:dyDescent="0.45">
      <c r="A1025">
        <v>56</v>
      </c>
      <c r="B1025" t="s">
        <v>43</v>
      </c>
      <c r="C1025" t="s">
        <v>64</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_xlfn.IFS(Table1[[#This Row],[Age]]&lt;30,"Young",Table1[[#This Row],[Age]]&lt;=40,"Adult",Table1[[#This Row],[Age]]&gt;40,"Senior")</f>
        <v>Senior</v>
      </c>
      <c r="AK1025" t="str" cm="1">
        <f t="array" ref="AK1025">_xlfn.IFS(Table1[[#This Row],[MonthlyIncome]]&lt;5000,"Low",Table1[[#This Row],[MonthlyIncome]]&lt;10000,"Medium",Table1[[#This Row],[MonthlyIncome]]&gt;10000,"High")</f>
        <v>Low</v>
      </c>
      <c r="AL1025" t="str" cm="1">
        <f t="array" ref="AL1025">_xlfn.IFS(Table1[[#This Row],[Attrition]]="Yes","Resigned",Table1[[#This Row],[Attrition]]="No","Active")</f>
        <v>Active</v>
      </c>
      <c r="AM1025" t="str" cm="1">
        <f t="array" ref="AM1025">_xlfn.IFS(Table1[[#This Row],[YearsAtCompany]]&lt;=1,"0-1 Year",Table1[[#This Row],[YearsAtCompany]]&lt;=2,"1-2 Years",Table1[[#This Row],[YearsAtCompany]]&lt;=3,"2-3 Years",Table1[[#This Row],[YearsAtCompany]]&lt;=4,"3-4 Years",Table1[[#This Row],[YearsAtCompany]]&lt;=5,"4-5 Years",Table1[[#This Row],[YearsAtCompany]]&gt;5,"&gt;5 Years")</f>
        <v>2-3 Years</v>
      </c>
    </row>
    <row r="1026" spans="1:39" hidden="1" x14ac:dyDescent="0.45">
      <c r="A1026">
        <v>47</v>
      </c>
      <c r="B1026" t="s">
        <v>43</v>
      </c>
      <c r="C1026" t="s">
        <v>64</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_xlfn.IFS(Table1[[#This Row],[Age]]&lt;30,"Young",Table1[[#This Row],[Age]]&lt;=40,"Adult",Table1[[#This Row],[Age]]&gt;40,"Senior")</f>
        <v>Senior</v>
      </c>
      <c r="AK1026" t="str" cm="1">
        <f t="array" ref="AK1026">_xlfn.IFS(Table1[[#This Row],[MonthlyIncome]]&lt;5000,"Low",Table1[[#This Row],[MonthlyIncome]]&lt;10000,"Medium",Table1[[#This Row],[MonthlyIncome]]&gt;10000,"High")</f>
        <v>High</v>
      </c>
      <c r="AL1026" t="str" cm="1">
        <f t="array" ref="AL1026">_xlfn.IFS(Table1[[#This Row],[Attrition]]="Yes","Resigned",Table1[[#This Row],[Attrition]]="No","Active")</f>
        <v>Active</v>
      </c>
      <c r="AM1026" t="str" cm="1">
        <f t="array" ref="AM1026">_xlfn.IFS(Table1[[#This Row],[YearsAtCompany]]&lt;=1,"0-1 Year",Table1[[#This Row],[YearsAtCompany]]&lt;=2,"1-2 Years",Table1[[#This Row],[YearsAtCompany]]&lt;=3,"2-3 Years",Table1[[#This Row],[YearsAtCompany]]&lt;=4,"3-4 Years",Table1[[#This Row],[YearsAtCompany]]&lt;=5,"4-5 Years",Table1[[#This Row],[YearsAtCompany]]&gt;5,"&gt;5 Years")</f>
        <v>&gt;5 Years</v>
      </c>
    </row>
    <row r="1027" spans="1:39" x14ac:dyDescent="0.45">
      <c r="A1027">
        <v>24</v>
      </c>
      <c r="B1027" t="s">
        <v>43</v>
      </c>
      <c r="C1027" t="s">
        <v>64</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_xlfn.IFS(Table1[[#This Row],[Age]]&lt;30,"Young",Table1[[#This Row],[Age]]&lt;=40,"Adult",Table1[[#This Row],[Age]]&gt;40,"Senior")</f>
        <v>Young</v>
      </c>
      <c r="AK1027" t="str" cm="1">
        <f t="array" ref="AK1027">_xlfn.IFS(Table1[[#This Row],[MonthlyIncome]]&lt;5000,"Low",Table1[[#This Row],[MonthlyIncome]]&lt;10000,"Medium",Table1[[#This Row],[MonthlyIncome]]&gt;10000,"High")</f>
        <v>Low</v>
      </c>
      <c r="AL1027" t="str" cm="1">
        <f t="array" ref="AL1027">_xlfn.IFS(Table1[[#This Row],[Attrition]]="Yes","Resigned",Table1[[#This Row],[Attrition]]="No","Active")</f>
        <v>Active</v>
      </c>
      <c r="AM1027" t="str" cm="1">
        <f t="array" ref="AM1027">_xlfn.IFS(Table1[[#This Row],[YearsAtCompany]]&lt;=1,"0-1 Year",Table1[[#This Row],[YearsAtCompany]]&lt;=2,"1-2 Years",Table1[[#This Row],[YearsAtCompany]]&lt;=3,"2-3 Years",Table1[[#This Row],[YearsAtCompany]]&lt;=4,"3-4 Years",Table1[[#This Row],[YearsAtCompany]]&lt;=5,"4-5 Years",Table1[[#This Row],[YearsAtCompany]]&gt;5,"&gt;5 Years")</f>
        <v>4-5 Years</v>
      </c>
    </row>
    <row r="1028" spans="1:39" x14ac:dyDescent="0.45">
      <c r="A1028">
        <v>32</v>
      </c>
      <c r="B1028" t="s">
        <v>43</v>
      </c>
      <c r="C1028" t="s">
        <v>64</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_xlfn.IFS(Table1[[#This Row],[Age]]&lt;30,"Young",Table1[[#This Row],[Age]]&lt;=40,"Adult",Table1[[#This Row],[Age]]&gt;40,"Senior")</f>
        <v>Adult</v>
      </c>
      <c r="AK1028" t="str" cm="1">
        <f t="array" ref="AK1028">_xlfn.IFS(Table1[[#This Row],[MonthlyIncome]]&lt;5000,"Low",Table1[[#This Row],[MonthlyIncome]]&lt;10000,"Medium",Table1[[#This Row],[MonthlyIncome]]&gt;10000,"High")</f>
        <v>Medium</v>
      </c>
      <c r="AL1028" t="str" cm="1">
        <f t="array" ref="AL1028">_xlfn.IFS(Table1[[#This Row],[Attrition]]="Yes","Resigned",Table1[[#This Row],[Attrition]]="No","Active")</f>
        <v>Active</v>
      </c>
      <c r="AM1028" t="str" cm="1">
        <f t="array" ref="AM1028">_xlfn.IFS(Table1[[#This Row],[YearsAtCompany]]&lt;=1,"0-1 Year",Table1[[#This Row],[YearsAtCompany]]&lt;=2,"1-2 Years",Table1[[#This Row],[YearsAtCompany]]&lt;=3,"2-3 Years",Table1[[#This Row],[YearsAtCompany]]&lt;=4,"3-4 Years",Table1[[#This Row],[YearsAtCompany]]&lt;=5,"4-5 Years",Table1[[#This Row],[YearsAtCompany]]&gt;5,"&gt;5 Years")</f>
        <v>3-4 Years</v>
      </c>
    </row>
    <row r="1029" spans="1:39" hidden="1" x14ac:dyDescent="0.45">
      <c r="A1029">
        <v>34</v>
      </c>
      <c r="B1029" t="s">
        <v>43</v>
      </c>
      <c r="C1029" t="s">
        <v>64</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_xlfn.IFS(Table1[[#This Row],[Age]]&lt;30,"Young",Table1[[#This Row],[Age]]&lt;=40,"Adult",Table1[[#This Row],[Age]]&gt;40,"Senior")</f>
        <v>Adult</v>
      </c>
      <c r="AK1029" t="str" cm="1">
        <f t="array" ref="AK1029">_xlfn.IFS(Table1[[#This Row],[MonthlyIncome]]&lt;5000,"Low",Table1[[#This Row],[MonthlyIncome]]&lt;10000,"Medium",Table1[[#This Row],[MonthlyIncome]]&gt;10000,"High")</f>
        <v>Low</v>
      </c>
      <c r="AL1029" t="str" cm="1">
        <f t="array" ref="AL1029">_xlfn.IFS(Table1[[#This Row],[Attrition]]="Yes","Resigned",Table1[[#This Row],[Attrition]]="No","Active")</f>
        <v>Active</v>
      </c>
      <c r="AM1029" t="str" cm="1">
        <f t="array" ref="AM1029">_xlfn.IFS(Table1[[#This Row],[YearsAtCompany]]&lt;=1,"0-1 Year",Table1[[#This Row],[YearsAtCompany]]&lt;=2,"1-2 Years",Table1[[#This Row],[YearsAtCompany]]&lt;=3,"2-3 Years",Table1[[#This Row],[YearsAtCompany]]&lt;=4,"3-4 Years",Table1[[#This Row],[YearsAtCompany]]&lt;=5,"4-5 Years",Table1[[#This Row],[YearsAtCompany]]&gt;5,"&gt;5 Years")</f>
        <v>4-5 Years</v>
      </c>
    </row>
    <row r="1030" spans="1:39" hidden="1" x14ac:dyDescent="0.45">
      <c r="A1030">
        <v>41</v>
      </c>
      <c r="B1030" t="s">
        <v>43</v>
      </c>
      <c r="C1030" t="s">
        <v>64</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_xlfn.IFS(Table1[[#This Row],[Age]]&lt;30,"Young",Table1[[#This Row],[Age]]&lt;=40,"Adult",Table1[[#This Row],[Age]]&gt;40,"Senior")</f>
        <v>Senior</v>
      </c>
      <c r="AK1030" t="str" cm="1">
        <f t="array" ref="AK1030">_xlfn.IFS(Table1[[#This Row],[MonthlyIncome]]&lt;5000,"Low",Table1[[#This Row],[MonthlyIncome]]&lt;10000,"Medium",Table1[[#This Row],[MonthlyIncome]]&gt;10000,"High")</f>
        <v>Low</v>
      </c>
      <c r="AL1030" t="str" cm="1">
        <f t="array" ref="AL1030">_xlfn.IFS(Table1[[#This Row],[Attrition]]="Yes","Resigned",Table1[[#This Row],[Attrition]]="No","Active")</f>
        <v>Active</v>
      </c>
      <c r="AM1030" t="str" cm="1">
        <f t="array" ref="AM1030">_xlfn.IFS(Table1[[#This Row],[YearsAtCompany]]&lt;=1,"0-1 Year",Table1[[#This Row],[YearsAtCompany]]&lt;=2,"1-2 Years",Table1[[#This Row],[YearsAtCompany]]&lt;=3,"2-3 Years",Table1[[#This Row],[YearsAtCompany]]&lt;=4,"3-4 Years",Table1[[#This Row],[YearsAtCompany]]&lt;=5,"4-5 Years",Table1[[#This Row],[YearsAtCompany]]&gt;5,"&gt;5 Years")</f>
        <v>3-4 Years</v>
      </c>
    </row>
    <row r="1031" spans="1:39" hidden="1" x14ac:dyDescent="0.45">
      <c r="A1031">
        <v>40</v>
      </c>
      <c r="B1031" t="s">
        <v>43</v>
      </c>
      <c r="C1031" t="s">
        <v>62</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_xlfn.IFS(Table1[[#This Row],[Age]]&lt;30,"Young",Table1[[#This Row],[Age]]&lt;=40,"Adult",Table1[[#This Row],[Age]]&gt;40,"Senior")</f>
        <v>Adult</v>
      </c>
      <c r="AK1031" t="str" cm="1">
        <f t="array" ref="AK1031">_xlfn.IFS(Table1[[#This Row],[MonthlyIncome]]&lt;5000,"Low",Table1[[#This Row],[MonthlyIncome]]&lt;10000,"Medium",Table1[[#This Row],[MonthlyIncome]]&gt;10000,"High")</f>
        <v>Low</v>
      </c>
      <c r="AL1031" t="str" cm="1">
        <f t="array" ref="AL1031">_xlfn.IFS(Table1[[#This Row],[Attrition]]="Yes","Resigned",Table1[[#This Row],[Attrition]]="No","Active")</f>
        <v>Active</v>
      </c>
      <c r="AM1031" t="str" cm="1">
        <f t="array" ref="AM1031">_xlfn.IFS(Table1[[#This Row],[YearsAtCompany]]&lt;=1,"0-1 Year",Table1[[#This Row],[YearsAtCompany]]&lt;=2,"1-2 Years",Table1[[#This Row],[YearsAtCompany]]&lt;=3,"2-3 Years",Table1[[#This Row],[YearsAtCompany]]&lt;=4,"3-4 Years",Table1[[#This Row],[YearsAtCompany]]&lt;=5,"4-5 Years",Table1[[#This Row],[YearsAtCompany]]&gt;5,"&gt;5 Years")</f>
        <v>&gt;5 Years</v>
      </c>
    </row>
    <row r="1032" spans="1:39" x14ac:dyDescent="0.45">
      <c r="A1032">
        <v>31</v>
      </c>
      <c r="B1032" t="s">
        <v>43</v>
      </c>
      <c r="C1032" t="s">
        <v>64</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_xlfn.IFS(Table1[[#This Row],[Age]]&lt;30,"Young",Table1[[#This Row],[Age]]&lt;=40,"Adult",Table1[[#This Row],[Age]]&gt;40,"Senior")</f>
        <v>Adult</v>
      </c>
      <c r="AK1032" t="str" cm="1">
        <f t="array" ref="AK1032">_xlfn.IFS(Table1[[#This Row],[MonthlyIncome]]&lt;5000,"Low",Table1[[#This Row],[MonthlyIncome]]&lt;10000,"Medium",Table1[[#This Row],[MonthlyIncome]]&gt;10000,"High")</f>
        <v>High</v>
      </c>
      <c r="AL1032" t="str" cm="1">
        <f t="array" ref="AL1032">_xlfn.IFS(Table1[[#This Row],[Attrition]]="Yes","Resigned",Table1[[#This Row],[Attrition]]="No","Active")</f>
        <v>Active</v>
      </c>
      <c r="AM1032" t="str" cm="1">
        <f t="array" ref="AM1032">_xlfn.IFS(Table1[[#This Row],[YearsAtCompany]]&lt;=1,"0-1 Year",Table1[[#This Row],[YearsAtCompany]]&lt;=2,"1-2 Years",Table1[[#This Row],[YearsAtCompany]]&lt;=3,"2-3 Years",Table1[[#This Row],[YearsAtCompany]]&lt;=4,"3-4 Years",Table1[[#This Row],[YearsAtCompany]]&lt;=5,"4-5 Years",Table1[[#This Row],[YearsAtCompany]]&gt;5,"&gt;5 Years")</f>
        <v>&gt;5 Years</v>
      </c>
    </row>
    <row r="1033" spans="1:39" x14ac:dyDescent="0.45">
      <c r="A1033">
        <v>46</v>
      </c>
      <c r="B1033" t="s">
        <v>35</v>
      </c>
      <c r="C1033" t="s">
        <v>64</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_xlfn.IFS(Table1[[#This Row],[Age]]&lt;30,"Young",Table1[[#This Row],[Age]]&lt;=40,"Adult",Table1[[#This Row],[Age]]&gt;40,"Senior")</f>
        <v>Senior</v>
      </c>
      <c r="AK1033" t="str" cm="1">
        <f t="array" ref="AK1033">_xlfn.IFS(Table1[[#This Row],[MonthlyIncome]]&lt;5000,"Low",Table1[[#This Row],[MonthlyIncome]]&lt;10000,"Medium",Table1[[#This Row],[MonthlyIncome]]&gt;10000,"High")</f>
        <v>High</v>
      </c>
      <c r="AL1033" t="str" cm="1">
        <f t="array" ref="AL1033">_xlfn.IFS(Table1[[#This Row],[Attrition]]="Yes","Resigned",Table1[[#This Row],[Attrition]]="No","Active")</f>
        <v>Resigned</v>
      </c>
      <c r="AM1033" t="str" cm="1">
        <f t="array" ref="AM1033">_xlfn.IFS(Table1[[#This Row],[YearsAtCompany]]&lt;=1,"0-1 Year",Table1[[#This Row],[YearsAtCompany]]&lt;=2,"1-2 Years",Table1[[#This Row],[YearsAtCompany]]&lt;=3,"2-3 Years",Table1[[#This Row],[YearsAtCompany]]&lt;=4,"3-4 Years",Table1[[#This Row],[YearsAtCompany]]&lt;=5,"4-5 Years",Table1[[#This Row],[YearsAtCompany]]&gt;5,"&gt;5 Years")</f>
        <v>&gt;5 Years</v>
      </c>
    </row>
    <row r="1034" spans="1:39" hidden="1" x14ac:dyDescent="0.45">
      <c r="A1034">
        <v>39</v>
      </c>
      <c r="B1034" t="s">
        <v>35</v>
      </c>
      <c r="C1034" t="s">
        <v>62</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_xlfn.IFS(Table1[[#This Row],[Age]]&lt;30,"Young",Table1[[#This Row],[Age]]&lt;=40,"Adult",Table1[[#This Row],[Age]]&gt;40,"Senior")</f>
        <v>Adult</v>
      </c>
      <c r="AK1034" t="str" cm="1">
        <f t="array" ref="AK1034">_xlfn.IFS(Table1[[#This Row],[MonthlyIncome]]&lt;5000,"Low",Table1[[#This Row],[MonthlyIncome]]&lt;10000,"Medium",Table1[[#This Row],[MonthlyIncome]]&gt;10000,"High")</f>
        <v>Low</v>
      </c>
      <c r="AL1034" t="str" cm="1">
        <f t="array" ref="AL1034">_xlfn.IFS(Table1[[#This Row],[Attrition]]="Yes","Resigned",Table1[[#This Row],[Attrition]]="No","Active")</f>
        <v>Resigned</v>
      </c>
      <c r="AM1034" t="str" cm="1">
        <f t="array" ref="AM1034">_xlfn.IFS(Table1[[#This Row],[YearsAtCompany]]&lt;=1,"0-1 Year",Table1[[#This Row],[YearsAtCompany]]&lt;=2,"1-2 Years",Table1[[#This Row],[YearsAtCompany]]&lt;=3,"2-3 Years",Table1[[#This Row],[YearsAtCompany]]&lt;=4,"3-4 Years",Table1[[#This Row],[YearsAtCompany]]&lt;=5,"4-5 Years",Table1[[#This Row],[YearsAtCompany]]&gt;5,"&gt;5 Years")</f>
        <v>0-1 Year</v>
      </c>
    </row>
    <row r="1035" spans="1:39" hidden="1" x14ac:dyDescent="0.45">
      <c r="A1035">
        <v>31</v>
      </c>
      <c r="B1035" t="s">
        <v>35</v>
      </c>
      <c r="C1035" t="s">
        <v>63</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_xlfn.IFS(Table1[[#This Row],[Age]]&lt;30,"Young",Table1[[#This Row],[Age]]&lt;=40,"Adult",Table1[[#This Row],[Age]]&gt;40,"Senior")</f>
        <v>Adult</v>
      </c>
      <c r="AK1035" t="str" cm="1">
        <f t="array" ref="AK1035">_xlfn.IFS(Table1[[#This Row],[MonthlyIncome]]&lt;5000,"Low",Table1[[#This Row],[MonthlyIncome]]&lt;10000,"Medium",Table1[[#This Row],[MonthlyIncome]]&gt;10000,"High")</f>
        <v>Medium</v>
      </c>
      <c r="AL1035" t="str" cm="1">
        <f t="array" ref="AL1035">_xlfn.IFS(Table1[[#This Row],[Attrition]]="Yes","Resigned",Table1[[#This Row],[Attrition]]="No","Active")</f>
        <v>Resigned</v>
      </c>
      <c r="AM1035" t="str" cm="1">
        <f t="array" ref="AM1035">_xlfn.IFS(Table1[[#This Row],[YearsAtCompany]]&lt;=1,"0-1 Year",Table1[[#This Row],[YearsAtCompany]]&lt;=2,"1-2 Years",Table1[[#This Row],[YearsAtCompany]]&lt;=3,"2-3 Years",Table1[[#This Row],[YearsAtCompany]]&lt;=4,"3-4 Years",Table1[[#This Row],[YearsAtCompany]]&lt;=5,"4-5 Years",Table1[[#This Row],[YearsAtCompany]]&gt;5,"&gt;5 Years")</f>
        <v>&gt;5 Years</v>
      </c>
    </row>
    <row r="1036" spans="1:39" hidden="1" x14ac:dyDescent="0.45">
      <c r="A1036">
        <v>45</v>
      </c>
      <c r="B1036" t="s">
        <v>43</v>
      </c>
      <c r="C1036" t="s">
        <v>64</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_xlfn.IFS(Table1[[#This Row],[Age]]&lt;30,"Young",Table1[[#This Row],[Age]]&lt;=40,"Adult",Table1[[#This Row],[Age]]&gt;40,"Senior")</f>
        <v>Senior</v>
      </c>
      <c r="AK1036" t="str" cm="1">
        <f t="array" ref="AK1036">_xlfn.IFS(Table1[[#This Row],[MonthlyIncome]]&lt;5000,"Low",Table1[[#This Row],[MonthlyIncome]]&lt;10000,"Medium",Table1[[#This Row],[MonthlyIncome]]&gt;10000,"High")</f>
        <v>High</v>
      </c>
      <c r="AL1036" t="str" cm="1">
        <f t="array" ref="AL1036">_xlfn.IFS(Table1[[#This Row],[Attrition]]="Yes","Resigned",Table1[[#This Row],[Attrition]]="No","Active")</f>
        <v>Active</v>
      </c>
      <c r="AM1036" t="str" cm="1">
        <f t="array" ref="AM1036">_xlfn.IFS(Table1[[#This Row],[YearsAtCompany]]&lt;=1,"0-1 Year",Table1[[#This Row],[YearsAtCompany]]&lt;=2,"1-2 Years",Table1[[#This Row],[YearsAtCompany]]&lt;=3,"2-3 Years",Table1[[#This Row],[YearsAtCompany]]&lt;=4,"3-4 Years",Table1[[#This Row],[YearsAtCompany]]&lt;=5,"4-5 Years",Table1[[#This Row],[YearsAtCompany]]&gt;5,"&gt;5 Years")</f>
        <v>&gt;5 Years</v>
      </c>
    </row>
    <row r="1037" spans="1:39" hidden="1" x14ac:dyDescent="0.45">
      <c r="A1037">
        <v>31</v>
      </c>
      <c r="B1037" t="s">
        <v>43</v>
      </c>
      <c r="C1037" t="s">
        <v>64</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_xlfn.IFS(Table1[[#This Row],[Age]]&lt;30,"Young",Table1[[#This Row],[Age]]&lt;=40,"Adult",Table1[[#This Row],[Age]]&gt;40,"Senior")</f>
        <v>Adult</v>
      </c>
      <c r="AK1037" t="str" cm="1">
        <f t="array" ref="AK1037">_xlfn.IFS(Table1[[#This Row],[MonthlyIncome]]&lt;5000,"Low",Table1[[#This Row],[MonthlyIncome]]&lt;10000,"Medium",Table1[[#This Row],[MonthlyIncome]]&gt;10000,"High")</f>
        <v>Low</v>
      </c>
      <c r="AL1037" t="str" cm="1">
        <f t="array" ref="AL1037">_xlfn.IFS(Table1[[#This Row],[Attrition]]="Yes","Resigned",Table1[[#This Row],[Attrition]]="No","Active")</f>
        <v>Active</v>
      </c>
      <c r="AM1037" t="str" cm="1">
        <f t="array" ref="AM1037">_xlfn.IFS(Table1[[#This Row],[YearsAtCompany]]&lt;=1,"0-1 Year",Table1[[#This Row],[YearsAtCompany]]&lt;=2,"1-2 Years",Table1[[#This Row],[YearsAtCompany]]&lt;=3,"2-3 Years",Table1[[#This Row],[YearsAtCompany]]&lt;=4,"3-4 Years",Table1[[#This Row],[YearsAtCompany]]&lt;=5,"4-5 Years",Table1[[#This Row],[YearsAtCompany]]&gt;5,"&gt;5 Years")</f>
        <v>2-3 Years</v>
      </c>
    </row>
    <row r="1038" spans="1:39" hidden="1" x14ac:dyDescent="0.45">
      <c r="A1038">
        <v>31</v>
      </c>
      <c r="B1038" t="s">
        <v>35</v>
      </c>
      <c r="C1038" t="s">
        <v>63</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_xlfn.IFS(Table1[[#This Row],[Age]]&lt;30,"Young",Table1[[#This Row],[Age]]&lt;=40,"Adult",Table1[[#This Row],[Age]]&gt;40,"Senior")</f>
        <v>Adult</v>
      </c>
      <c r="AK1038" t="str" cm="1">
        <f t="array" ref="AK1038">_xlfn.IFS(Table1[[#This Row],[MonthlyIncome]]&lt;5000,"Low",Table1[[#This Row],[MonthlyIncome]]&lt;10000,"Medium",Table1[[#This Row],[MonthlyIncome]]&gt;10000,"High")</f>
        <v>Low</v>
      </c>
      <c r="AL1038" t="str" cm="1">
        <f t="array" ref="AL1038">_xlfn.IFS(Table1[[#This Row],[Attrition]]="Yes","Resigned",Table1[[#This Row],[Attrition]]="No","Active")</f>
        <v>Resigned</v>
      </c>
      <c r="AM1038" t="str" cm="1">
        <f t="array" ref="AM1038">_xlfn.IFS(Table1[[#This Row],[YearsAtCompany]]&lt;=1,"0-1 Year",Table1[[#This Row],[YearsAtCompany]]&lt;=2,"1-2 Years",Table1[[#This Row],[YearsAtCompany]]&lt;=3,"2-3 Years",Table1[[#This Row],[YearsAtCompany]]&lt;=4,"3-4 Years",Table1[[#This Row],[YearsAtCompany]]&lt;=5,"4-5 Years",Table1[[#This Row],[YearsAtCompany]]&gt;5,"&gt;5 Years")</f>
        <v>1-2 Years</v>
      </c>
    </row>
    <row r="1039" spans="1:39" hidden="1" x14ac:dyDescent="0.45">
      <c r="A1039">
        <v>45</v>
      </c>
      <c r="B1039" t="s">
        <v>43</v>
      </c>
      <c r="C1039" t="s">
        <v>64</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_xlfn.IFS(Table1[[#This Row],[Age]]&lt;30,"Young",Table1[[#This Row],[Age]]&lt;=40,"Adult",Table1[[#This Row],[Age]]&gt;40,"Senior")</f>
        <v>Senior</v>
      </c>
      <c r="AK1039" t="str" cm="1">
        <f t="array" ref="AK1039">_xlfn.IFS(Table1[[#This Row],[MonthlyIncome]]&lt;5000,"Low",Table1[[#This Row],[MonthlyIncome]]&lt;10000,"Medium",Table1[[#This Row],[MonthlyIncome]]&gt;10000,"High")</f>
        <v>Medium</v>
      </c>
      <c r="AL1039" t="str" cm="1">
        <f t="array" ref="AL1039">_xlfn.IFS(Table1[[#This Row],[Attrition]]="Yes","Resigned",Table1[[#This Row],[Attrition]]="No","Active")</f>
        <v>Active</v>
      </c>
      <c r="AM1039" t="str" cm="1">
        <f t="array" ref="AM1039">_xlfn.IFS(Table1[[#This Row],[YearsAtCompany]]&lt;=1,"0-1 Year",Table1[[#This Row],[YearsAtCompany]]&lt;=2,"1-2 Years",Table1[[#This Row],[YearsAtCompany]]&lt;=3,"2-3 Years",Table1[[#This Row],[YearsAtCompany]]&lt;=4,"3-4 Years",Table1[[#This Row],[YearsAtCompany]]&lt;=5,"4-5 Years",Table1[[#This Row],[YearsAtCompany]]&gt;5,"&gt;5 Years")</f>
        <v>2-3 Years</v>
      </c>
    </row>
    <row r="1040" spans="1:39" x14ac:dyDescent="0.45">
      <c r="A1040">
        <v>48</v>
      </c>
      <c r="B1040" t="s">
        <v>43</v>
      </c>
      <c r="C1040" t="s">
        <v>64</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_xlfn.IFS(Table1[[#This Row],[Age]]&lt;30,"Young",Table1[[#This Row],[Age]]&lt;=40,"Adult",Table1[[#This Row],[Age]]&gt;40,"Senior")</f>
        <v>Senior</v>
      </c>
      <c r="AK1040" t="str" cm="1">
        <f t="array" ref="AK1040">_xlfn.IFS(Table1[[#This Row],[MonthlyIncome]]&lt;5000,"Low",Table1[[#This Row],[MonthlyIncome]]&lt;10000,"Medium",Table1[[#This Row],[MonthlyIncome]]&gt;10000,"High")</f>
        <v>Medium</v>
      </c>
      <c r="AL1040" t="str" cm="1">
        <f t="array" ref="AL1040">_xlfn.IFS(Table1[[#This Row],[Attrition]]="Yes","Resigned",Table1[[#This Row],[Attrition]]="No","Active")</f>
        <v>Active</v>
      </c>
      <c r="AM1040" t="str" cm="1">
        <f t="array" ref="AM1040">_xlfn.IFS(Table1[[#This Row],[YearsAtCompany]]&lt;=1,"0-1 Year",Table1[[#This Row],[YearsAtCompany]]&lt;=2,"1-2 Years",Table1[[#This Row],[YearsAtCompany]]&lt;=3,"2-3 Years",Table1[[#This Row],[YearsAtCompany]]&lt;=4,"3-4 Years",Table1[[#This Row],[YearsAtCompany]]&lt;=5,"4-5 Years",Table1[[#This Row],[YearsAtCompany]]&gt;5,"&gt;5 Years")</f>
        <v>1-2 Years</v>
      </c>
    </row>
    <row r="1041" spans="1:39" hidden="1" x14ac:dyDescent="0.45">
      <c r="A1041">
        <v>34</v>
      </c>
      <c r="B1041" t="s">
        <v>35</v>
      </c>
      <c r="C1041" t="s">
        <v>64</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_xlfn.IFS(Table1[[#This Row],[Age]]&lt;30,"Young",Table1[[#This Row],[Age]]&lt;=40,"Adult",Table1[[#This Row],[Age]]&gt;40,"Senior")</f>
        <v>Adult</v>
      </c>
      <c r="AK1041" t="str" cm="1">
        <f t="array" ref="AK1041">_xlfn.IFS(Table1[[#This Row],[MonthlyIncome]]&lt;5000,"Low",Table1[[#This Row],[MonthlyIncome]]&lt;10000,"Medium",Table1[[#This Row],[MonthlyIncome]]&gt;10000,"High")</f>
        <v>Low</v>
      </c>
      <c r="AL1041" t="str" cm="1">
        <f t="array" ref="AL1041">_xlfn.IFS(Table1[[#This Row],[Attrition]]="Yes","Resigned",Table1[[#This Row],[Attrition]]="No","Active")</f>
        <v>Resigned</v>
      </c>
      <c r="AM1041" t="str" cm="1">
        <f t="array" ref="AM1041">_xlfn.IFS(Table1[[#This Row],[YearsAtCompany]]&lt;=1,"0-1 Year",Table1[[#This Row],[YearsAtCompany]]&lt;=2,"1-2 Years",Table1[[#This Row],[YearsAtCompany]]&lt;=3,"2-3 Years",Table1[[#This Row],[YearsAtCompany]]&lt;=4,"3-4 Years",Table1[[#This Row],[YearsAtCompany]]&lt;=5,"4-5 Years",Table1[[#This Row],[YearsAtCompany]]&gt;5,"&gt;5 Years")</f>
        <v>1-2 Years</v>
      </c>
    </row>
    <row r="1042" spans="1:39" hidden="1" x14ac:dyDescent="0.45">
      <c r="A1042">
        <v>40</v>
      </c>
      <c r="B1042" t="s">
        <v>43</v>
      </c>
      <c r="C1042" t="s">
        <v>62</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_xlfn.IFS(Table1[[#This Row],[Age]]&lt;30,"Young",Table1[[#This Row],[Age]]&lt;=40,"Adult",Table1[[#This Row],[Age]]&gt;40,"Senior")</f>
        <v>Adult</v>
      </c>
      <c r="AK1042" t="str" cm="1">
        <f t="array" ref="AK1042">_xlfn.IFS(Table1[[#This Row],[MonthlyIncome]]&lt;5000,"Low",Table1[[#This Row],[MonthlyIncome]]&lt;10000,"Medium",Table1[[#This Row],[MonthlyIncome]]&gt;10000,"High")</f>
        <v>High</v>
      </c>
      <c r="AL1042" t="str" cm="1">
        <f t="array" ref="AL1042">_xlfn.IFS(Table1[[#This Row],[Attrition]]="Yes","Resigned",Table1[[#This Row],[Attrition]]="No","Active")</f>
        <v>Active</v>
      </c>
      <c r="AM1042" t="str" cm="1">
        <f t="array" ref="AM1042">_xlfn.IFS(Table1[[#This Row],[YearsAtCompany]]&lt;=1,"0-1 Year",Table1[[#This Row],[YearsAtCompany]]&lt;=2,"1-2 Years",Table1[[#This Row],[YearsAtCompany]]&lt;=3,"2-3 Years",Table1[[#This Row],[YearsAtCompany]]&lt;=4,"3-4 Years",Table1[[#This Row],[YearsAtCompany]]&lt;=5,"4-5 Years",Table1[[#This Row],[YearsAtCompany]]&gt;5,"&gt;5 Years")</f>
        <v>&gt;5 Years</v>
      </c>
    </row>
    <row r="1043" spans="1:39" x14ac:dyDescent="0.45">
      <c r="A1043">
        <v>28</v>
      </c>
      <c r="B1043" t="s">
        <v>43</v>
      </c>
      <c r="C1043" t="s">
        <v>64</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_xlfn.IFS(Table1[[#This Row],[Age]]&lt;30,"Young",Table1[[#This Row],[Age]]&lt;=40,"Adult",Table1[[#This Row],[Age]]&gt;40,"Senior")</f>
        <v>Young</v>
      </c>
      <c r="AK1043" t="str" cm="1">
        <f t="array" ref="AK1043">_xlfn.IFS(Table1[[#This Row],[MonthlyIncome]]&lt;5000,"Low",Table1[[#This Row],[MonthlyIncome]]&lt;10000,"Medium",Table1[[#This Row],[MonthlyIncome]]&gt;10000,"High")</f>
        <v>Medium</v>
      </c>
      <c r="AL1043" t="str" cm="1">
        <f t="array" ref="AL1043">_xlfn.IFS(Table1[[#This Row],[Attrition]]="Yes","Resigned",Table1[[#This Row],[Attrition]]="No","Active")</f>
        <v>Active</v>
      </c>
      <c r="AM1043" t="str" cm="1">
        <f t="array" ref="AM1043">_xlfn.IFS(Table1[[#This Row],[YearsAtCompany]]&lt;=1,"0-1 Year",Table1[[#This Row],[YearsAtCompany]]&lt;=2,"1-2 Years",Table1[[#This Row],[YearsAtCompany]]&lt;=3,"2-3 Years",Table1[[#This Row],[YearsAtCompany]]&lt;=4,"3-4 Years",Table1[[#This Row],[YearsAtCompany]]&lt;=5,"4-5 Years",Table1[[#This Row],[YearsAtCompany]]&gt;5,"&gt;5 Years")</f>
        <v>4-5 Years</v>
      </c>
    </row>
    <row r="1044" spans="1:39" hidden="1" x14ac:dyDescent="0.45">
      <c r="A1044">
        <v>44</v>
      </c>
      <c r="B1044" t="s">
        <v>43</v>
      </c>
      <c r="C1044" t="s">
        <v>62</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_xlfn.IFS(Table1[[#This Row],[Age]]&lt;30,"Young",Table1[[#This Row],[Age]]&lt;=40,"Adult",Table1[[#This Row],[Age]]&gt;40,"Senior")</f>
        <v>Senior</v>
      </c>
      <c r="AK1044" t="str" cm="1">
        <f t="array" ref="AK1044">_xlfn.IFS(Table1[[#This Row],[MonthlyIncome]]&lt;5000,"Low",Table1[[#This Row],[MonthlyIncome]]&lt;10000,"Medium",Table1[[#This Row],[MonthlyIncome]]&gt;10000,"High")</f>
        <v>Low</v>
      </c>
      <c r="AL1044" t="str" cm="1">
        <f t="array" ref="AL1044">_xlfn.IFS(Table1[[#This Row],[Attrition]]="Yes","Resigned",Table1[[#This Row],[Attrition]]="No","Active")</f>
        <v>Active</v>
      </c>
      <c r="AM1044" t="str" cm="1">
        <f t="array" ref="AM1044">_xlfn.IFS(Table1[[#This Row],[YearsAtCompany]]&lt;=1,"0-1 Year",Table1[[#This Row],[YearsAtCompany]]&lt;=2,"1-2 Years",Table1[[#This Row],[YearsAtCompany]]&lt;=3,"2-3 Years",Table1[[#This Row],[YearsAtCompany]]&lt;=4,"3-4 Years",Table1[[#This Row],[YearsAtCompany]]&lt;=5,"4-5 Years",Table1[[#This Row],[YearsAtCompany]]&gt;5,"&gt;5 Years")</f>
        <v>4-5 Years</v>
      </c>
    </row>
    <row r="1045" spans="1:39" hidden="1" x14ac:dyDescent="0.45">
      <c r="A1045">
        <v>53</v>
      </c>
      <c r="B1045" t="s">
        <v>43</v>
      </c>
      <c r="C1045" t="s">
        <v>64</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_xlfn.IFS(Table1[[#This Row],[Age]]&lt;30,"Young",Table1[[#This Row],[Age]]&lt;=40,"Adult",Table1[[#This Row],[Age]]&gt;40,"Senior")</f>
        <v>Senior</v>
      </c>
      <c r="AK1045" t="str" cm="1">
        <f t="array" ref="AK1045">_xlfn.IFS(Table1[[#This Row],[MonthlyIncome]]&lt;5000,"Low",Table1[[#This Row],[MonthlyIncome]]&lt;10000,"Medium",Table1[[#This Row],[MonthlyIncome]]&gt;10000,"High")</f>
        <v>High</v>
      </c>
      <c r="AL1045" t="str" cm="1">
        <f t="array" ref="AL1045">_xlfn.IFS(Table1[[#This Row],[Attrition]]="Yes","Resigned",Table1[[#This Row],[Attrition]]="No","Active")</f>
        <v>Active</v>
      </c>
      <c r="AM1045" t="str" cm="1">
        <f t="array" ref="AM1045">_xlfn.IFS(Table1[[#This Row],[YearsAtCompany]]&lt;=1,"0-1 Year",Table1[[#This Row],[YearsAtCompany]]&lt;=2,"1-2 Years",Table1[[#This Row],[YearsAtCompany]]&lt;=3,"2-3 Years",Table1[[#This Row],[YearsAtCompany]]&lt;=4,"3-4 Years",Table1[[#This Row],[YearsAtCompany]]&lt;=5,"4-5 Years",Table1[[#This Row],[YearsAtCompany]]&gt;5,"&gt;5 Years")</f>
        <v>&gt;5 Years</v>
      </c>
    </row>
    <row r="1046" spans="1:39" hidden="1" x14ac:dyDescent="0.45">
      <c r="A1046">
        <v>49</v>
      </c>
      <c r="B1046" t="s">
        <v>43</v>
      </c>
      <c r="C1046" t="s">
        <v>64</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_xlfn.IFS(Table1[[#This Row],[Age]]&lt;30,"Young",Table1[[#This Row],[Age]]&lt;=40,"Adult",Table1[[#This Row],[Age]]&gt;40,"Senior")</f>
        <v>Senior</v>
      </c>
      <c r="AK1046" t="str" cm="1">
        <f t="array" ref="AK1046">_xlfn.IFS(Table1[[#This Row],[MonthlyIncome]]&lt;5000,"Low",Table1[[#This Row],[MonthlyIncome]]&lt;10000,"Medium",Table1[[#This Row],[MonthlyIncome]]&gt;10000,"High")</f>
        <v>Medium</v>
      </c>
      <c r="AL1046" t="str" cm="1">
        <f t="array" ref="AL1046">_xlfn.IFS(Table1[[#This Row],[Attrition]]="Yes","Resigned",Table1[[#This Row],[Attrition]]="No","Active")</f>
        <v>Active</v>
      </c>
      <c r="AM1046" t="str" cm="1">
        <f t="array" ref="AM1046">_xlfn.IFS(Table1[[#This Row],[YearsAtCompany]]&lt;=1,"0-1 Year",Table1[[#This Row],[YearsAtCompany]]&lt;=2,"1-2 Years",Table1[[#This Row],[YearsAtCompany]]&lt;=3,"2-3 Years",Table1[[#This Row],[YearsAtCompany]]&lt;=4,"3-4 Years",Table1[[#This Row],[YearsAtCompany]]&lt;=5,"4-5 Years",Table1[[#This Row],[YearsAtCompany]]&gt;5,"&gt;5 Years")</f>
        <v>2-3 Years</v>
      </c>
    </row>
    <row r="1047" spans="1:39" hidden="1" x14ac:dyDescent="0.45">
      <c r="A1047">
        <v>40</v>
      </c>
      <c r="B1047" t="s">
        <v>43</v>
      </c>
      <c r="C1047" t="s">
        <v>64</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_xlfn.IFS(Table1[[#This Row],[Age]]&lt;30,"Young",Table1[[#This Row],[Age]]&lt;=40,"Adult",Table1[[#This Row],[Age]]&gt;40,"Senior")</f>
        <v>Adult</v>
      </c>
      <c r="AK1047" t="str" cm="1">
        <f t="array" ref="AK1047">_xlfn.IFS(Table1[[#This Row],[MonthlyIncome]]&lt;5000,"Low",Table1[[#This Row],[MonthlyIncome]]&lt;10000,"Medium",Table1[[#This Row],[MonthlyIncome]]&gt;10000,"High")</f>
        <v>Low</v>
      </c>
      <c r="AL1047" t="str" cm="1">
        <f t="array" ref="AL1047">_xlfn.IFS(Table1[[#This Row],[Attrition]]="Yes","Resigned",Table1[[#This Row],[Attrition]]="No","Active")</f>
        <v>Active</v>
      </c>
      <c r="AM1047" t="str" cm="1">
        <f t="array" ref="AM1047">_xlfn.IFS(Table1[[#This Row],[YearsAtCompany]]&lt;=1,"0-1 Year",Table1[[#This Row],[YearsAtCompany]]&lt;=2,"1-2 Years",Table1[[#This Row],[YearsAtCompany]]&lt;=3,"2-3 Years",Table1[[#This Row],[YearsAtCompany]]&lt;=4,"3-4 Years",Table1[[#This Row],[YearsAtCompany]]&lt;=5,"4-5 Years",Table1[[#This Row],[YearsAtCompany]]&gt;5,"&gt;5 Years")</f>
        <v>2-3 Years</v>
      </c>
    </row>
    <row r="1048" spans="1:39" hidden="1" x14ac:dyDescent="0.45">
      <c r="A1048">
        <v>44</v>
      </c>
      <c r="B1048" t="s">
        <v>43</v>
      </c>
      <c r="C1048" t="s">
        <v>64</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_xlfn.IFS(Table1[[#This Row],[Age]]&lt;30,"Young",Table1[[#This Row],[Age]]&lt;=40,"Adult",Table1[[#This Row],[Age]]&gt;40,"Senior")</f>
        <v>Senior</v>
      </c>
      <c r="AK1048" t="str" cm="1">
        <f t="array" ref="AK1048">_xlfn.IFS(Table1[[#This Row],[MonthlyIncome]]&lt;5000,"Low",Table1[[#This Row],[MonthlyIncome]]&lt;10000,"Medium",Table1[[#This Row],[MonthlyIncome]]&gt;10000,"High")</f>
        <v>Low</v>
      </c>
      <c r="AL1048" t="str" cm="1">
        <f t="array" ref="AL1048">_xlfn.IFS(Table1[[#This Row],[Attrition]]="Yes","Resigned",Table1[[#This Row],[Attrition]]="No","Active")</f>
        <v>Active</v>
      </c>
      <c r="AM1048" t="str" cm="1">
        <f t="array" ref="AM1048">_xlfn.IFS(Table1[[#This Row],[YearsAtCompany]]&lt;=1,"0-1 Year",Table1[[#This Row],[YearsAtCompany]]&lt;=2,"1-2 Years",Table1[[#This Row],[YearsAtCompany]]&lt;=3,"2-3 Years",Table1[[#This Row],[YearsAtCompany]]&lt;=4,"3-4 Years",Table1[[#This Row],[YearsAtCompany]]&lt;=5,"4-5 Years",Table1[[#This Row],[YearsAtCompany]]&gt;5,"&gt;5 Years")</f>
        <v>4-5 Years</v>
      </c>
    </row>
    <row r="1049" spans="1:39" x14ac:dyDescent="0.45">
      <c r="A1049">
        <v>33</v>
      </c>
      <c r="B1049" t="s">
        <v>43</v>
      </c>
      <c r="C1049" t="s">
        <v>63</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_xlfn.IFS(Table1[[#This Row],[Age]]&lt;30,"Young",Table1[[#This Row],[Age]]&lt;=40,"Adult",Table1[[#This Row],[Age]]&gt;40,"Senior")</f>
        <v>Adult</v>
      </c>
      <c r="AK1049" t="str" cm="1">
        <f t="array" ref="AK1049">_xlfn.IFS(Table1[[#This Row],[MonthlyIncome]]&lt;5000,"Low",Table1[[#This Row],[MonthlyIncome]]&lt;10000,"Medium",Table1[[#This Row],[MonthlyIncome]]&gt;10000,"High")</f>
        <v>Low</v>
      </c>
      <c r="AL1049" t="str" cm="1">
        <f t="array" ref="AL1049">_xlfn.IFS(Table1[[#This Row],[Attrition]]="Yes","Resigned",Table1[[#This Row],[Attrition]]="No","Active")</f>
        <v>Active</v>
      </c>
      <c r="AM1049" t="str" cm="1">
        <f t="array" ref="AM1049">_xlfn.IFS(Table1[[#This Row],[YearsAtCompany]]&lt;=1,"0-1 Year",Table1[[#This Row],[YearsAtCompany]]&lt;=2,"1-2 Years",Table1[[#This Row],[YearsAtCompany]]&lt;=3,"2-3 Years",Table1[[#This Row],[YearsAtCompany]]&lt;=4,"3-4 Years",Table1[[#This Row],[YearsAtCompany]]&lt;=5,"4-5 Years",Table1[[#This Row],[YearsAtCompany]]&gt;5,"&gt;5 Years")</f>
        <v>3-4 Years</v>
      </c>
    </row>
    <row r="1050" spans="1:39" x14ac:dyDescent="0.45">
      <c r="A1050">
        <v>34</v>
      </c>
      <c r="B1050" t="s">
        <v>43</v>
      </c>
      <c r="C1050" t="s">
        <v>64</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_xlfn.IFS(Table1[[#This Row],[Age]]&lt;30,"Young",Table1[[#This Row],[Age]]&lt;=40,"Adult",Table1[[#This Row],[Age]]&gt;40,"Senior")</f>
        <v>Adult</v>
      </c>
      <c r="AK1050" t="str" cm="1">
        <f t="array" ref="AK1050">_xlfn.IFS(Table1[[#This Row],[MonthlyIncome]]&lt;5000,"Low",Table1[[#This Row],[MonthlyIncome]]&lt;10000,"Medium",Table1[[#This Row],[MonthlyIncome]]&gt;10000,"High")</f>
        <v>Low</v>
      </c>
      <c r="AL1050" t="str" cm="1">
        <f t="array" ref="AL1050">_xlfn.IFS(Table1[[#This Row],[Attrition]]="Yes","Resigned",Table1[[#This Row],[Attrition]]="No","Active")</f>
        <v>Active</v>
      </c>
      <c r="AM1050" t="str" cm="1">
        <f t="array" ref="AM1050">_xlfn.IFS(Table1[[#This Row],[YearsAtCompany]]&lt;=1,"0-1 Year",Table1[[#This Row],[YearsAtCompany]]&lt;=2,"1-2 Years",Table1[[#This Row],[YearsAtCompany]]&lt;=3,"2-3 Years",Table1[[#This Row],[YearsAtCompany]]&lt;=4,"3-4 Years",Table1[[#This Row],[YearsAtCompany]]&lt;=5,"4-5 Years",Table1[[#This Row],[YearsAtCompany]]&gt;5,"&gt;5 Years")</f>
        <v>&gt;5 Years</v>
      </c>
    </row>
    <row r="1051" spans="1:39" x14ac:dyDescent="0.45">
      <c r="A1051">
        <v>30</v>
      </c>
      <c r="B1051" t="s">
        <v>43</v>
      </c>
      <c r="C1051" t="s">
        <v>64</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_xlfn.IFS(Table1[[#This Row],[Age]]&lt;30,"Young",Table1[[#This Row],[Age]]&lt;=40,"Adult",Table1[[#This Row],[Age]]&gt;40,"Senior")</f>
        <v>Adult</v>
      </c>
      <c r="AK1051" t="str" cm="1">
        <f t="array" ref="AK1051">_xlfn.IFS(Table1[[#This Row],[MonthlyIncome]]&lt;5000,"Low",Table1[[#This Row],[MonthlyIncome]]&lt;10000,"Medium",Table1[[#This Row],[MonthlyIncome]]&gt;10000,"High")</f>
        <v>Medium</v>
      </c>
      <c r="AL1051" t="str" cm="1">
        <f t="array" ref="AL1051">_xlfn.IFS(Table1[[#This Row],[Attrition]]="Yes","Resigned",Table1[[#This Row],[Attrition]]="No","Active")</f>
        <v>Active</v>
      </c>
      <c r="AM1051" t="str" cm="1">
        <f t="array" ref="AM1051">_xlfn.IFS(Table1[[#This Row],[YearsAtCompany]]&lt;=1,"0-1 Year",Table1[[#This Row],[YearsAtCompany]]&lt;=2,"1-2 Years",Table1[[#This Row],[YearsAtCompany]]&lt;=3,"2-3 Years",Table1[[#This Row],[YearsAtCompany]]&lt;=4,"3-4 Years",Table1[[#This Row],[YearsAtCompany]]&lt;=5,"4-5 Years",Table1[[#This Row],[YearsAtCompany]]&gt;5,"&gt;5 Years")</f>
        <v>1-2 Years</v>
      </c>
    </row>
    <row r="1052" spans="1:39" hidden="1" x14ac:dyDescent="0.45">
      <c r="A1052">
        <v>42</v>
      </c>
      <c r="B1052" t="s">
        <v>43</v>
      </c>
      <c r="C1052" t="s">
        <v>63</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_xlfn.IFS(Table1[[#This Row],[Age]]&lt;30,"Young",Table1[[#This Row],[Age]]&lt;=40,"Adult",Table1[[#This Row],[Age]]&gt;40,"Senior")</f>
        <v>Senior</v>
      </c>
      <c r="AK1052" t="str" cm="1">
        <f t="array" ref="AK1052">_xlfn.IFS(Table1[[#This Row],[MonthlyIncome]]&lt;5000,"Low",Table1[[#This Row],[MonthlyIncome]]&lt;10000,"Medium",Table1[[#This Row],[MonthlyIncome]]&gt;10000,"High")</f>
        <v>Low</v>
      </c>
      <c r="AL1052" t="str" cm="1">
        <f t="array" ref="AL1052">_xlfn.IFS(Table1[[#This Row],[Attrition]]="Yes","Resigned",Table1[[#This Row],[Attrition]]="No","Active")</f>
        <v>Active</v>
      </c>
      <c r="AM1052" t="str" cm="1">
        <f t="array" ref="AM1052">_xlfn.IFS(Table1[[#This Row],[YearsAtCompany]]&lt;=1,"0-1 Year",Table1[[#This Row],[YearsAtCompany]]&lt;=2,"1-2 Years",Table1[[#This Row],[YearsAtCompany]]&lt;=3,"2-3 Years",Table1[[#This Row],[YearsAtCompany]]&lt;=4,"3-4 Years",Table1[[#This Row],[YearsAtCompany]]&lt;=5,"4-5 Years",Table1[[#This Row],[YearsAtCompany]]&gt;5,"&gt;5 Years")</f>
        <v>&gt;5 Years</v>
      </c>
    </row>
    <row r="1053" spans="1:39" x14ac:dyDescent="0.45">
      <c r="A1053">
        <v>44</v>
      </c>
      <c r="B1053" t="s">
        <v>43</v>
      </c>
      <c r="C1053" t="s">
        <v>63</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_xlfn.IFS(Table1[[#This Row],[Age]]&lt;30,"Young",Table1[[#This Row],[Age]]&lt;=40,"Adult",Table1[[#This Row],[Age]]&gt;40,"Senior")</f>
        <v>Senior</v>
      </c>
      <c r="AK1053" t="str" cm="1">
        <f t="array" ref="AK1053">_xlfn.IFS(Table1[[#This Row],[MonthlyIncome]]&lt;5000,"Low",Table1[[#This Row],[MonthlyIncome]]&lt;10000,"Medium",Table1[[#This Row],[MonthlyIncome]]&gt;10000,"High")</f>
        <v>Low</v>
      </c>
      <c r="AL1053" t="str" cm="1">
        <f t="array" ref="AL1053">_xlfn.IFS(Table1[[#This Row],[Attrition]]="Yes","Resigned",Table1[[#This Row],[Attrition]]="No","Active")</f>
        <v>Active</v>
      </c>
      <c r="AM1053" t="str" cm="1">
        <f t="array" ref="AM1053">_xlfn.IFS(Table1[[#This Row],[YearsAtCompany]]&lt;=1,"0-1 Year",Table1[[#This Row],[YearsAtCompany]]&lt;=2,"1-2 Years",Table1[[#This Row],[YearsAtCompany]]&lt;=3,"2-3 Years",Table1[[#This Row],[YearsAtCompany]]&lt;=4,"3-4 Years",Table1[[#This Row],[YearsAtCompany]]&lt;=5,"4-5 Years",Table1[[#This Row],[YearsAtCompany]]&gt;5,"&gt;5 Years")</f>
        <v>0-1 Year</v>
      </c>
    </row>
    <row r="1054" spans="1:39" hidden="1" x14ac:dyDescent="0.45">
      <c r="A1054">
        <v>30</v>
      </c>
      <c r="B1054" t="s">
        <v>43</v>
      </c>
      <c r="C1054" t="s">
        <v>62</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_xlfn.IFS(Table1[[#This Row],[Age]]&lt;30,"Young",Table1[[#This Row],[Age]]&lt;=40,"Adult",Table1[[#This Row],[Age]]&gt;40,"Senior")</f>
        <v>Adult</v>
      </c>
      <c r="AK1054" t="str" cm="1">
        <f t="array" ref="AK1054">_xlfn.IFS(Table1[[#This Row],[MonthlyIncome]]&lt;5000,"Low",Table1[[#This Row],[MonthlyIncome]]&lt;10000,"Medium",Table1[[#This Row],[MonthlyIncome]]&gt;10000,"High")</f>
        <v>Low</v>
      </c>
      <c r="AL1054" t="str" cm="1">
        <f t="array" ref="AL1054">_xlfn.IFS(Table1[[#This Row],[Attrition]]="Yes","Resigned",Table1[[#This Row],[Attrition]]="No","Active")</f>
        <v>Active</v>
      </c>
      <c r="AM1054" t="str" cm="1">
        <f t="array" ref="AM1054">_xlfn.IFS(Table1[[#This Row],[YearsAtCompany]]&lt;=1,"0-1 Year",Table1[[#This Row],[YearsAtCompany]]&lt;=2,"1-2 Years",Table1[[#This Row],[YearsAtCompany]]&lt;=3,"2-3 Years",Table1[[#This Row],[YearsAtCompany]]&lt;=4,"3-4 Years",Table1[[#This Row],[YearsAtCompany]]&lt;=5,"4-5 Years",Table1[[#This Row],[YearsAtCompany]]&gt;5,"&gt;5 Years")</f>
        <v>0-1 Year</v>
      </c>
    </row>
    <row r="1055" spans="1:39" hidden="1" x14ac:dyDescent="0.45">
      <c r="A1055">
        <v>57</v>
      </c>
      <c r="B1055" t="s">
        <v>43</v>
      </c>
      <c r="C1055" t="s">
        <v>64</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_xlfn.IFS(Table1[[#This Row],[Age]]&lt;30,"Young",Table1[[#This Row],[Age]]&lt;=40,"Adult",Table1[[#This Row],[Age]]&gt;40,"Senior")</f>
        <v>Senior</v>
      </c>
      <c r="AK1055" t="str" cm="1">
        <f t="array" ref="AK1055">_xlfn.IFS(Table1[[#This Row],[MonthlyIncome]]&lt;5000,"Low",Table1[[#This Row],[MonthlyIncome]]&lt;10000,"Medium",Table1[[#This Row],[MonthlyIncome]]&gt;10000,"High")</f>
        <v>Low</v>
      </c>
      <c r="AL1055" t="str" cm="1">
        <f t="array" ref="AL1055">_xlfn.IFS(Table1[[#This Row],[Attrition]]="Yes","Resigned",Table1[[#This Row],[Attrition]]="No","Active")</f>
        <v>Active</v>
      </c>
      <c r="AM1055" t="str" cm="1">
        <f t="array" ref="AM1055">_xlfn.IFS(Table1[[#This Row],[YearsAtCompany]]&lt;=1,"0-1 Year",Table1[[#This Row],[YearsAtCompany]]&lt;=2,"1-2 Years",Table1[[#This Row],[YearsAtCompany]]&lt;=3,"2-3 Years",Table1[[#This Row],[YearsAtCompany]]&lt;=4,"3-4 Years",Table1[[#This Row],[YearsAtCompany]]&lt;=5,"4-5 Years",Table1[[#This Row],[YearsAtCompany]]&gt;5,"&gt;5 Years")</f>
        <v>&gt;5 Years</v>
      </c>
    </row>
    <row r="1056" spans="1:39" hidden="1" x14ac:dyDescent="0.45">
      <c r="A1056">
        <v>49</v>
      </c>
      <c r="B1056" t="s">
        <v>43</v>
      </c>
      <c r="C1056" t="s">
        <v>64</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_xlfn.IFS(Table1[[#This Row],[Age]]&lt;30,"Young",Table1[[#This Row],[Age]]&lt;=40,"Adult",Table1[[#This Row],[Age]]&gt;40,"Senior")</f>
        <v>Senior</v>
      </c>
      <c r="AK1056" t="str" cm="1">
        <f t="array" ref="AK1056">_xlfn.IFS(Table1[[#This Row],[MonthlyIncome]]&lt;5000,"Low",Table1[[#This Row],[MonthlyIncome]]&lt;10000,"Medium",Table1[[#This Row],[MonthlyIncome]]&gt;10000,"High")</f>
        <v>High</v>
      </c>
      <c r="AL1056" t="str" cm="1">
        <f t="array" ref="AL1056">_xlfn.IFS(Table1[[#This Row],[Attrition]]="Yes","Resigned",Table1[[#This Row],[Attrition]]="No","Active")</f>
        <v>Active</v>
      </c>
      <c r="AM1056" t="str" cm="1">
        <f t="array" ref="AM1056">_xlfn.IFS(Table1[[#This Row],[YearsAtCompany]]&lt;=1,"0-1 Year",Table1[[#This Row],[YearsAtCompany]]&lt;=2,"1-2 Years",Table1[[#This Row],[YearsAtCompany]]&lt;=3,"2-3 Years",Table1[[#This Row],[YearsAtCompany]]&lt;=4,"3-4 Years",Table1[[#This Row],[YearsAtCompany]]&lt;=5,"4-5 Years",Table1[[#This Row],[YearsAtCompany]]&gt;5,"&gt;5 Years")</f>
        <v>&gt;5 Years</v>
      </c>
    </row>
    <row r="1057" spans="1:39" hidden="1" x14ac:dyDescent="0.45">
      <c r="A1057">
        <v>34</v>
      </c>
      <c r="B1057" t="s">
        <v>43</v>
      </c>
      <c r="C1057" t="s">
        <v>63</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_xlfn.IFS(Table1[[#This Row],[Age]]&lt;30,"Young",Table1[[#This Row],[Age]]&lt;=40,"Adult",Table1[[#This Row],[Age]]&gt;40,"Senior")</f>
        <v>Adult</v>
      </c>
      <c r="AK1057" t="str" cm="1">
        <f t="array" ref="AK1057">_xlfn.IFS(Table1[[#This Row],[MonthlyIncome]]&lt;5000,"Low",Table1[[#This Row],[MonthlyIncome]]&lt;10000,"Medium",Table1[[#This Row],[MonthlyIncome]]&gt;10000,"High")</f>
        <v>High</v>
      </c>
      <c r="AL1057" t="str" cm="1">
        <f t="array" ref="AL1057">_xlfn.IFS(Table1[[#This Row],[Attrition]]="Yes","Resigned",Table1[[#This Row],[Attrition]]="No","Active")</f>
        <v>Active</v>
      </c>
      <c r="AM1057" t="str" cm="1">
        <f t="array" ref="AM1057">_xlfn.IFS(Table1[[#This Row],[YearsAtCompany]]&lt;=1,"0-1 Year",Table1[[#This Row],[YearsAtCompany]]&lt;=2,"1-2 Years",Table1[[#This Row],[YearsAtCompany]]&lt;=3,"2-3 Years",Table1[[#This Row],[YearsAtCompany]]&lt;=4,"3-4 Years",Table1[[#This Row],[YearsAtCompany]]&lt;=5,"4-5 Years",Table1[[#This Row],[YearsAtCompany]]&gt;5,"&gt;5 Years")</f>
        <v>&gt;5 Years</v>
      </c>
    </row>
    <row r="1058" spans="1:39" x14ac:dyDescent="0.45">
      <c r="A1058">
        <v>28</v>
      </c>
      <c r="B1058" t="s">
        <v>35</v>
      </c>
      <c r="C1058" t="s">
        <v>63</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_xlfn.IFS(Table1[[#This Row],[Age]]&lt;30,"Young",Table1[[#This Row],[Age]]&lt;=40,"Adult",Table1[[#This Row],[Age]]&gt;40,"Senior")</f>
        <v>Young</v>
      </c>
      <c r="AK1058" t="str" cm="1">
        <f t="array" ref="AK1058">_xlfn.IFS(Table1[[#This Row],[MonthlyIncome]]&lt;5000,"Low",Table1[[#This Row],[MonthlyIncome]]&lt;10000,"Medium",Table1[[#This Row],[MonthlyIncome]]&gt;10000,"High")</f>
        <v>Low</v>
      </c>
      <c r="AL1058" t="str" cm="1">
        <f t="array" ref="AL1058">_xlfn.IFS(Table1[[#This Row],[Attrition]]="Yes","Resigned",Table1[[#This Row],[Attrition]]="No","Active")</f>
        <v>Resigned</v>
      </c>
      <c r="AM1058" t="str" cm="1">
        <f t="array" ref="AM1058">_xlfn.IFS(Table1[[#This Row],[YearsAtCompany]]&lt;=1,"0-1 Year",Table1[[#This Row],[YearsAtCompany]]&lt;=2,"1-2 Years",Table1[[#This Row],[YearsAtCompany]]&lt;=3,"2-3 Years",Table1[[#This Row],[YearsAtCompany]]&lt;=4,"3-4 Years",Table1[[#This Row],[YearsAtCompany]]&lt;=5,"4-5 Years",Table1[[#This Row],[YearsAtCompany]]&gt;5,"&gt;5 Years")</f>
        <v>2-3 Years</v>
      </c>
    </row>
    <row r="1059" spans="1:39" x14ac:dyDescent="0.45">
      <c r="A1059">
        <v>29</v>
      </c>
      <c r="B1059" t="s">
        <v>35</v>
      </c>
      <c r="C1059" t="s">
        <v>63</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_xlfn.IFS(Table1[[#This Row],[Age]]&lt;30,"Young",Table1[[#This Row],[Age]]&lt;=40,"Adult",Table1[[#This Row],[Age]]&gt;40,"Senior")</f>
        <v>Young</v>
      </c>
      <c r="AK1059" t="str" cm="1">
        <f t="array" ref="AK1059">_xlfn.IFS(Table1[[#This Row],[MonthlyIncome]]&lt;5000,"Low",Table1[[#This Row],[MonthlyIncome]]&lt;10000,"Medium",Table1[[#This Row],[MonthlyIncome]]&gt;10000,"High")</f>
        <v>Medium</v>
      </c>
      <c r="AL1059" t="str" cm="1">
        <f t="array" ref="AL1059">_xlfn.IFS(Table1[[#This Row],[Attrition]]="Yes","Resigned",Table1[[#This Row],[Attrition]]="No","Active")</f>
        <v>Resigned</v>
      </c>
      <c r="AM1059" t="str" cm="1">
        <f t="array" ref="AM1059">_xlfn.IFS(Table1[[#This Row],[YearsAtCompany]]&lt;=1,"0-1 Year",Table1[[#This Row],[YearsAtCompany]]&lt;=2,"1-2 Years",Table1[[#This Row],[YearsAtCompany]]&lt;=3,"2-3 Years",Table1[[#This Row],[YearsAtCompany]]&lt;=4,"3-4 Years",Table1[[#This Row],[YearsAtCompany]]&lt;=5,"4-5 Years",Table1[[#This Row],[YearsAtCompany]]&gt;5,"&gt;5 Years")</f>
        <v>4-5 Years</v>
      </c>
    </row>
    <row r="1060" spans="1:39" x14ac:dyDescent="0.45">
      <c r="A1060">
        <v>34</v>
      </c>
      <c r="B1060" t="s">
        <v>35</v>
      </c>
      <c r="C1060" t="s">
        <v>64</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_xlfn.IFS(Table1[[#This Row],[Age]]&lt;30,"Young",Table1[[#This Row],[Age]]&lt;=40,"Adult",Table1[[#This Row],[Age]]&gt;40,"Senior")</f>
        <v>Adult</v>
      </c>
      <c r="AK1060" t="str" cm="1">
        <f t="array" ref="AK1060">_xlfn.IFS(Table1[[#This Row],[MonthlyIncome]]&lt;5000,"Low",Table1[[#This Row],[MonthlyIncome]]&lt;10000,"Medium",Table1[[#This Row],[MonthlyIncome]]&gt;10000,"High")</f>
        <v>Low</v>
      </c>
      <c r="AL1060" t="str" cm="1">
        <f t="array" ref="AL1060">_xlfn.IFS(Table1[[#This Row],[Attrition]]="Yes","Resigned",Table1[[#This Row],[Attrition]]="No","Active")</f>
        <v>Resigned</v>
      </c>
      <c r="AM1060" t="str" cm="1">
        <f t="array" ref="AM1060">_xlfn.IFS(Table1[[#This Row],[YearsAtCompany]]&lt;=1,"0-1 Year",Table1[[#This Row],[YearsAtCompany]]&lt;=2,"1-2 Years",Table1[[#This Row],[YearsAtCompany]]&lt;=3,"2-3 Years",Table1[[#This Row],[YearsAtCompany]]&lt;=4,"3-4 Years",Table1[[#This Row],[YearsAtCompany]]&lt;=5,"4-5 Years",Table1[[#This Row],[YearsAtCompany]]&gt;5,"&gt;5 Years")</f>
        <v>&gt;5 Years</v>
      </c>
    </row>
    <row r="1061" spans="1:39" x14ac:dyDescent="0.45">
      <c r="A1061">
        <v>35</v>
      </c>
      <c r="B1061" t="s">
        <v>43</v>
      </c>
      <c r="C1061" t="s">
        <v>64</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_xlfn.IFS(Table1[[#This Row],[Age]]&lt;30,"Young",Table1[[#This Row],[Age]]&lt;=40,"Adult",Table1[[#This Row],[Age]]&gt;40,"Senior")</f>
        <v>Adult</v>
      </c>
      <c r="AK1061" t="str" cm="1">
        <f t="array" ref="AK1061">_xlfn.IFS(Table1[[#This Row],[MonthlyIncome]]&lt;5000,"Low",Table1[[#This Row],[MonthlyIncome]]&lt;10000,"Medium",Table1[[#This Row],[MonthlyIncome]]&gt;10000,"High")</f>
        <v>Low</v>
      </c>
      <c r="AL1061" t="str" cm="1">
        <f t="array" ref="AL1061">_xlfn.IFS(Table1[[#This Row],[Attrition]]="Yes","Resigned",Table1[[#This Row],[Attrition]]="No","Active")</f>
        <v>Active</v>
      </c>
      <c r="AM1061" t="str" cm="1">
        <f t="array" ref="AM1061">_xlfn.IFS(Table1[[#This Row],[YearsAtCompany]]&lt;=1,"0-1 Year",Table1[[#This Row],[YearsAtCompany]]&lt;=2,"1-2 Years",Table1[[#This Row],[YearsAtCompany]]&lt;=3,"2-3 Years",Table1[[#This Row],[YearsAtCompany]]&lt;=4,"3-4 Years",Table1[[#This Row],[YearsAtCompany]]&lt;=5,"4-5 Years",Table1[[#This Row],[YearsAtCompany]]&gt;5,"&gt;5 Years")</f>
        <v>0-1 Year</v>
      </c>
    </row>
    <row r="1062" spans="1:39" hidden="1" x14ac:dyDescent="0.45">
      <c r="A1062">
        <v>24</v>
      </c>
      <c r="B1062" t="s">
        <v>35</v>
      </c>
      <c r="C1062" t="s">
        <v>63</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_xlfn.IFS(Table1[[#This Row],[Age]]&lt;30,"Young",Table1[[#This Row],[Age]]&lt;=40,"Adult",Table1[[#This Row],[Age]]&gt;40,"Senior")</f>
        <v>Young</v>
      </c>
      <c r="AK1062" t="str" cm="1">
        <f t="array" ref="AK1062">_xlfn.IFS(Table1[[#This Row],[MonthlyIncome]]&lt;5000,"Low",Table1[[#This Row],[MonthlyIncome]]&lt;10000,"Medium",Table1[[#This Row],[MonthlyIncome]]&gt;10000,"High")</f>
        <v>Low</v>
      </c>
      <c r="AL1062" t="str" cm="1">
        <f t="array" ref="AL1062">_xlfn.IFS(Table1[[#This Row],[Attrition]]="Yes","Resigned",Table1[[#This Row],[Attrition]]="No","Active")</f>
        <v>Resigned</v>
      </c>
      <c r="AM1062" t="str" cm="1">
        <f t="array" ref="AM1062">_xlfn.IFS(Table1[[#This Row],[YearsAtCompany]]&lt;=1,"0-1 Year",Table1[[#This Row],[YearsAtCompany]]&lt;=2,"1-2 Years",Table1[[#This Row],[YearsAtCompany]]&lt;=3,"2-3 Years",Table1[[#This Row],[YearsAtCompany]]&lt;=4,"3-4 Years",Table1[[#This Row],[YearsAtCompany]]&lt;=5,"4-5 Years",Table1[[#This Row],[YearsAtCompany]]&gt;5,"&gt;5 Years")</f>
        <v>0-1 Year</v>
      </c>
    </row>
    <row r="1063" spans="1:39" x14ac:dyDescent="0.45">
      <c r="A1063">
        <v>24</v>
      </c>
      <c r="B1063" t="s">
        <v>43</v>
      </c>
      <c r="C1063" t="s">
        <v>62</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_xlfn.IFS(Table1[[#This Row],[Age]]&lt;30,"Young",Table1[[#This Row],[Age]]&lt;=40,"Adult",Table1[[#This Row],[Age]]&gt;40,"Senior")</f>
        <v>Young</v>
      </c>
      <c r="AK1063" t="str" cm="1">
        <f t="array" ref="AK1063">_xlfn.IFS(Table1[[#This Row],[MonthlyIncome]]&lt;5000,"Low",Table1[[#This Row],[MonthlyIncome]]&lt;10000,"Medium",Table1[[#This Row],[MonthlyIncome]]&gt;10000,"High")</f>
        <v>Low</v>
      </c>
      <c r="AL1063" t="str" cm="1">
        <f t="array" ref="AL1063">_xlfn.IFS(Table1[[#This Row],[Attrition]]="Yes","Resigned",Table1[[#This Row],[Attrition]]="No","Active")</f>
        <v>Active</v>
      </c>
      <c r="AM1063" t="str" cm="1">
        <f t="array" ref="AM1063">_xlfn.IFS(Table1[[#This Row],[YearsAtCompany]]&lt;=1,"0-1 Year",Table1[[#This Row],[YearsAtCompany]]&lt;=2,"1-2 Years",Table1[[#This Row],[YearsAtCompany]]&lt;=3,"2-3 Years",Table1[[#This Row],[YearsAtCompany]]&lt;=4,"3-4 Years",Table1[[#This Row],[YearsAtCompany]]&lt;=5,"4-5 Years",Table1[[#This Row],[YearsAtCompany]]&gt;5,"&gt;5 Years")</f>
        <v>0-1 Year</v>
      </c>
    </row>
    <row r="1064" spans="1:39" hidden="1" x14ac:dyDescent="0.45">
      <c r="A1064">
        <v>44</v>
      </c>
      <c r="B1064" t="s">
        <v>43</v>
      </c>
      <c r="C1064" t="s">
        <v>63</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_xlfn.IFS(Table1[[#This Row],[Age]]&lt;30,"Young",Table1[[#This Row],[Age]]&lt;=40,"Adult",Table1[[#This Row],[Age]]&gt;40,"Senior")</f>
        <v>Senior</v>
      </c>
      <c r="AK1064" t="str" cm="1">
        <f t="array" ref="AK1064">_xlfn.IFS(Table1[[#This Row],[MonthlyIncome]]&lt;5000,"Low",Table1[[#This Row],[MonthlyIncome]]&lt;10000,"Medium",Table1[[#This Row],[MonthlyIncome]]&gt;10000,"High")</f>
        <v>High</v>
      </c>
      <c r="AL1064" t="str" cm="1">
        <f t="array" ref="AL1064">_xlfn.IFS(Table1[[#This Row],[Attrition]]="Yes","Resigned",Table1[[#This Row],[Attrition]]="No","Active")</f>
        <v>Active</v>
      </c>
      <c r="AM1064" t="str" cm="1">
        <f t="array" ref="AM1064">_xlfn.IFS(Table1[[#This Row],[YearsAtCompany]]&lt;=1,"0-1 Year",Table1[[#This Row],[YearsAtCompany]]&lt;=2,"1-2 Years",Table1[[#This Row],[YearsAtCompany]]&lt;=3,"2-3 Years",Table1[[#This Row],[YearsAtCompany]]&lt;=4,"3-4 Years",Table1[[#This Row],[YearsAtCompany]]&lt;=5,"4-5 Years",Table1[[#This Row],[YearsAtCompany]]&gt;5,"&gt;5 Years")</f>
        <v>1-2 Years</v>
      </c>
    </row>
    <row r="1065" spans="1:39" x14ac:dyDescent="0.45">
      <c r="A1065">
        <v>29</v>
      </c>
      <c r="B1065" t="s">
        <v>43</v>
      </c>
      <c r="C1065" t="s">
        <v>64</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_xlfn.IFS(Table1[[#This Row],[Age]]&lt;30,"Young",Table1[[#This Row],[Age]]&lt;=40,"Adult",Table1[[#This Row],[Age]]&gt;40,"Senior")</f>
        <v>Young</v>
      </c>
      <c r="AK1065" t="str" cm="1">
        <f t="array" ref="AK1065">_xlfn.IFS(Table1[[#This Row],[MonthlyIncome]]&lt;5000,"Low",Table1[[#This Row],[MonthlyIncome]]&lt;10000,"Medium",Table1[[#This Row],[MonthlyIncome]]&gt;10000,"High")</f>
        <v>Medium</v>
      </c>
      <c r="AL1065" t="str" cm="1">
        <f t="array" ref="AL1065">_xlfn.IFS(Table1[[#This Row],[Attrition]]="Yes","Resigned",Table1[[#This Row],[Attrition]]="No","Active")</f>
        <v>Active</v>
      </c>
      <c r="AM1065" t="str" cm="1">
        <f t="array" ref="AM1065">_xlfn.IFS(Table1[[#This Row],[YearsAtCompany]]&lt;=1,"0-1 Year",Table1[[#This Row],[YearsAtCompany]]&lt;=2,"1-2 Years",Table1[[#This Row],[YearsAtCompany]]&lt;=3,"2-3 Years",Table1[[#This Row],[YearsAtCompany]]&lt;=4,"3-4 Years",Table1[[#This Row],[YearsAtCompany]]&lt;=5,"4-5 Years",Table1[[#This Row],[YearsAtCompany]]&gt;5,"&gt;5 Years")</f>
        <v>&gt;5 Years</v>
      </c>
    </row>
    <row r="1066" spans="1:39" hidden="1" x14ac:dyDescent="0.45">
      <c r="A1066">
        <v>30</v>
      </c>
      <c r="B1066" t="s">
        <v>43</v>
      </c>
      <c r="C1066" t="s">
        <v>64</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_xlfn.IFS(Table1[[#This Row],[Age]]&lt;30,"Young",Table1[[#This Row],[Age]]&lt;=40,"Adult",Table1[[#This Row],[Age]]&gt;40,"Senior")</f>
        <v>Adult</v>
      </c>
      <c r="AK1066" t="str" cm="1">
        <f t="array" ref="AK1066">_xlfn.IFS(Table1[[#This Row],[MonthlyIncome]]&lt;5000,"Low",Table1[[#This Row],[MonthlyIncome]]&lt;10000,"Medium",Table1[[#This Row],[MonthlyIncome]]&gt;10000,"High")</f>
        <v>Low</v>
      </c>
      <c r="AL1066" t="str" cm="1">
        <f t="array" ref="AL1066">_xlfn.IFS(Table1[[#This Row],[Attrition]]="Yes","Resigned",Table1[[#This Row],[Attrition]]="No","Active")</f>
        <v>Active</v>
      </c>
      <c r="AM1066" t="str" cm="1">
        <f t="array" ref="AM1066">_xlfn.IFS(Table1[[#This Row],[YearsAtCompany]]&lt;=1,"0-1 Year",Table1[[#This Row],[YearsAtCompany]]&lt;=2,"1-2 Years",Table1[[#This Row],[YearsAtCompany]]&lt;=3,"2-3 Years",Table1[[#This Row],[YearsAtCompany]]&lt;=4,"3-4 Years",Table1[[#This Row],[YearsAtCompany]]&lt;=5,"4-5 Years",Table1[[#This Row],[YearsAtCompany]]&gt;5,"&gt;5 Years")</f>
        <v>4-5 Years</v>
      </c>
    </row>
    <row r="1067" spans="1:39" hidden="1" x14ac:dyDescent="0.45">
      <c r="A1067">
        <v>55</v>
      </c>
      <c r="B1067" t="s">
        <v>43</v>
      </c>
      <c r="C1067" t="s">
        <v>64</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_xlfn.IFS(Table1[[#This Row],[Age]]&lt;30,"Young",Table1[[#This Row],[Age]]&lt;=40,"Adult",Table1[[#This Row],[Age]]&gt;40,"Senior")</f>
        <v>Senior</v>
      </c>
      <c r="AK1067" t="str" cm="1">
        <f t="array" ref="AK1067">_xlfn.IFS(Table1[[#This Row],[MonthlyIncome]]&lt;5000,"Low",Table1[[#This Row],[MonthlyIncome]]&lt;10000,"Medium",Table1[[#This Row],[MonthlyIncome]]&gt;10000,"High")</f>
        <v>Low</v>
      </c>
      <c r="AL1067" t="str" cm="1">
        <f t="array" ref="AL1067">_xlfn.IFS(Table1[[#This Row],[Attrition]]="Yes","Resigned",Table1[[#This Row],[Attrition]]="No","Active")</f>
        <v>Active</v>
      </c>
      <c r="AM1067" t="str" cm="1">
        <f t="array" ref="AM1067">_xlfn.IFS(Table1[[#This Row],[YearsAtCompany]]&lt;=1,"0-1 Year",Table1[[#This Row],[YearsAtCompany]]&lt;=2,"1-2 Years",Table1[[#This Row],[YearsAtCompany]]&lt;=3,"2-3 Years",Table1[[#This Row],[YearsAtCompany]]&lt;=4,"3-4 Years",Table1[[#This Row],[YearsAtCompany]]&lt;=5,"4-5 Years",Table1[[#This Row],[YearsAtCompany]]&gt;5,"&gt;5 Years")</f>
        <v>2-3 Years</v>
      </c>
    </row>
    <row r="1068" spans="1:39" hidden="1" x14ac:dyDescent="0.45">
      <c r="A1068">
        <v>33</v>
      </c>
      <c r="B1068" t="s">
        <v>43</v>
      </c>
      <c r="C1068" t="s">
        <v>64</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_xlfn.IFS(Table1[[#This Row],[Age]]&lt;30,"Young",Table1[[#This Row],[Age]]&lt;=40,"Adult",Table1[[#This Row],[Age]]&gt;40,"Senior")</f>
        <v>Adult</v>
      </c>
      <c r="AK1068" t="str" cm="1">
        <f t="array" ref="AK1068">_xlfn.IFS(Table1[[#This Row],[MonthlyIncome]]&lt;5000,"Low",Table1[[#This Row],[MonthlyIncome]]&lt;10000,"Medium",Table1[[#This Row],[MonthlyIncome]]&gt;10000,"High")</f>
        <v>Low</v>
      </c>
      <c r="AL1068" t="str" cm="1">
        <f t="array" ref="AL1068">_xlfn.IFS(Table1[[#This Row],[Attrition]]="Yes","Resigned",Table1[[#This Row],[Attrition]]="No","Active")</f>
        <v>Active</v>
      </c>
      <c r="AM1068" t="str" cm="1">
        <f t="array" ref="AM1068">_xlfn.IFS(Table1[[#This Row],[YearsAtCompany]]&lt;=1,"0-1 Year",Table1[[#This Row],[YearsAtCompany]]&lt;=2,"1-2 Years",Table1[[#This Row],[YearsAtCompany]]&lt;=3,"2-3 Years",Table1[[#This Row],[YearsAtCompany]]&lt;=4,"3-4 Years",Table1[[#This Row],[YearsAtCompany]]&lt;=5,"4-5 Years",Table1[[#This Row],[YearsAtCompany]]&gt;5,"&gt;5 Years")</f>
        <v>4-5 Years</v>
      </c>
    </row>
    <row r="1069" spans="1:39" x14ac:dyDescent="0.45">
      <c r="A1069">
        <v>47</v>
      </c>
      <c r="B1069" t="s">
        <v>43</v>
      </c>
      <c r="C1069" t="s">
        <v>64</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_xlfn.IFS(Table1[[#This Row],[Age]]&lt;30,"Young",Table1[[#This Row],[Age]]&lt;=40,"Adult",Table1[[#This Row],[Age]]&gt;40,"Senior")</f>
        <v>Senior</v>
      </c>
      <c r="AK1069" t="str" cm="1">
        <f t="array" ref="AK1069">_xlfn.IFS(Table1[[#This Row],[MonthlyIncome]]&lt;5000,"Low",Table1[[#This Row],[MonthlyIncome]]&lt;10000,"Medium",Table1[[#This Row],[MonthlyIncome]]&gt;10000,"High")</f>
        <v>Low</v>
      </c>
      <c r="AL1069" t="str" cm="1">
        <f t="array" ref="AL1069">_xlfn.IFS(Table1[[#This Row],[Attrition]]="Yes","Resigned",Table1[[#This Row],[Attrition]]="No","Active")</f>
        <v>Active</v>
      </c>
      <c r="AM1069" t="str" cm="1">
        <f t="array" ref="AM1069">_xlfn.IFS(Table1[[#This Row],[YearsAtCompany]]&lt;=1,"0-1 Year",Table1[[#This Row],[YearsAtCompany]]&lt;=2,"1-2 Years",Table1[[#This Row],[YearsAtCompany]]&lt;=3,"2-3 Years",Table1[[#This Row],[YearsAtCompany]]&lt;=4,"3-4 Years",Table1[[#This Row],[YearsAtCompany]]&lt;=5,"4-5 Years",Table1[[#This Row],[YearsAtCompany]]&gt;5,"&gt;5 Years")</f>
        <v>4-5 Years</v>
      </c>
    </row>
    <row r="1070" spans="1:39" hidden="1" x14ac:dyDescent="0.45">
      <c r="A1070">
        <v>28</v>
      </c>
      <c r="B1070" t="s">
        <v>35</v>
      </c>
      <c r="C1070" t="s">
        <v>63</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_xlfn.IFS(Table1[[#This Row],[Age]]&lt;30,"Young",Table1[[#This Row],[Age]]&lt;=40,"Adult",Table1[[#This Row],[Age]]&gt;40,"Senior")</f>
        <v>Young</v>
      </c>
      <c r="AK1070" t="str" cm="1">
        <f t="array" ref="AK1070">_xlfn.IFS(Table1[[#This Row],[MonthlyIncome]]&lt;5000,"Low",Table1[[#This Row],[MonthlyIncome]]&lt;10000,"Medium",Table1[[#This Row],[MonthlyIncome]]&gt;10000,"High")</f>
        <v>Low</v>
      </c>
      <c r="AL1070" t="str" cm="1">
        <f t="array" ref="AL1070">_xlfn.IFS(Table1[[#This Row],[Attrition]]="Yes","Resigned",Table1[[#This Row],[Attrition]]="No","Active")</f>
        <v>Resigned</v>
      </c>
      <c r="AM1070" t="str" cm="1">
        <f t="array" ref="AM1070">_xlfn.IFS(Table1[[#This Row],[YearsAtCompany]]&lt;=1,"0-1 Year",Table1[[#This Row],[YearsAtCompany]]&lt;=2,"1-2 Years",Table1[[#This Row],[YearsAtCompany]]&lt;=3,"2-3 Years",Table1[[#This Row],[YearsAtCompany]]&lt;=4,"3-4 Years",Table1[[#This Row],[YearsAtCompany]]&lt;=5,"4-5 Years",Table1[[#This Row],[YearsAtCompany]]&gt;5,"&gt;5 Years")</f>
        <v>0-1 Year</v>
      </c>
    </row>
    <row r="1071" spans="1:39" hidden="1" x14ac:dyDescent="0.45">
      <c r="A1071">
        <v>28</v>
      </c>
      <c r="B1071" t="s">
        <v>43</v>
      </c>
      <c r="C1071" t="s">
        <v>64</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_xlfn.IFS(Table1[[#This Row],[Age]]&lt;30,"Young",Table1[[#This Row],[Age]]&lt;=40,"Adult",Table1[[#This Row],[Age]]&gt;40,"Senior")</f>
        <v>Young</v>
      </c>
      <c r="AK1071" t="str" cm="1">
        <f t="array" ref="AK1071">_xlfn.IFS(Table1[[#This Row],[MonthlyIncome]]&lt;5000,"Low",Table1[[#This Row],[MonthlyIncome]]&lt;10000,"Medium",Table1[[#This Row],[MonthlyIncome]]&gt;10000,"High")</f>
        <v>Low</v>
      </c>
      <c r="AL1071" t="str" cm="1">
        <f t="array" ref="AL1071">_xlfn.IFS(Table1[[#This Row],[Attrition]]="Yes","Resigned",Table1[[#This Row],[Attrition]]="No","Active")</f>
        <v>Active</v>
      </c>
      <c r="AM1071" t="str" cm="1">
        <f t="array" ref="AM1071">_xlfn.IFS(Table1[[#This Row],[YearsAtCompany]]&lt;=1,"0-1 Year",Table1[[#This Row],[YearsAtCompany]]&lt;=2,"1-2 Years",Table1[[#This Row],[YearsAtCompany]]&lt;=3,"2-3 Years",Table1[[#This Row],[YearsAtCompany]]&lt;=4,"3-4 Years",Table1[[#This Row],[YearsAtCompany]]&lt;=5,"4-5 Years",Table1[[#This Row],[YearsAtCompany]]&gt;5,"&gt;5 Years")</f>
        <v>0-1 Year</v>
      </c>
    </row>
    <row r="1072" spans="1:39" x14ac:dyDescent="0.45">
      <c r="A1072">
        <v>28</v>
      </c>
      <c r="B1072" t="s">
        <v>43</v>
      </c>
      <c r="C1072" t="s">
        <v>63</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_xlfn.IFS(Table1[[#This Row],[Age]]&lt;30,"Young",Table1[[#This Row],[Age]]&lt;=40,"Adult",Table1[[#This Row],[Age]]&gt;40,"Senior")</f>
        <v>Young</v>
      </c>
      <c r="AK1072" t="str" cm="1">
        <f t="array" ref="AK1072">_xlfn.IFS(Table1[[#This Row],[MonthlyIncome]]&lt;5000,"Low",Table1[[#This Row],[MonthlyIncome]]&lt;10000,"Medium",Table1[[#This Row],[MonthlyIncome]]&gt;10000,"High")</f>
        <v>Low</v>
      </c>
      <c r="AL1072" t="str" cm="1">
        <f t="array" ref="AL1072">_xlfn.IFS(Table1[[#This Row],[Attrition]]="Yes","Resigned",Table1[[#This Row],[Attrition]]="No","Active")</f>
        <v>Active</v>
      </c>
      <c r="AM1072" t="str" cm="1">
        <f t="array" ref="AM1072">_xlfn.IFS(Table1[[#This Row],[YearsAtCompany]]&lt;=1,"0-1 Year",Table1[[#This Row],[YearsAtCompany]]&lt;=2,"1-2 Years",Table1[[#This Row],[YearsAtCompany]]&lt;=3,"2-3 Years",Table1[[#This Row],[YearsAtCompany]]&lt;=4,"3-4 Years",Table1[[#This Row],[YearsAtCompany]]&lt;=5,"4-5 Years",Table1[[#This Row],[YearsAtCompany]]&gt;5,"&gt;5 Years")</f>
        <v>3-4 Years</v>
      </c>
    </row>
    <row r="1073" spans="1:39" hidden="1" x14ac:dyDescent="0.45">
      <c r="A1073">
        <v>49</v>
      </c>
      <c r="B1073" t="s">
        <v>43</v>
      </c>
      <c r="C1073" t="s">
        <v>64</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_xlfn.IFS(Table1[[#This Row],[Age]]&lt;30,"Young",Table1[[#This Row],[Age]]&lt;=40,"Adult",Table1[[#This Row],[Age]]&gt;40,"Senior")</f>
        <v>Senior</v>
      </c>
      <c r="AK1073" t="str" cm="1">
        <f t="array" ref="AK1073">_xlfn.IFS(Table1[[#This Row],[MonthlyIncome]]&lt;5000,"Low",Table1[[#This Row],[MonthlyIncome]]&lt;10000,"Medium",Table1[[#This Row],[MonthlyIncome]]&gt;10000,"High")</f>
        <v>Low</v>
      </c>
      <c r="AL1073" t="str" cm="1">
        <f t="array" ref="AL1073">_xlfn.IFS(Table1[[#This Row],[Attrition]]="Yes","Resigned",Table1[[#This Row],[Attrition]]="No","Active")</f>
        <v>Active</v>
      </c>
      <c r="AM1073" t="str" cm="1">
        <f t="array" ref="AM1073">_xlfn.IFS(Table1[[#This Row],[YearsAtCompany]]&lt;=1,"0-1 Year",Table1[[#This Row],[YearsAtCompany]]&lt;=2,"1-2 Years",Table1[[#This Row],[YearsAtCompany]]&lt;=3,"2-3 Years",Table1[[#This Row],[YearsAtCompany]]&lt;=4,"3-4 Years",Table1[[#This Row],[YearsAtCompany]]&lt;=5,"4-5 Years",Table1[[#This Row],[YearsAtCompany]]&gt;5,"&gt;5 Years")</f>
        <v>2-3 Years</v>
      </c>
    </row>
    <row r="1074" spans="1:39" hidden="1" x14ac:dyDescent="0.45">
      <c r="A1074">
        <v>29</v>
      </c>
      <c r="B1074" t="s">
        <v>43</v>
      </c>
      <c r="C1074" t="s">
        <v>63</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_xlfn.IFS(Table1[[#This Row],[Age]]&lt;30,"Young",Table1[[#This Row],[Age]]&lt;=40,"Adult",Table1[[#This Row],[Age]]&gt;40,"Senior")</f>
        <v>Young</v>
      </c>
      <c r="AK1074" t="str" cm="1">
        <f t="array" ref="AK1074">_xlfn.IFS(Table1[[#This Row],[MonthlyIncome]]&lt;5000,"Low",Table1[[#This Row],[MonthlyIncome]]&lt;10000,"Medium",Table1[[#This Row],[MonthlyIncome]]&gt;10000,"High")</f>
        <v>Low</v>
      </c>
      <c r="AL1074" t="str" cm="1">
        <f t="array" ref="AL1074">_xlfn.IFS(Table1[[#This Row],[Attrition]]="Yes","Resigned",Table1[[#This Row],[Attrition]]="No","Active")</f>
        <v>Active</v>
      </c>
      <c r="AM1074" t="str" cm="1">
        <f t="array" ref="AM1074">_xlfn.IFS(Table1[[#This Row],[YearsAtCompany]]&lt;=1,"0-1 Year",Table1[[#This Row],[YearsAtCompany]]&lt;=2,"1-2 Years",Table1[[#This Row],[YearsAtCompany]]&lt;=3,"2-3 Years",Table1[[#This Row],[YearsAtCompany]]&lt;=4,"3-4 Years",Table1[[#This Row],[YearsAtCompany]]&lt;=5,"4-5 Years",Table1[[#This Row],[YearsAtCompany]]&gt;5,"&gt;5 Years")</f>
        <v>2-3 Years</v>
      </c>
    </row>
    <row r="1075" spans="1:39" hidden="1" x14ac:dyDescent="0.45">
      <c r="A1075">
        <v>28</v>
      </c>
      <c r="B1075" t="s">
        <v>43</v>
      </c>
      <c r="C1075" t="s">
        <v>64</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_xlfn.IFS(Table1[[#This Row],[Age]]&lt;30,"Young",Table1[[#This Row],[Age]]&lt;=40,"Adult",Table1[[#This Row],[Age]]&gt;40,"Senior")</f>
        <v>Young</v>
      </c>
      <c r="AK1075" t="str" cm="1">
        <f t="array" ref="AK1075">_xlfn.IFS(Table1[[#This Row],[MonthlyIncome]]&lt;5000,"Low",Table1[[#This Row],[MonthlyIncome]]&lt;10000,"Medium",Table1[[#This Row],[MonthlyIncome]]&gt;10000,"High")</f>
        <v>Medium</v>
      </c>
      <c r="AL1075" t="str" cm="1">
        <f t="array" ref="AL1075">_xlfn.IFS(Table1[[#This Row],[Attrition]]="Yes","Resigned",Table1[[#This Row],[Attrition]]="No","Active")</f>
        <v>Active</v>
      </c>
      <c r="AM1075" t="str" cm="1">
        <f t="array" ref="AM1075">_xlfn.IFS(Table1[[#This Row],[YearsAtCompany]]&lt;=1,"0-1 Year",Table1[[#This Row],[YearsAtCompany]]&lt;=2,"1-2 Years",Table1[[#This Row],[YearsAtCompany]]&lt;=3,"2-3 Years",Table1[[#This Row],[YearsAtCompany]]&lt;=4,"3-4 Years",Table1[[#This Row],[YearsAtCompany]]&lt;=5,"4-5 Years",Table1[[#This Row],[YearsAtCompany]]&gt;5,"&gt;5 Years")</f>
        <v>&gt;5 Years</v>
      </c>
    </row>
    <row r="1076" spans="1:39" hidden="1" x14ac:dyDescent="0.45">
      <c r="A1076">
        <v>33</v>
      </c>
      <c r="B1076" t="s">
        <v>43</v>
      </c>
      <c r="C1076" t="s">
        <v>64</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_xlfn.IFS(Table1[[#This Row],[Age]]&lt;30,"Young",Table1[[#This Row],[Age]]&lt;=40,"Adult",Table1[[#This Row],[Age]]&gt;40,"Senior")</f>
        <v>Adult</v>
      </c>
      <c r="AK1076" t="str" cm="1">
        <f t="array" ref="AK1076">_xlfn.IFS(Table1[[#This Row],[MonthlyIncome]]&lt;5000,"Low",Table1[[#This Row],[MonthlyIncome]]&lt;10000,"Medium",Table1[[#This Row],[MonthlyIncome]]&gt;10000,"High")</f>
        <v>Medium</v>
      </c>
      <c r="AL1076" t="str" cm="1">
        <f t="array" ref="AL1076">_xlfn.IFS(Table1[[#This Row],[Attrition]]="Yes","Resigned",Table1[[#This Row],[Attrition]]="No","Active")</f>
        <v>Active</v>
      </c>
      <c r="AM1076" t="str" cm="1">
        <f t="array" ref="AM1076">_xlfn.IFS(Table1[[#This Row],[YearsAtCompany]]&lt;=1,"0-1 Year",Table1[[#This Row],[YearsAtCompany]]&lt;=2,"1-2 Years",Table1[[#This Row],[YearsAtCompany]]&lt;=3,"2-3 Years",Table1[[#This Row],[YearsAtCompany]]&lt;=4,"3-4 Years",Table1[[#This Row],[YearsAtCompany]]&lt;=5,"4-5 Years",Table1[[#This Row],[YearsAtCompany]]&gt;5,"&gt;5 Years")</f>
        <v>0-1 Year</v>
      </c>
    </row>
    <row r="1077" spans="1:39" hidden="1" x14ac:dyDescent="0.45">
      <c r="A1077">
        <v>32</v>
      </c>
      <c r="B1077" t="s">
        <v>43</v>
      </c>
      <c r="C1077" t="s">
        <v>64</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_xlfn.IFS(Table1[[#This Row],[Age]]&lt;30,"Young",Table1[[#This Row],[Age]]&lt;=40,"Adult",Table1[[#This Row],[Age]]&gt;40,"Senior")</f>
        <v>Adult</v>
      </c>
      <c r="AK1077" t="str" cm="1">
        <f t="array" ref="AK1077">_xlfn.IFS(Table1[[#This Row],[MonthlyIncome]]&lt;5000,"Low",Table1[[#This Row],[MonthlyIncome]]&lt;10000,"Medium",Table1[[#This Row],[MonthlyIncome]]&gt;10000,"High")</f>
        <v>High</v>
      </c>
      <c r="AL1077" t="str" cm="1">
        <f t="array" ref="AL1077">_xlfn.IFS(Table1[[#This Row],[Attrition]]="Yes","Resigned",Table1[[#This Row],[Attrition]]="No","Active")</f>
        <v>Active</v>
      </c>
      <c r="AM1077" t="str" cm="1">
        <f t="array" ref="AM1077">_xlfn.IFS(Table1[[#This Row],[YearsAtCompany]]&lt;=1,"0-1 Year",Table1[[#This Row],[YearsAtCompany]]&lt;=2,"1-2 Years",Table1[[#This Row],[YearsAtCompany]]&lt;=3,"2-3 Years",Table1[[#This Row],[YearsAtCompany]]&lt;=4,"3-4 Years",Table1[[#This Row],[YearsAtCompany]]&lt;=5,"4-5 Years",Table1[[#This Row],[YearsAtCompany]]&gt;5,"&gt;5 Years")</f>
        <v>4-5 Years</v>
      </c>
    </row>
    <row r="1078" spans="1:39" hidden="1" x14ac:dyDescent="0.45">
      <c r="A1078">
        <v>54</v>
      </c>
      <c r="B1078" t="s">
        <v>43</v>
      </c>
      <c r="C1078" t="s">
        <v>63</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_xlfn.IFS(Table1[[#This Row],[Age]]&lt;30,"Young",Table1[[#This Row],[Age]]&lt;=40,"Adult",Table1[[#This Row],[Age]]&gt;40,"Senior")</f>
        <v>Senior</v>
      </c>
      <c r="AK1078" t="str" cm="1">
        <f t="array" ref="AK1078">_xlfn.IFS(Table1[[#This Row],[MonthlyIncome]]&lt;5000,"Low",Table1[[#This Row],[MonthlyIncome]]&lt;10000,"Medium",Table1[[#This Row],[MonthlyIncome]]&gt;10000,"High")</f>
        <v>High</v>
      </c>
      <c r="AL1078" t="str" cm="1">
        <f t="array" ref="AL1078">_xlfn.IFS(Table1[[#This Row],[Attrition]]="Yes","Resigned",Table1[[#This Row],[Attrition]]="No","Active")</f>
        <v>Active</v>
      </c>
      <c r="AM1078" t="str" cm="1">
        <f t="array" ref="AM1078">_xlfn.IFS(Table1[[#This Row],[YearsAtCompany]]&lt;=1,"0-1 Year",Table1[[#This Row],[YearsAtCompany]]&lt;=2,"1-2 Years",Table1[[#This Row],[YearsAtCompany]]&lt;=3,"2-3 Years",Table1[[#This Row],[YearsAtCompany]]&lt;=4,"3-4 Years",Table1[[#This Row],[YearsAtCompany]]&lt;=5,"4-5 Years",Table1[[#This Row],[YearsAtCompany]]&gt;5,"&gt;5 Years")</f>
        <v>&gt;5 Years</v>
      </c>
    </row>
    <row r="1079" spans="1:39" hidden="1" x14ac:dyDescent="0.45">
      <c r="A1079">
        <v>29</v>
      </c>
      <c r="B1079" t="s">
        <v>35</v>
      </c>
      <c r="C1079" t="s">
        <v>64</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_xlfn.IFS(Table1[[#This Row],[Age]]&lt;30,"Young",Table1[[#This Row],[Age]]&lt;=40,"Adult",Table1[[#This Row],[Age]]&gt;40,"Senior")</f>
        <v>Young</v>
      </c>
      <c r="AK1079" t="str" cm="1">
        <f t="array" ref="AK1079">_xlfn.IFS(Table1[[#This Row],[MonthlyIncome]]&lt;5000,"Low",Table1[[#This Row],[MonthlyIncome]]&lt;10000,"Medium",Table1[[#This Row],[MonthlyIncome]]&gt;10000,"High")</f>
        <v>Low</v>
      </c>
      <c r="AL1079" t="str" cm="1">
        <f t="array" ref="AL1079">_xlfn.IFS(Table1[[#This Row],[Attrition]]="Yes","Resigned",Table1[[#This Row],[Attrition]]="No","Active")</f>
        <v>Resigned</v>
      </c>
      <c r="AM1079" t="str" cm="1">
        <f t="array" ref="AM1079">_xlfn.IFS(Table1[[#This Row],[YearsAtCompany]]&lt;=1,"0-1 Year",Table1[[#This Row],[YearsAtCompany]]&lt;=2,"1-2 Years",Table1[[#This Row],[YearsAtCompany]]&lt;=3,"2-3 Years",Table1[[#This Row],[YearsAtCompany]]&lt;=4,"3-4 Years",Table1[[#This Row],[YearsAtCompany]]&lt;=5,"4-5 Years",Table1[[#This Row],[YearsAtCompany]]&gt;5,"&gt;5 Years")</f>
        <v>&gt;5 Years</v>
      </c>
    </row>
    <row r="1080" spans="1:39" hidden="1" x14ac:dyDescent="0.45">
      <c r="A1080">
        <v>44</v>
      </c>
      <c r="B1080" t="s">
        <v>43</v>
      </c>
      <c r="C1080" t="s">
        <v>64</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_xlfn.IFS(Table1[[#This Row],[Age]]&lt;30,"Young",Table1[[#This Row],[Age]]&lt;=40,"Adult",Table1[[#This Row],[Age]]&gt;40,"Senior")</f>
        <v>Senior</v>
      </c>
      <c r="AK1080" t="str" cm="1">
        <f t="array" ref="AK1080">_xlfn.IFS(Table1[[#This Row],[MonthlyIncome]]&lt;5000,"Low",Table1[[#This Row],[MonthlyIncome]]&lt;10000,"Medium",Table1[[#This Row],[MonthlyIncome]]&gt;10000,"High")</f>
        <v>High</v>
      </c>
      <c r="AL1080" t="str" cm="1">
        <f t="array" ref="AL1080">_xlfn.IFS(Table1[[#This Row],[Attrition]]="Yes","Resigned",Table1[[#This Row],[Attrition]]="No","Active")</f>
        <v>Active</v>
      </c>
      <c r="AM1080" t="str" cm="1">
        <f t="array" ref="AM1080">_xlfn.IFS(Table1[[#This Row],[YearsAtCompany]]&lt;=1,"0-1 Year",Table1[[#This Row],[YearsAtCompany]]&lt;=2,"1-2 Years",Table1[[#This Row],[YearsAtCompany]]&lt;=3,"2-3 Years",Table1[[#This Row],[YearsAtCompany]]&lt;=4,"3-4 Years",Table1[[#This Row],[YearsAtCompany]]&lt;=5,"4-5 Years",Table1[[#This Row],[YearsAtCompany]]&gt;5,"&gt;5 Years")</f>
        <v>&gt;5 Years</v>
      </c>
    </row>
    <row r="1081" spans="1:39" hidden="1" x14ac:dyDescent="0.45">
      <c r="A1081">
        <v>39</v>
      </c>
      <c r="B1081" t="s">
        <v>43</v>
      </c>
      <c r="C1081" t="s">
        <v>64</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_xlfn.IFS(Table1[[#This Row],[Age]]&lt;30,"Young",Table1[[#This Row],[Age]]&lt;=40,"Adult",Table1[[#This Row],[Age]]&gt;40,"Senior")</f>
        <v>Adult</v>
      </c>
      <c r="AK1081" t="str" cm="1">
        <f t="array" ref="AK1081">_xlfn.IFS(Table1[[#This Row],[MonthlyIncome]]&lt;5000,"Low",Table1[[#This Row],[MonthlyIncome]]&lt;10000,"Medium",Table1[[#This Row],[MonthlyIncome]]&gt;10000,"High")</f>
        <v>Medium</v>
      </c>
      <c r="AL1081" t="str" cm="1">
        <f t="array" ref="AL1081">_xlfn.IFS(Table1[[#This Row],[Attrition]]="Yes","Resigned",Table1[[#This Row],[Attrition]]="No","Active")</f>
        <v>Active</v>
      </c>
      <c r="AM1081" t="str" cm="1">
        <f t="array" ref="AM1081">_xlfn.IFS(Table1[[#This Row],[YearsAtCompany]]&lt;=1,"0-1 Year",Table1[[#This Row],[YearsAtCompany]]&lt;=2,"1-2 Years",Table1[[#This Row],[YearsAtCompany]]&lt;=3,"2-3 Years",Table1[[#This Row],[YearsAtCompany]]&lt;=4,"3-4 Years",Table1[[#This Row],[YearsAtCompany]]&lt;=5,"4-5 Years",Table1[[#This Row],[YearsAtCompany]]&gt;5,"&gt;5 Years")</f>
        <v>1-2 Years</v>
      </c>
    </row>
    <row r="1082" spans="1:39" x14ac:dyDescent="0.45">
      <c r="A1082">
        <v>46</v>
      </c>
      <c r="B1082" t="s">
        <v>43</v>
      </c>
      <c r="C1082" t="s">
        <v>64</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_xlfn.IFS(Table1[[#This Row],[Age]]&lt;30,"Young",Table1[[#This Row],[Age]]&lt;=40,"Adult",Table1[[#This Row],[Age]]&gt;40,"Senior")</f>
        <v>Senior</v>
      </c>
      <c r="AK1082" t="str" cm="1">
        <f t="array" ref="AK1082">_xlfn.IFS(Table1[[#This Row],[MonthlyIncome]]&lt;5000,"Low",Table1[[#This Row],[MonthlyIncome]]&lt;10000,"Medium",Table1[[#This Row],[MonthlyIncome]]&gt;10000,"High")</f>
        <v>High</v>
      </c>
      <c r="AL1082" t="str" cm="1">
        <f t="array" ref="AL1082">_xlfn.IFS(Table1[[#This Row],[Attrition]]="Yes","Resigned",Table1[[#This Row],[Attrition]]="No","Active")</f>
        <v>Active</v>
      </c>
      <c r="AM1082" t="str" cm="1">
        <f t="array" ref="AM1082">_xlfn.IFS(Table1[[#This Row],[YearsAtCompany]]&lt;=1,"0-1 Year",Table1[[#This Row],[YearsAtCompany]]&lt;=2,"1-2 Years",Table1[[#This Row],[YearsAtCompany]]&lt;=3,"2-3 Years",Table1[[#This Row],[YearsAtCompany]]&lt;=4,"3-4 Years",Table1[[#This Row],[YearsAtCompany]]&lt;=5,"4-5 Years",Table1[[#This Row],[YearsAtCompany]]&gt;5,"&gt;5 Years")</f>
        <v>&gt;5 Years</v>
      </c>
    </row>
    <row r="1083" spans="1:39" hidden="1" x14ac:dyDescent="0.45">
      <c r="A1083">
        <v>35</v>
      </c>
      <c r="B1083" t="s">
        <v>43</v>
      </c>
      <c r="C1083" t="s">
        <v>64</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_xlfn.IFS(Table1[[#This Row],[Age]]&lt;30,"Young",Table1[[#This Row],[Age]]&lt;=40,"Adult",Table1[[#This Row],[Age]]&gt;40,"Senior")</f>
        <v>Adult</v>
      </c>
      <c r="AK1083" t="str" cm="1">
        <f t="array" ref="AK1083">_xlfn.IFS(Table1[[#This Row],[MonthlyIncome]]&lt;5000,"Low",Table1[[#This Row],[MonthlyIncome]]&lt;10000,"Medium",Table1[[#This Row],[MonthlyIncome]]&gt;10000,"High")</f>
        <v>Medium</v>
      </c>
      <c r="AL1083" t="str" cm="1">
        <f t="array" ref="AL1083">_xlfn.IFS(Table1[[#This Row],[Attrition]]="Yes","Resigned",Table1[[#This Row],[Attrition]]="No","Active")</f>
        <v>Active</v>
      </c>
      <c r="AM1083" t="str" cm="1">
        <f t="array" ref="AM1083">_xlfn.IFS(Table1[[#This Row],[YearsAtCompany]]&lt;=1,"0-1 Year",Table1[[#This Row],[YearsAtCompany]]&lt;=2,"1-2 Years",Table1[[#This Row],[YearsAtCompany]]&lt;=3,"2-3 Years",Table1[[#This Row],[YearsAtCompany]]&lt;=4,"3-4 Years",Table1[[#This Row],[YearsAtCompany]]&lt;=5,"4-5 Years",Table1[[#This Row],[YearsAtCompany]]&gt;5,"&gt;5 Years")</f>
        <v>&gt;5 Years</v>
      </c>
    </row>
    <row r="1084" spans="1:39" hidden="1" x14ac:dyDescent="0.45">
      <c r="A1084">
        <v>23</v>
      </c>
      <c r="B1084" t="s">
        <v>43</v>
      </c>
      <c r="C1084" t="s">
        <v>64</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_xlfn.IFS(Table1[[#This Row],[Age]]&lt;30,"Young",Table1[[#This Row],[Age]]&lt;=40,"Adult",Table1[[#This Row],[Age]]&gt;40,"Senior")</f>
        <v>Young</v>
      </c>
      <c r="AK1084" t="str" cm="1">
        <f t="array" ref="AK1084">_xlfn.IFS(Table1[[#This Row],[MonthlyIncome]]&lt;5000,"Low",Table1[[#This Row],[MonthlyIncome]]&lt;10000,"Medium",Table1[[#This Row],[MonthlyIncome]]&gt;10000,"High")</f>
        <v>Low</v>
      </c>
      <c r="AL1084" t="str" cm="1">
        <f t="array" ref="AL1084">_xlfn.IFS(Table1[[#This Row],[Attrition]]="Yes","Resigned",Table1[[#This Row],[Attrition]]="No","Active")</f>
        <v>Active</v>
      </c>
      <c r="AM1084" t="str" cm="1">
        <f t="array" ref="AM1084">_xlfn.IFS(Table1[[#This Row],[YearsAtCompany]]&lt;=1,"0-1 Year",Table1[[#This Row],[YearsAtCompany]]&lt;=2,"1-2 Years",Table1[[#This Row],[YearsAtCompany]]&lt;=3,"2-3 Years",Table1[[#This Row],[YearsAtCompany]]&lt;=4,"3-4 Years",Table1[[#This Row],[YearsAtCompany]]&lt;=5,"4-5 Years",Table1[[#This Row],[YearsAtCompany]]&gt;5,"&gt;5 Years")</f>
        <v>3-4 Years</v>
      </c>
    </row>
    <row r="1085" spans="1:39" hidden="1" x14ac:dyDescent="0.45">
      <c r="A1085">
        <v>40</v>
      </c>
      <c r="B1085" t="s">
        <v>35</v>
      </c>
      <c r="C1085" t="s">
        <v>64</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_xlfn.IFS(Table1[[#This Row],[Age]]&lt;30,"Young",Table1[[#This Row],[Age]]&lt;=40,"Adult",Table1[[#This Row],[Age]]&gt;40,"Senior")</f>
        <v>Adult</v>
      </c>
      <c r="AK1085" t="str" cm="1">
        <f t="array" ref="AK1085">_xlfn.IFS(Table1[[#This Row],[MonthlyIncome]]&lt;5000,"Low",Table1[[#This Row],[MonthlyIncome]]&lt;10000,"Medium",Table1[[#This Row],[MonthlyIncome]]&gt;10000,"High")</f>
        <v>Low</v>
      </c>
      <c r="AL1085" t="str" cm="1">
        <f t="array" ref="AL1085">_xlfn.IFS(Table1[[#This Row],[Attrition]]="Yes","Resigned",Table1[[#This Row],[Attrition]]="No","Active")</f>
        <v>Resigned</v>
      </c>
      <c r="AM1085" t="str" cm="1">
        <f t="array" ref="AM1085">_xlfn.IFS(Table1[[#This Row],[YearsAtCompany]]&lt;=1,"0-1 Year",Table1[[#This Row],[YearsAtCompany]]&lt;=2,"1-2 Years",Table1[[#This Row],[YearsAtCompany]]&lt;=3,"2-3 Years",Table1[[#This Row],[YearsAtCompany]]&lt;=4,"3-4 Years",Table1[[#This Row],[YearsAtCompany]]&lt;=5,"4-5 Years",Table1[[#This Row],[YearsAtCompany]]&gt;5,"&gt;5 Years")</f>
        <v>4-5 Years</v>
      </c>
    </row>
    <row r="1086" spans="1:39" x14ac:dyDescent="0.45">
      <c r="A1086">
        <v>34</v>
      </c>
      <c r="B1086" t="s">
        <v>43</v>
      </c>
      <c r="C1086" t="s">
        <v>64</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_xlfn.IFS(Table1[[#This Row],[Age]]&lt;30,"Young",Table1[[#This Row],[Age]]&lt;=40,"Adult",Table1[[#This Row],[Age]]&gt;40,"Senior")</f>
        <v>Adult</v>
      </c>
      <c r="AK1086" t="str" cm="1">
        <f t="array" ref="AK1086">_xlfn.IFS(Table1[[#This Row],[MonthlyIncome]]&lt;5000,"Low",Table1[[#This Row],[MonthlyIncome]]&lt;10000,"Medium",Table1[[#This Row],[MonthlyIncome]]&gt;10000,"High")</f>
        <v>Medium</v>
      </c>
      <c r="AL1086" t="str" cm="1">
        <f t="array" ref="AL1086">_xlfn.IFS(Table1[[#This Row],[Attrition]]="Yes","Resigned",Table1[[#This Row],[Attrition]]="No","Active")</f>
        <v>Active</v>
      </c>
      <c r="AM1086" t="str" cm="1">
        <f t="array" ref="AM1086">_xlfn.IFS(Table1[[#This Row],[YearsAtCompany]]&lt;=1,"0-1 Year",Table1[[#This Row],[YearsAtCompany]]&lt;=2,"1-2 Years",Table1[[#This Row],[YearsAtCompany]]&lt;=3,"2-3 Years",Table1[[#This Row],[YearsAtCompany]]&lt;=4,"3-4 Years",Table1[[#This Row],[YearsAtCompany]]&lt;=5,"4-5 Years",Table1[[#This Row],[YearsAtCompany]]&gt;5,"&gt;5 Years")</f>
        <v>&gt;5 Years</v>
      </c>
    </row>
    <row r="1087" spans="1:39" hidden="1" x14ac:dyDescent="0.45">
      <c r="A1087">
        <v>31</v>
      </c>
      <c r="B1087" t="s">
        <v>35</v>
      </c>
      <c r="C1087" t="s">
        <v>63</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_xlfn.IFS(Table1[[#This Row],[Age]]&lt;30,"Young",Table1[[#This Row],[Age]]&lt;=40,"Adult",Table1[[#This Row],[Age]]&gt;40,"Senior")</f>
        <v>Adult</v>
      </c>
      <c r="AK1087" t="str" cm="1">
        <f t="array" ref="AK1087">_xlfn.IFS(Table1[[#This Row],[MonthlyIncome]]&lt;5000,"Low",Table1[[#This Row],[MonthlyIncome]]&lt;10000,"Medium",Table1[[#This Row],[MonthlyIncome]]&gt;10000,"High")</f>
        <v>Low</v>
      </c>
      <c r="AL1087" t="str" cm="1">
        <f t="array" ref="AL1087">_xlfn.IFS(Table1[[#This Row],[Attrition]]="Yes","Resigned",Table1[[#This Row],[Attrition]]="No","Active")</f>
        <v>Resigned</v>
      </c>
      <c r="AM1087" t="str" cm="1">
        <f t="array" ref="AM1087">_xlfn.IFS(Table1[[#This Row],[YearsAtCompany]]&lt;=1,"0-1 Year",Table1[[#This Row],[YearsAtCompany]]&lt;=2,"1-2 Years",Table1[[#This Row],[YearsAtCompany]]&lt;=3,"2-3 Years",Table1[[#This Row],[YearsAtCompany]]&lt;=4,"3-4 Years",Table1[[#This Row],[YearsAtCompany]]&lt;=5,"4-5 Years",Table1[[#This Row],[YearsAtCompany]]&gt;5,"&gt;5 Years")</f>
        <v>&gt;5 Years</v>
      </c>
    </row>
    <row r="1088" spans="1:39" hidden="1" x14ac:dyDescent="0.45">
      <c r="A1088">
        <v>50</v>
      </c>
      <c r="B1088" t="s">
        <v>43</v>
      </c>
      <c r="C1088" t="s">
        <v>63</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_xlfn.IFS(Table1[[#This Row],[Age]]&lt;30,"Young",Table1[[#This Row],[Age]]&lt;=40,"Adult",Table1[[#This Row],[Age]]&gt;40,"Senior")</f>
        <v>Senior</v>
      </c>
      <c r="AK1088" t="str" cm="1">
        <f t="array" ref="AK1088">_xlfn.IFS(Table1[[#This Row],[MonthlyIncome]]&lt;5000,"Low",Table1[[#This Row],[MonthlyIncome]]&lt;10000,"Medium",Table1[[#This Row],[MonthlyIncome]]&gt;10000,"High")</f>
        <v>High</v>
      </c>
      <c r="AL1088" t="str" cm="1">
        <f t="array" ref="AL1088">_xlfn.IFS(Table1[[#This Row],[Attrition]]="Yes","Resigned",Table1[[#This Row],[Attrition]]="No","Active")</f>
        <v>Active</v>
      </c>
      <c r="AM1088" t="str" cm="1">
        <f t="array" ref="AM1088">_xlfn.IFS(Table1[[#This Row],[YearsAtCompany]]&lt;=1,"0-1 Year",Table1[[#This Row],[YearsAtCompany]]&lt;=2,"1-2 Years",Table1[[#This Row],[YearsAtCompany]]&lt;=3,"2-3 Years",Table1[[#This Row],[YearsAtCompany]]&lt;=4,"3-4 Years",Table1[[#This Row],[YearsAtCompany]]&lt;=5,"4-5 Years",Table1[[#This Row],[YearsAtCompany]]&gt;5,"&gt;5 Years")</f>
        <v>&gt;5 Years</v>
      </c>
    </row>
    <row r="1089" spans="1:39" x14ac:dyDescent="0.45">
      <c r="A1089">
        <v>34</v>
      </c>
      <c r="B1089" t="s">
        <v>43</v>
      </c>
      <c r="C1089" t="s">
        <v>64</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_xlfn.IFS(Table1[[#This Row],[Age]]&lt;30,"Young",Table1[[#This Row],[Age]]&lt;=40,"Adult",Table1[[#This Row],[Age]]&gt;40,"Senior")</f>
        <v>Adult</v>
      </c>
      <c r="AK1089" t="str" cm="1">
        <f t="array" ref="AK1089">_xlfn.IFS(Table1[[#This Row],[MonthlyIncome]]&lt;5000,"Low",Table1[[#This Row],[MonthlyIncome]]&lt;10000,"Medium",Table1[[#This Row],[MonthlyIncome]]&gt;10000,"High")</f>
        <v>Low</v>
      </c>
      <c r="AL1089" t="str" cm="1">
        <f t="array" ref="AL1089">_xlfn.IFS(Table1[[#This Row],[Attrition]]="Yes","Resigned",Table1[[#This Row],[Attrition]]="No","Active")</f>
        <v>Active</v>
      </c>
      <c r="AM1089" t="str" cm="1">
        <f t="array" ref="AM1089">_xlfn.IFS(Table1[[#This Row],[YearsAtCompany]]&lt;=1,"0-1 Year",Table1[[#This Row],[YearsAtCompany]]&lt;=2,"1-2 Years",Table1[[#This Row],[YearsAtCompany]]&lt;=3,"2-3 Years",Table1[[#This Row],[YearsAtCompany]]&lt;=4,"3-4 Years",Table1[[#This Row],[YearsAtCompany]]&lt;=5,"4-5 Years",Table1[[#This Row],[YearsAtCompany]]&gt;5,"&gt;5 Years")</f>
        <v>&gt;5 Years</v>
      </c>
    </row>
    <row r="1090" spans="1:39" hidden="1" x14ac:dyDescent="0.45">
      <c r="A1090">
        <v>42</v>
      </c>
      <c r="B1090" t="s">
        <v>43</v>
      </c>
      <c r="C1090" t="s">
        <v>64</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_xlfn.IFS(Table1[[#This Row],[Age]]&lt;30,"Young",Table1[[#This Row],[Age]]&lt;=40,"Adult",Table1[[#This Row],[Age]]&gt;40,"Senior")</f>
        <v>Senior</v>
      </c>
      <c r="AK1090" t="str" cm="1">
        <f t="array" ref="AK1090">_xlfn.IFS(Table1[[#This Row],[MonthlyIncome]]&lt;5000,"Low",Table1[[#This Row],[MonthlyIncome]]&lt;10000,"Medium",Table1[[#This Row],[MonthlyIncome]]&gt;10000,"High")</f>
        <v>Low</v>
      </c>
      <c r="AL1090" t="str" cm="1">
        <f t="array" ref="AL1090">_xlfn.IFS(Table1[[#This Row],[Attrition]]="Yes","Resigned",Table1[[#This Row],[Attrition]]="No","Active")</f>
        <v>Active</v>
      </c>
      <c r="AM1090" t="str" cm="1">
        <f t="array" ref="AM1090">_xlfn.IFS(Table1[[#This Row],[YearsAtCompany]]&lt;=1,"0-1 Year",Table1[[#This Row],[YearsAtCompany]]&lt;=2,"1-2 Years",Table1[[#This Row],[YearsAtCompany]]&lt;=3,"2-3 Years",Table1[[#This Row],[YearsAtCompany]]&lt;=4,"3-4 Years",Table1[[#This Row],[YearsAtCompany]]&lt;=5,"4-5 Years",Table1[[#This Row],[YearsAtCompany]]&gt;5,"&gt;5 Years")</f>
        <v>0-1 Year</v>
      </c>
    </row>
    <row r="1091" spans="1:39" hidden="1" x14ac:dyDescent="0.45">
      <c r="A1091">
        <v>37</v>
      </c>
      <c r="B1091" t="s">
        <v>43</v>
      </c>
      <c r="C1091" t="s">
        <v>64</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_xlfn.IFS(Table1[[#This Row],[Age]]&lt;30,"Young",Table1[[#This Row],[Age]]&lt;=40,"Adult",Table1[[#This Row],[Age]]&gt;40,"Senior")</f>
        <v>Adult</v>
      </c>
      <c r="AK1091" t="str" cm="1">
        <f t="array" ref="AK1091">_xlfn.IFS(Table1[[#This Row],[MonthlyIncome]]&lt;5000,"Low",Table1[[#This Row],[MonthlyIncome]]&lt;10000,"Medium",Table1[[#This Row],[MonthlyIncome]]&gt;10000,"High")</f>
        <v>Low</v>
      </c>
      <c r="AL1091" t="str" cm="1">
        <f t="array" ref="AL1091">_xlfn.IFS(Table1[[#This Row],[Attrition]]="Yes","Resigned",Table1[[#This Row],[Attrition]]="No","Active")</f>
        <v>Active</v>
      </c>
      <c r="AM1091" t="str" cm="1">
        <f t="array" ref="AM1091">_xlfn.IFS(Table1[[#This Row],[YearsAtCompany]]&lt;=1,"0-1 Year",Table1[[#This Row],[YearsAtCompany]]&lt;=2,"1-2 Years",Table1[[#This Row],[YearsAtCompany]]&lt;=3,"2-3 Years",Table1[[#This Row],[YearsAtCompany]]&lt;=4,"3-4 Years",Table1[[#This Row],[YearsAtCompany]]&lt;=5,"4-5 Years",Table1[[#This Row],[YearsAtCompany]]&gt;5,"&gt;5 Years")</f>
        <v>&gt;5 Years</v>
      </c>
    </row>
    <row r="1092" spans="1:39" hidden="1" x14ac:dyDescent="0.45">
      <c r="A1092">
        <v>29</v>
      </c>
      <c r="B1092" t="s">
        <v>43</v>
      </c>
      <c r="C1092" t="s">
        <v>64</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_xlfn.IFS(Table1[[#This Row],[Age]]&lt;30,"Young",Table1[[#This Row],[Age]]&lt;=40,"Adult",Table1[[#This Row],[Age]]&gt;40,"Senior")</f>
        <v>Young</v>
      </c>
      <c r="AK1092" t="str" cm="1">
        <f t="array" ref="AK1092">_xlfn.IFS(Table1[[#This Row],[MonthlyIncome]]&lt;5000,"Low",Table1[[#This Row],[MonthlyIncome]]&lt;10000,"Medium",Table1[[#This Row],[MonthlyIncome]]&gt;10000,"High")</f>
        <v>Medium</v>
      </c>
      <c r="AL1092" t="str" cm="1">
        <f t="array" ref="AL1092">_xlfn.IFS(Table1[[#This Row],[Attrition]]="Yes","Resigned",Table1[[#This Row],[Attrition]]="No","Active")</f>
        <v>Active</v>
      </c>
      <c r="AM1092" t="str" cm="1">
        <f t="array" ref="AM1092">_xlfn.IFS(Table1[[#This Row],[YearsAtCompany]]&lt;=1,"0-1 Year",Table1[[#This Row],[YearsAtCompany]]&lt;=2,"1-2 Years",Table1[[#This Row],[YearsAtCompany]]&lt;=3,"2-3 Years",Table1[[#This Row],[YearsAtCompany]]&lt;=4,"3-4 Years",Table1[[#This Row],[YearsAtCompany]]&lt;=5,"4-5 Years",Table1[[#This Row],[YearsAtCompany]]&gt;5,"&gt;5 Years")</f>
        <v>&gt;5 Years</v>
      </c>
    </row>
    <row r="1093" spans="1:39" hidden="1" x14ac:dyDescent="0.45">
      <c r="A1093">
        <v>33</v>
      </c>
      <c r="B1093" t="s">
        <v>43</v>
      </c>
      <c r="C1093" t="s">
        <v>64</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_xlfn.IFS(Table1[[#This Row],[Age]]&lt;30,"Young",Table1[[#This Row],[Age]]&lt;=40,"Adult",Table1[[#This Row],[Age]]&gt;40,"Senior")</f>
        <v>Adult</v>
      </c>
      <c r="AK1093" t="str" cm="1">
        <f t="array" ref="AK1093">_xlfn.IFS(Table1[[#This Row],[MonthlyIncome]]&lt;5000,"Low",Table1[[#This Row],[MonthlyIncome]]&lt;10000,"Medium",Table1[[#This Row],[MonthlyIncome]]&gt;10000,"High")</f>
        <v>Low</v>
      </c>
      <c r="AL1093" t="str" cm="1">
        <f t="array" ref="AL1093">_xlfn.IFS(Table1[[#This Row],[Attrition]]="Yes","Resigned",Table1[[#This Row],[Attrition]]="No","Active")</f>
        <v>Active</v>
      </c>
      <c r="AM1093" t="str" cm="1">
        <f t="array" ref="AM1093">_xlfn.IFS(Table1[[#This Row],[YearsAtCompany]]&lt;=1,"0-1 Year",Table1[[#This Row],[YearsAtCompany]]&lt;=2,"1-2 Years",Table1[[#This Row],[YearsAtCompany]]&lt;=3,"2-3 Years",Table1[[#This Row],[YearsAtCompany]]&lt;=4,"3-4 Years",Table1[[#This Row],[YearsAtCompany]]&lt;=5,"4-5 Years",Table1[[#This Row],[YearsAtCompany]]&gt;5,"&gt;5 Years")</f>
        <v>4-5 Years</v>
      </c>
    </row>
    <row r="1094" spans="1:39" hidden="1" x14ac:dyDescent="0.45">
      <c r="A1094">
        <v>45</v>
      </c>
      <c r="B1094" t="s">
        <v>43</v>
      </c>
      <c r="C1094" t="s">
        <v>64</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_xlfn.IFS(Table1[[#This Row],[Age]]&lt;30,"Young",Table1[[#This Row],[Age]]&lt;=40,"Adult",Table1[[#This Row],[Age]]&gt;40,"Senior")</f>
        <v>Senior</v>
      </c>
      <c r="AK1094" t="str" cm="1">
        <f t="array" ref="AK1094">_xlfn.IFS(Table1[[#This Row],[MonthlyIncome]]&lt;5000,"Low",Table1[[#This Row],[MonthlyIncome]]&lt;10000,"Medium",Table1[[#This Row],[MonthlyIncome]]&gt;10000,"High")</f>
        <v>Low</v>
      </c>
      <c r="AL1094" t="str" cm="1">
        <f t="array" ref="AL1094">_xlfn.IFS(Table1[[#This Row],[Attrition]]="Yes","Resigned",Table1[[#This Row],[Attrition]]="No","Active")</f>
        <v>Active</v>
      </c>
      <c r="AM1094" t="str" cm="1">
        <f t="array" ref="AM1094">_xlfn.IFS(Table1[[#This Row],[YearsAtCompany]]&lt;=1,"0-1 Year",Table1[[#This Row],[YearsAtCompany]]&lt;=2,"1-2 Years",Table1[[#This Row],[YearsAtCompany]]&lt;=3,"2-3 Years",Table1[[#This Row],[YearsAtCompany]]&lt;=4,"3-4 Years",Table1[[#This Row],[YearsAtCompany]]&lt;=5,"4-5 Years",Table1[[#This Row],[YearsAtCompany]]&gt;5,"&gt;5 Years")</f>
        <v>4-5 Years</v>
      </c>
    </row>
    <row r="1095" spans="1:39" hidden="1" x14ac:dyDescent="0.45">
      <c r="A1095">
        <v>42</v>
      </c>
      <c r="B1095" t="s">
        <v>43</v>
      </c>
      <c r="C1095" t="s">
        <v>63</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_xlfn.IFS(Table1[[#This Row],[Age]]&lt;30,"Young",Table1[[#This Row],[Age]]&lt;=40,"Adult",Table1[[#This Row],[Age]]&gt;40,"Senior")</f>
        <v>Senior</v>
      </c>
      <c r="AK1095" t="str" cm="1">
        <f t="array" ref="AK1095">_xlfn.IFS(Table1[[#This Row],[MonthlyIncome]]&lt;5000,"Low",Table1[[#This Row],[MonthlyIncome]]&lt;10000,"Medium",Table1[[#This Row],[MonthlyIncome]]&gt;10000,"High")</f>
        <v>High</v>
      </c>
      <c r="AL1095" t="str" cm="1">
        <f t="array" ref="AL1095">_xlfn.IFS(Table1[[#This Row],[Attrition]]="Yes","Resigned",Table1[[#This Row],[Attrition]]="No","Active")</f>
        <v>Active</v>
      </c>
      <c r="AM1095" t="str" cm="1">
        <f t="array" ref="AM1095">_xlfn.IFS(Table1[[#This Row],[YearsAtCompany]]&lt;=1,"0-1 Year",Table1[[#This Row],[YearsAtCompany]]&lt;=2,"1-2 Years",Table1[[#This Row],[YearsAtCompany]]&lt;=3,"2-3 Years",Table1[[#This Row],[YearsAtCompany]]&lt;=4,"3-4 Years",Table1[[#This Row],[YearsAtCompany]]&lt;=5,"4-5 Years",Table1[[#This Row],[YearsAtCompany]]&gt;5,"&gt;5 Years")</f>
        <v>&gt;5 Years</v>
      </c>
    </row>
    <row r="1096" spans="1:39" x14ac:dyDescent="0.45">
      <c r="A1096">
        <v>40</v>
      </c>
      <c r="B1096" t="s">
        <v>43</v>
      </c>
      <c r="C1096" t="s">
        <v>64</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_xlfn.IFS(Table1[[#This Row],[Age]]&lt;30,"Young",Table1[[#This Row],[Age]]&lt;=40,"Adult",Table1[[#This Row],[Age]]&gt;40,"Senior")</f>
        <v>Adult</v>
      </c>
      <c r="AK1096" t="str" cm="1">
        <f t="array" ref="AK1096">_xlfn.IFS(Table1[[#This Row],[MonthlyIncome]]&lt;5000,"Low",Table1[[#This Row],[MonthlyIncome]]&lt;10000,"Medium",Table1[[#This Row],[MonthlyIncome]]&gt;10000,"High")</f>
        <v>Medium</v>
      </c>
      <c r="AL1096" t="str" cm="1">
        <f t="array" ref="AL1096">_xlfn.IFS(Table1[[#This Row],[Attrition]]="Yes","Resigned",Table1[[#This Row],[Attrition]]="No","Active")</f>
        <v>Active</v>
      </c>
      <c r="AM1096" t="str" cm="1">
        <f t="array" ref="AM1096">_xlfn.IFS(Table1[[#This Row],[YearsAtCompany]]&lt;=1,"0-1 Year",Table1[[#This Row],[YearsAtCompany]]&lt;=2,"1-2 Years",Table1[[#This Row],[YearsAtCompany]]&lt;=3,"2-3 Years",Table1[[#This Row],[YearsAtCompany]]&lt;=4,"3-4 Years",Table1[[#This Row],[YearsAtCompany]]&lt;=5,"4-5 Years",Table1[[#This Row],[YearsAtCompany]]&gt;5,"&gt;5 Years")</f>
        <v>&gt;5 Years</v>
      </c>
    </row>
    <row r="1097" spans="1:39" hidden="1" x14ac:dyDescent="0.45">
      <c r="A1097">
        <v>33</v>
      </c>
      <c r="B1097" t="s">
        <v>43</v>
      </c>
      <c r="C1097" t="s">
        <v>64</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_xlfn.IFS(Table1[[#This Row],[Age]]&lt;30,"Young",Table1[[#This Row],[Age]]&lt;=40,"Adult",Table1[[#This Row],[Age]]&gt;40,"Senior")</f>
        <v>Adult</v>
      </c>
      <c r="AK1097" t="str" cm="1">
        <f t="array" ref="AK1097">_xlfn.IFS(Table1[[#This Row],[MonthlyIncome]]&lt;5000,"Low",Table1[[#This Row],[MonthlyIncome]]&lt;10000,"Medium",Table1[[#This Row],[MonthlyIncome]]&gt;10000,"High")</f>
        <v>Medium</v>
      </c>
      <c r="AL1097" t="str" cm="1">
        <f t="array" ref="AL1097">_xlfn.IFS(Table1[[#This Row],[Attrition]]="Yes","Resigned",Table1[[#This Row],[Attrition]]="No","Active")</f>
        <v>Active</v>
      </c>
      <c r="AM1097" t="str" cm="1">
        <f t="array" ref="AM1097">_xlfn.IFS(Table1[[#This Row],[YearsAtCompany]]&lt;=1,"0-1 Year",Table1[[#This Row],[YearsAtCompany]]&lt;=2,"1-2 Years",Table1[[#This Row],[YearsAtCompany]]&lt;=3,"2-3 Years",Table1[[#This Row],[YearsAtCompany]]&lt;=4,"3-4 Years",Table1[[#This Row],[YearsAtCompany]]&lt;=5,"4-5 Years",Table1[[#This Row],[YearsAtCompany]]&gt;5,"&gt;5 Years")</f>
        <v>&gt;5 Years</v>
      </c>
    </row>
    <row r="1098" spans="1:39" hidden="1" x14ac:dyDescent="0.45">
      <c r="A1098">
        <v>40</v>
      </c>
      <c r="B1098" t="s">
        <v>43</v>
      </c>
      <c r="C1098" t="s">
        <v>64</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_xlfn.IFS(Table1[[#This Row],[Age]]&lt;30,"Young",Table1[[#This Row],[Age]]&lt;=40,"Adult",Table1[[#This Row],[Age]]&gt;40,"Senior")</f>
        <v>Adult</v>
      </c>
      <c r="AK1098" t="str" cm="1">
        <f t="array" ref="AK1098">_xlfn.IFS(Table1[[#This Row],[MonthlyIncome]]&lt;5000,"Low",Table1[[#This Row],[MonthlyIncome]]&lt;10000,"Medium",Table1[[#This Row],[MonthlyIncome]]&gt;10000,"High")</f>
        <v>High</v>
      </c>
      <c r="AL1098" t="str" cm="1">
        <f t="array" ref="AL1098">_xlfn.IFS(Table1[[#This Row],[Attrition]]="Yes","Resigned",Table1[[#This Row],[Attrition]]="No","Active")</f>
        <v>Active</v>
      </c>
      <c r="AM1098" t="str" cm="1">
        <f t="array" ref="AM1098">_xlfn.IFS(Table1[[#This Row],[YearsAtCompany]]&lt;=1,"0-1 Year",Table1[[#This Row],[YearsAtCompany]]&lt;=2,"1-2 Years",Table1[[#This Row],[YearsAtCompany]]&lt;=3,"2-3 Years",Table1[[#This Row],[YearsAtCompany]]&lt;=4,"3-4 Years",Table1[[#This Row],[YearsAtCompany]]&lt;=5,"4-5 Years",Table1[[#This Row],[YearsAtCompany]]&gt;5,"&gt;5 Years")</f>
        <v>&gt;5 Years</v>
      </c>
    </row>
    <row r="1099" spans="1:39" hidden="1" x14ac:dyDescent="0.45">
      <c r="A1099">
        <v>24</v>
      </c>
      <c r="B1099" t="s">
        <v>43</v>
      </c>
      <c r="C1099" t="s">
        <v>64</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_xlfn.IFS(Table1[[#This Row],[Age]]&lt;30,"Young",Table1[[#This Row],[Age]]&lt;=40,"Adult",Table1[[#This Row],[Age]]&gt;40,"Senior")</f>
        <v>Young</v>
      </c>
      <c r="AK1099" t="str" cm="1">
        <f t="array" ref="AK1099">_xlfn.IFS(Table1[[#This Row],[MonthlyIncome]]&lt;5000,"Low",Table1[[#This Row],[MonthlyIncome]]&lt;10000,"Medium",Table1[[#This Row],[MonthlyIncome]]&gt;10000,"High")</f>
        <v>Low</v>
      </c>
      <c r="AL1099" t="str" cm="1">
        <f t="array" ref="AL1099">_xlfn.IFS(Table1[[#This Row],[Attrition]]="Yes","Resigned",Table1[[#This Row],[Attrition]]="No","Active")</f>
        <v>Active</v>
      </c>
      <c r="AM1099" t="str" cm="1">
        <f t="array" ref="AM1099">_xlfn.IFS(Table1[[#This Row],[YearsAtCompany]]&lt;=1,"0-1 Year",Table1[[#This Row],[YearsAtCompany]]&lt;=2,"1-2 Years",Table1[[#This Row],[YearsAtCompany]]&lt;=3,"2-3 Years",Table1[[#This Row],[YearsAtCompany]]&lt;=4,"3-4 Years",Table1[[#This Row],[YearsAtCompany]]&lt;=5,"4-5 Years",Table1[[#This Row],[YearsAtCompany]]&gt;5,"&gt;5 Years")</f>
        <v>0-1 Year</v>
      </c>
    </row>
    <row r="1100" spans="1:39" hidden="1" x14ac:dyDescent="0.45">
      <c r="A1100">
        <v>40</v>
      </c>
      <c r="B1100" t="s">
        <v>43</v>
      </c>
      <c r="C1100" t="s">
        <v>62</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_xlfn.IFS(Table1[[#This Row],[Age]]&lt;30,"Young",Table1[[#This Row],[Age]]&lt;=40,"Adult",Table1[[#This Row],[Age]]&gt;40,"Senior")</f>
        <v>Adult</v>
      </c>
      <c r="AK1100" t="str" cm="1">
        <f t="array" ref="AK1100">_xlfn.IFS(Table1[[#This Row],[MonthlyIncome]]&lt;5000,"Low",Table1[[#This Row],[MonthlyIncome]]&lt;10000,"Medium",Table1[[#This Row],[MonthlyIncome]]&gt;10000,"High")</f>
        <v>Low</v>
      </c>
      <c r="AL1100" t="str" cm="1">
        <f t="array" ref="AL1100">_xlfn.IFS(Table1[[#This Row],[Attrition]]="Yes","Resigned",Table1[[#This Row],[Attrition]]="No","Active")</f>
        <v>Active</v>
      </c>
      <c r="AM1100" t="str" cm="1">
        <f t="array" ref="AM1100">_xlfn.IFS(Table1[[#This Row],[YearsAtCompany]]&lt;=1,"0-1 Year",Table1[[#This Row],[YearsAtCompany]]&lt;=2,"1-2 Years",Table1[[#This Row],[YearsAtCompany]]&lt;=3,"2-3 Years",Table1[[#This Row],[YearsAtCompany]]&lt;=4,"3-4 Years",Table1[[#This Row],[YearsAtCompany]]&lt;=5,"4-5 Years",Table1[[#This Row],[YearsAtCompany]]&gt;5,"&gt;5 Years")</f>
        <v>1-2 Years</v>
      </c>
    </row>
    <row r="1101" spans="1:39" hidden="1" x14ac:dyDescent="0.45">
      <c r="A1101">
        <v>45</v>
      </c>
      <c r="B1101" t="s">
        <v>43</v>
      </c>
      <c r="C1101" t="s">
        <v>64</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_xlfn.IFS(Table1[[#This Row],[Age]]&lt;30,"Young",Table1[[#This Row],[Age]]&lt;=40,"Adult",Table1[[#This Row],[Age]]&gt;40,"Senior")</f>
        <v>Senior</v>
      </c>
      <c r="AK1101" t="str" cm="1">
        <f t="array" ref="AK1101">_xlfn.IFS(Table1[[#This Row],[MonthlyIncome]]&lt;5000,"Low",Table1[[#This Row],[MonthlyIncome]]&lt;10000,"Medium",Table1[[#This Row],[MonthlyIncome]]&gt;10000,"High")</f>
        <v>Medium</v>
      </c>
      <c r="AL1101" t="str" cm="1">
        <f t="array" ref="AL1101">_xlfn.IFS(Table1[[#This Row],[Attrition]]="Yes","Resigned",Table1[[#This Row],[Attrition]]="No","Active")</f>
        <v>Active</v>
      </c>
      <c r="AM1101" t="str" cm="1">
        <f t="array" ref="AM1101">_xlfn.IFS(Table1[[#This Row],[YearsAtCompany]]&lt;=1,"0-1 Year",Table1[[#This Row],[YearsAtCompany]]&lt;=2,"1-2 Years",Table1[[#This Row],[YearsAtCompany]]&lt;=3,"2-3 Years",Table1[[#This Row],[YearsAtCompany]]&lt;=4,"3-4 Years",Table1[[#This Row],[YearsAtCompany]]&lt;=5,"4-5 Years",Table1[[#This Row],[YearsAtCompany]]&gt;5,"&gt;5 Years")</f>
        <v>&gt;5 Years</v>
      </c>
    </row>
    <row r="1102" spans="1:39" x14ac:dyDescent="0.45">
      <c r="A1102">
        <v>35</v>
      </c>
      <c r="B1102" t="s">
        <v>43</v>
      </c>
      <c r="C1102" t="s">
        <v>64</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_xlfn.IFS(Table1[[#This Row],[Age]]&lt;30,"Young",Table1[[#This Row],[Age]]&lt;=40,"Adult",Table1[[#This Row],[Age]]&gt;40,"Senior")</f>
        <v>Adult</v>
      </c>
      <c r="AK1102" t="str" cm="1">
        <f t="array" ref="AK1102">_xlfn.IFS(Table1[[#This Row],[MonthlyIncome]]&lt;5000,"Low",Table1[[#This Row],[MonthlyIncome]]&lt;10000,"Medium",Table1[[#This Row],[MonthlyIncome]]&gt;10000,"High")</f>
        <v>Low</v>
      </c>
      <c r="AL1102" t="str" cm="1">
        <f t="array" ref="AL1102">_xlfn.IFS(Table1[[#This Row],[Attrition]]="Yes","Resigned",Table1[[#This Row],[Attrition]]="No","Active")</f>
        <v>Active</v>
      </c>
      <c r="AM1102" t="str" cm="1">
        <f t="array" ref="AM1102">_xlfn.IFS(Table1[[#This Row],[YearsAtCompany]]&lt;=1,"0-1 Year",Table1[[#This Row],[YearsAtCompany]]&lt;=2,"1-2 Years",Table1[[#This Row],[YearsAtCompany]]&lt;=3,"2-3 Years",Table1[[#This Row],[YearsAtCompany]]&lt;=4,"3-4 Years",Table1[[#This Row],[YearsAtCompany]]&lt;=5,"4-5 Years",Table1[[#This Row],[YearsAtCompany]]&gt;5,"&gt;5 Years")</f>
        <v>4-5 Years</v>
      </c>
    </row>
    <row r="1103" spans="1:39" hidden="1" x14ac:dyDescent="0.45">
      <c r="A1103">
        <v>32</v>
      </c>
      <c r="B1103" t="s">
        <v>43</v>
      </c>
      <c r="C1103" t="s">
        <v>64</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_xlfn.IFS(Table1[[#This Row],[Age]]&lt;30,"Young",Table1[[#This Row],[Age]]&lt;=40,"Adult",Table1[[#This Row],[Age]]&gt;40,"Senior")</f>
        <v>Adult</v>
      </c>
      <c r="AK1103" t="str" cm="1">
        <f t="array" ref="AK1103">_xlfn.IFS(Table1[[#This Row],[MonthlyIncome]]&lt;5000,"Low",Table1[[#This Row],[MonthlyIncome]]&lt;10000,"Medium",Table1[[#This Row],[MonthlyIncome]]&gt;10000,"High")</f>
        <v>Medium</v>
      </c>
      <c r="AL1103" t="str" cm="1">
        <f t="array" ref="AL1103">_xlfn.IFS(Table1[[#This Row],[Attrition]]="Yes","Resigned",Table1[[#This Row],[Attrition]]="No","Active")</f>
        <v>Active</v>
      </c>
      <c r="AM1103" t="str" cm="1">
        <f t="array" ref="AM1103">_xlfn.IFS(Table1[[#This Row],[YearsAtCompany]]&lt;=1,"0-1 Year",Table1[[#This Row],[YearsAtCompany]]&lt;=2,"1-2 Years",Table1[[#This Row],[YearsAtCompany]]&lt;=3,"2-3 Years",Table1[[#This Row],[YearsAtCompany]]&lt;=4,"3-4 Years",Table1[[#This Row],[YearsAtCompany]]&lt;=5,"4-5 Years",Table1[[#This Row],[YearsAtCompany]]&gt;5,"&gt;5 Years")</f>
        <v>&gt;5 Years</v>
      </c>
    </row>
    <row r="1104" spans="1:39" x14ac:dyDescent="0.45">
      <c r="A1104">
        <v>36</v>
      </c>
      <c r="B1104" t="s">
        <v>43</v>
      </c>
      <c r="C1104" t="s">
        <v>64</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_xlfn.IFS(Table1[[#This Row],[Age]]&lt;30,"Young",Table1[[#This Row],[Age]]&lt;=40,"Adult",Table1[[#This Row],[Age]]&gt;40,"Senior")</f>
        <v>Adult</v>
      </c>
      <c r="AK1104" t="str" cm="1">
        <f t="array" ref="AK1104">_xlfn.IFS(Table1[[#This Row],[MonthlyIncome]]&lt;5000,"Low",Table1[[#This Row],[MonthlyIncome]]&lt;10000,"Medium",Table1[[#This Row],[MonthlyIncome]]&gt;10000,"High")</f>
        <v>Low</v>
      </c>
      <c r="AL1104" t="str" cm="1">
        <f t="array" ref="AL1104">_xlfn.IFS(Table1[[#This Row],[Attrition]]="Yes","Resigned",Table1[[#This Row],[Attrition]]="No","Active")</f>
        <v>Active</v>
      </c>
      <c r="AM1104" t="str" cm="1">
        <f t="array" ref="AM1104">_xlfn.IFS(Table1[[#This Row],[YearsAtCompany]]&lt;=1,"0-1 Year",Table1[[#This Row],[YearsAtCompany]]&lt;=2,"1-2 Years",Table1[[#This Row],[YearsAtCompany]]&lt;=3,"2-3 Years",Table1[[#This Row],[YearsAtCompany]]&lt;=4,"3-4 Years",Table1[[#This Row],[YearsAtCompany]]&lt;=5,"4-5 Years",Table1[[#This Row],[YearsAtCompany]]&gt;5,"&gt;5 Years")</f>
        <v>2-3 Years</v>
      </c>
    </row>
    <row r="1105" spans="1:39" x14ac:dyDescent="0.45">
      <c r="A1105">
        <v>48</v>
      </c>
      <c r="B1105" t="s">
        <v>43</v>
      </c>
      <c r="C1105" t="s">
        <v>64</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_xlfn.IFS(Table1[[#This Row],[Age]]&lt;30,"Young",Table1[[#This Row],[Age]]&lt;=40,"Adult",Table1[[#This Row],[Age]]&gt;40,"Senior")</f>
        <v>Senior</v>
      </c>
      <c r="AK1105" t="str" cm="1">
        <f t="array" ref="AK1105">_xlfn.IFS(Table1[[#This Row],[MonthlyIncome]]&lt;5000,"Low",Table1[[#This Row],[MonthlyIncome]]&lt;10000,"Medium",Table1[[#This Row],[MonthlyIncome]]&gt;10000,"High")</f>
        <v>Medium</v>
      </c>
      <c r="AL1105" t="str" cm="1">
        <f t="array" ref="AL1105">_xlfn.IFS(Table1[[#This Row],[Attrition]]="Yes","Resigned",Table1[[#This Row],[Attrition]]="No","Active")</f>
        <v>Active</v>
      </c>
      <c r="AM1105" t="str" cm="1">
        <f t="array" ref="AM1105">_xlfn.IFS(Table1[[#This Row],[YearsAtCompany]]&lt;=1,"0-1 Year",Table1[[#This Row],[YearsAtCompany]]&lt;=2,"1-2 Years",Table1[[#This Row],[YearsAtCompany]]&lt;=3,"2-3 Years",Table1[[#This Row],[YearsAtCompany]]&lt;=4,"3-4 Years",Table1[[#This Row],[YearsAtCompany]]&lt;=5,"4-5 Years",Table1[[#This Row],[YearsAtCompany]]&gt;5,"&gt;5 Years")</f>
        <v>&gt;5 Years</v>
      </c>
    </row>
    <row r="1106" spans="1:39" hidden="1" x14ac:dyDescent="0.45">
      <c r="A1106">
        <v>29</v>
      </c>
      <c r="B1106" t="s">
        <v>43</v>
      </c>
      <c r="C1106" t="s">
        <v>64</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_xlfn.IFS(Table1[[#This Row],[Age]]&lt;30,"Young",Table1[[#This Row],[Age]]&lt;=40,"Adult",Table1[[#This Row],[Age]]&gt;40,"Senior")</f>
        <v>Young</v>
      </c>
      <c r="AK1106" t="str" cm="1">
        <f t="array" ref="AK1106">_xlfn.IFS(Table1[[#This Row],[MonthlyIncome]]&lt;5000,"Low",Table1[[#This Row],[MonthlyIncome]]&lt;10000,"Medium",Table1[[#This Row],[MonthlyIncome]]&gt;10000,"High")</f>
        <v>Low</v>
      </c>
      <c r="AL1106" t="str" cm="1">
        <f t="array" ref="AL1106">_xlfn.IFS(Table1[[#This Row],[Attrition]]="Yes","Resigned",Table1[[#This Row],[Attrition]]="No","Active")</f>
        <v>Active</v>
      </c>
      <c r="AM1106" t="str" cm="1">
        <f t="array" ref="AM1106">_xlfn.IFS(Table1[[#This Row],[YearsAtCompany]]&lt;=1,"0-1 Year",Table1[[#This Row],[YearsAtCompany]]&lt;=2,"1-2 Years",Table1[[#This Row],[YearsAtCompany]]&lt;=3,"2-3 Years",Table1[[#This Row],[YearsAtCompany]]&lt;=4,"3-4 Years",Table1[[#This Row],[YearsAtCompany]]&lt;=5,"4-5 Years",Table1[[#This Row],[YearsAtCompany]]&gt;5,"&gt;5 Years")</f>
        <v>0-1 Year</v>
      </c>
    </row>
    <row r="1107" spans="1:39" x14ac:dyDescent="0.45">
      <c r="A1107">
        <v>33</v>
      </c>
      <c r="B1107" t="s">
        <v>43</v>
      </c>
      <c r="C1107" t="s">
        <v>64</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_xlfn.IFS(Table1[[#This Row],[Age]]&lt;30,"Young",Table1[[#This Row],[Age]]&lt;=40,"Adult",Table1[[#This Row],[Age]]&gt;40,"Senior")</f>
        <v>Adult</v>
      </c>
      <c r="AK1107" t="str" cm="1">
        <f t="array" ref="AK1107">_xlfn.IFS(Table1[[#This Row],[MonthlyIncome]]&lt;5000,"Low",Table1[[#This Row],[MonthlyIncome]]&lt;10000,"Medium",Table1[[#This Row],[MonthlyIncome]]&gt;10000,"High")</f>
        <v>Medium</v>
      </c>
      <c r="AL1107" t="str" cm="1">
        <f t="array" ref="AL1107">_xlfn.IFS(Table1[[#This Row],[Attrition]]="Yes","Resigned",Table1[[#This Row],[Attrition]]="No","Active")</f>
        <v>Active</v>
      </c>
      <c r="AM1107" t="str" cm="1">
        <f t="array" ref="AM1107">_xlfn.IFS(Table1[[#This Row],[YearsAtCompany]]&lt;=1,"0-1 Year",Table1[[#This Row],[YearsAtCompany]]&lt;=2,"1-2 Years",Table1[[#This Row],[YearsAtCompany]]&lt;=3,"2-3 Years",Table1[[#This Row],[YearsAtCompany]]&lt;=4,"3-4 Years",Table1[[#This Row],[YearsAtCompany]]&lt;=5,"4-5 Years",Table1[[#This Row],[YearsAtCompany]]&gt;5,"&gt;5 Years")</f>
        <v>1-2 Years</v>
      </c>
    </row>
    <row r="1108" spans="1:39" x14ac:dyDescent="0.45">
      <c r="A1108">
        <v>30</v>
      </c>
      <c r="B1108" t="s">
        <v>35</v>
      </c>
      <c r="C1108" t="s">
        <v>64</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_xlfn.IFS(Table1[[#This Row],[Age]]&lt;30,"Young",Table1[[#This Row],[Age]]&lt;=40,"Adult",Table1[[#This Row],[Age]]&gt;40,"Senior")</f>
        <v>Adult</v>
      </c>
      <c r="AK1108" t="str" cm="1">
        <f t="array" ref="AK1108">_xlfn.IFS(Table1[[#This Row],[MonthlyIncome]]&lt;5000,"Low",Table1[[#This Row],[MonthlyIncome]]&lt;10000,"Medium",Table1[[#This Row],[MonthlyIncome]]&gt;10000,"High")</f>
        <v>Medium</v>
      </c>
      <c r="AL1108" t="str" cm="1">
        <f t="array" ref="AL1108">_xlfn.IFS(Table1[[#This Row],[Attrition]]="Yes","Resigned",Table1[[#This Row],[Attrition]]="No","Active")</f>
        <v>Resigned</v>
      </c>
      <c r="AM1108" t="str" cm="1">
        <f t="array" ref="AM1108">_xlfn.IFS(Table1[[#This Row],[YearsAtCompany]]&lt;=1,"0-1 Year",Table1[[#This Row],[YearsAtCompany]]&lt;=2,"1-2 Years",Table1[[#This Row],[YearsAtCompany]]&lt;=3,"2-3 Years",Table1[[#This Row],[YearsAtCompany]]&lt;=4,"3-4 Years",Table1[[#This Row],[YearsAtCompany]]&lt;=5,"4-5 Years",Table1[[#This Row],[YearsAtCompany]]&gt;5,"&gt;5 Years")</f>
        <v>&gt;5 Years</v>
      </c>
    </row>
    <row r="1109" spans="1:39" hidden="1" x14ac:dyDescent="0.45">
      <c r="A1109">
        <v>38</v>
      </c>
      <c r="B1109" t="s">
        <v>43</v>
      </c>
      <c r="C1109" t="s">
        <v>63</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_xlfn.IFS(Table1[[#This Row],[Age]]&lt;30,"Young",Table1[[#This Row],[Age]]&lt;=40,"Adult",Table1[[#This Row],[Age]]&gt;40,"Senior")</f>
        <v>Adult</v>
      </c>
      <c r="AK1109" t="str" cm="1">
        <f t="array" ref="AK1109">_xlfn.IFS(Table1[[#This Row],[MonthlyIncome]]&lt;5000,"Low",Table1[[#This Row],[MonthlyIncome]]&lt;10000,"Medium",Table1[[#This Row],[MonthlyIncome]]&gt;10000,"High")</f>
        <v>Medium</v>
      </c>
      <c r="AL1109" t="str" cm="1">
        <f t="array" ref="AL1109">_xlfn.IFS(Table1[[#This Row],[Attrition]]="Yes","Resigned",Table1[[#This Row],[Attrition]]="No","Active")</f>
        <v>Active</v>
      </c>
      <c r="AM1109" t="str" cm="1">
        <f t="array" ref="AM1109">_xlfn.IFS(Table1[[#This Row],[YearsAtCompany]]&lt;=1,"0-1 Year",Table1[[#This Row],[YearsAtCompany]]&lt;=2,"1-2 Years",Table1[[#This Row],[YearsAtCompany]]&lt;=3,"2-3 Years",Table1[[#This Row],[YearsAtCompany]]&lt;=4,"3-4 Years",Table1[[#This Row],[YearsAtCompany]]&lt;=5,"4-5 Years",Table1[[#This Row],[YearsAtCompany]]&gt;5,"&gt;5 Years")</f>
        <v>&gt;5 Years</v>
      </c>
    </row>
    <row r="1110" spans="1:39" hidden="1" x14ac:dyDescent="0.45">
      <c r="A1110">
        <v>35</v>
      </c>
      <c r="B1110" t="s">
        <v>43</v>
      </c>
      <c r="C1110" t="s">
        <v>64</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_xlfn.IFS(Table1[[#This Row],[Age]]&lt;30,"Young",Table1[[#This Row],[Age]]&lt;=40,"Adult",Table1[[#This Row],[Age]]&gt;40,"Senior")</f>
        <v>Adult</v>
      </c>
      <c r="AK1110" t="str" cm="1">
        <f t="array" ref="AK1110">_xlfn.IFS(Table1[[#This Row],[MonthlyIncome]]&lt;5000,"Low",Table1[[#This Row],[MonthlyIncome]]&lt;10000,"Medium",Table1[[#This Row],[MonthlyIncome]]&gt;10000,"High")</f>
        <v>Low</v>
      </c>
      <c r="AL1110" t="str" cm="1">
        <f t="array" ref="AL1110">_xlfn.IFS(Table1[[#This Row],[Attrition]]="Yes","Resigned",Table1[[#This Row],[Attrition]]="No","Active")</f>
        <v>Active</v>
      </c>
      <c r="AM1110" t="str" cm="1">
        <f t="array" ref="AM1110">_xlfn.IFS(Table1[[#This Row],[YearsAtCompany]]&lt;=1,"0-1 Year",Table1[[#This Row],[YearsAtCompany]]&lt;=2,"1-2 Years",Table1[[#This Row],[YearsAtCompany]]&lt;=3,"2-3 Years",Table1[[#This Row],[YearsAtCompany]]&lt;=4,"3-4 Years",Table1[[#This Row],[YearsAtCompany]]&lt;=5,"4-5 Years",Table1[[#This Row],[YearsAtCompany]]&gt;5,"&gt;5 Years")</f>
        <v>2-3 Years</v>
      </c>
    </row>
    <row r="1111" spans="1:39" x14ac:dyDescent="0.45">
      <c r="A1111">
        <v>30</v>
      </c>
      <c r="B1111" t="s">
        <v>43</v>
      </c>
      <c r="C1111" t="s">
        <v>64</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_xlfn.IFS(Table1[[#This Row],[Age]]&lt;30,"Young",Table1[[#This Row],[Age]]&lt;=40,"Adult",Table1[[#This Row],[Age]]&gt;40,"Senior")</f>
        <v>Adult</v>
      </c>
      <c r="AK1111" t="str" cm="1">
        <f t="array" ref="AK1111">_xlfn.IFS(Table1[[#This Row],[MonthlyIncome]]&lt;5000,"Low",Table1[[#This Row],[MonthlyIncome]]&lt;10000,"Medium",Table1[[#This Row],[MonthlyIncome]]&gt;10000,"High")</f>
        <v>Medium</v>
      </c>
      <c r="AL1111" t="str" cm="1">
        <f t="array" ref="AL1111">_xlfn.IFS(Table1[[#This Row],[Attrition]]="Yes","Resigned",Table1[[#This Row],[Attrition]]="No","Active")</f>
        <v>Active</v>
      </c>
      <c r="AM1111" t="str" cm="1">
        <f t="array" ref="AM1111">_xlfn.IFS(Table1[[#This Row],[YearsAtCompany]]&lt;=1,"0-1 Year",Table1[[#This Row],[YearsAtCompany]]&lt;=2,"1-2 Years",Table1[[#This Row],[YearsAtCompany]]&lt;=3,"2-3 Years",Table1[[#This Row],[YearsAtCompany]]&lt;=4,"3-4 Years",Table1[[#This Row],[YearsAtCompany]]&lt;=5,"4-5 Years",Table1[[#This Row],[YearsAtCompany]]&gt;5,"&gt;5 Years")</f>
        <v>3-4 Years</v>
      </c>
    </row>
    <row r="1112" spans="1:39" hidden="1" x14ac:dyDescent="0.45">
      <c r="A1112">
        <v>35</v>
      </c>
      <c r="B1112" t="s">
        <v>35</v>
      </c>
      <c r="C1112" t="s">
        <v>64</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_xlfn.IFS(Table1[[#This Row],[Age]]&lt;30,"Young",Table1[[#This Row],[Age]]&lt;=40,"Adult",Table1[[#This Row],[Age]]&gt;40,"Senior")</f>
        <v>Adult</v>
      </c>
      <c r="AK1112" t="str" cm="1">
        <f t="array" ref="AK1112">_xlfn.IFS(Table1[[#This Row],[MonthlyIncome]]&lt;5000,"Low",Table1[[#This Row],[MonthlyIncome]]&lt;10000,"Medium",Table1[[#This Row],[MonthlyIncome]]&gt;10000,"High")</f>
        <v>Low</v>
      </c>
      <c r="AL1112" t="str" cm="1">
        <f t="array" ref="AL1112">_xlfn.IFS(Table1[[#This Row],[Attrition]]="Yes","Resigned",Table1[[#This Row],[Attrition]]="No","Active")</f>
        <v>Resigned</v>
      </c>
      <c r="AM1112" t="str" cm="1">
        <f t="array" ref="AM1112">_xlfn.IFS(Table1[[#This Row],[YearsAtCompany]]&lt;=1,"0-1 Year",Table1[[#This Row],[YearsAtCompany]]&lt;=2,"1-2 Years",Table1[[#This Row],[YearsAtCompany]]&lt;=3,"2-3 Years",Table1[[#This Row],[YearsAtCompany]]&lt;=4,"3-4 Years",Table1[[#This Row],[YearsAtCompany]]&lt;=5,"4-5 Years",Table1[[#This Row],[YearsAtCompany]]&gt;5,"&gt;5 Years")</f>
        <v>0-1 Year</v>
      </c>
    </row>
    <row r="1113" spans="1:39" hidden="1" x14ac:dyDescent="0.45">
      <c r="A1113">
        <v>53</v>
      </c>
      <c r="B1113" t="s">
        <v>35</v>
      </c>
      <c r="C1113" t="s">
        <v>64</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_xlfn.IFS(Table1[[#This Row],[Age]]&lt;30,"Young",Table1[[#This Row],[Age]]&lt;=40,"Adult",Table1[[#This Row],[Age]]&gt;40,"Senior")</f>
        <v>Senior</v>
      </c>
      <c r="AK1113" t="str" cm="1">
        <f t="array" ref="AK1113">_xlfn.IFS(Table1[[#This Row],[MonthlyIncome]]&lt;5000,"Low",Table1[[#This Row],[MonthlyIncome]]&lt;10000,"Medium",Table1[[#This Row],[MonthlyIncome]]&gt;10000,"High")</f>
        <v>High</v>
      </c>
      <c r="AL1113" t="str" cm="1">
        <f t="array" ref="AL1113">_xlfn.IFS(Table1[[#This Row],[Attrition]]="Yes","Resigned",Table1[[#This Row],[Attrition]]="No","Active")</f>
        <v>Resigned</v>
      </c>
      <c r="AM1113" t="str" cm="1">
        <f t="array" ref="AM1113">_xlfn.IFS(Table1[[#This Row],[YearsAtCompany]]&lt;=1,"0-1 Year",Table1[[#This Row],[YearsAtCompany]]&lt;=2,"1-2 Years",Table1[[#This Row],[YearsAtCompany]]&lt;=3,"2-3 Years",Table1[[#This Row],[YearsAtCompany]]&lt;=4,"3-4 Years",Table1[[#This Row],[YearsAtCompany]]&lt;=5,"4-5 Years",Table1[[#This Row],[YearsAtCompany]]&gt;5,"&gt;5 Years")</f>
        <v>&gt;5 Years</v>
      </c>
    </row>
    <row r="1114" spans="1:39" hidden="1" x14ac:dyDescent="0.45">
      <c r="A1114">
        <v>38</v>
      </c>
      <c r="B1114" t="s">
        <v>35</v>
      </c>
      <c r="C1114" t="s">
        <v>64</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_xlfn.IFS(Table1[[#This Row],[Age]]&lt;30,"Young",Table1[[#This Row],[Age]]&lt;=40,"Adult",Table1[[#This Row],[Age]]&gt;40,"Senior")</f>
        <v>Adult</v>
      </c>
      <c r="AK1114" t="str" cm="1">
        <f t="array" ref="AK1114">_xlfn.IFS(Table1[[#This Row],[MonthlyIncome]]&lt;5000,"Low",Table1[[#This Row],[MonthlyIncome]]&lt;10000,"Medium",Table1[[#This Row],[MonthlyIncome]]&gt;10000,"High")</f>
        <v>Low</v>
      </c>
      <c r="AL1114" t="str" cm="1">
        <f t="array" ref="AL1114">_xlfn.IFS(Table1[[#This Row],[Attrition]]="Yes","Resigned",Table1[[#This Row],[Attrition]]="No","Active")</f>
        <v>Resigned</v>
      </c>
      <c r="AM1114" t="str" cm="1">
        <f t="array" ref="AM1114">_xlfn.IFS(Table1[[#This Row],[YearsAtCompany]]&lt;=1,"0-1 Year",Table1[[#This Row],[YearsAtCompany]]&lt;=2,"1-2 Years",Table1[[#This Row],[YearsAtCompany]]&lt;=3,"2-3 Years",Table1[[#This Row],[YearsAtCompany]]&lt;=4,"3-4 Years",Table1[[#This Row],[YearsAtCompany]]&lt;=5,"4-5 Years",Table1[[#This Row],[YearsAtCompany]]&gt;5,"&gt;5 Years")</f>
        <v>4-5 Years</v>
      </c>
    </row>
    <row r="1115" spans="1:39" hidden="1" x14ac:dyDescent="0.45">
      <c r="A1115">
        <v>32</v>
      </c>
      <c r="B1115" t="s">
        <v>43</v>
      </c>
      <c r="C1115" t="s">
        <v>62</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_xlfn.IFS(Table1[[#This Row],[Age]]&lt;30,"Young",Table1[[#This Row],[Age]]&lt;=40,"Adult",Table1[[#This Row],[Age]]&gt;40,"Senior")</f>
        <v>Adult</v>
      </c>
      <c r="AK1115" t="str" cm="1">
        <f t="array" ref="AK1115">_xlfn.IFS(Table1[[#This Row],[MonthlyIncome]]&lt;5000,"Low",Table1[[#This Row],[MonthlyIncome]]&lt;10000,"Medium",Table1[[#This Row],[MonthlyIncome]]&gt;10000,"High")</f>
        <v>Low</v>
      </c>
      <c r="AL1115" t="str" cm="1">
        <f t="array" ref="AL1115">_xlfn.IFS(Table1[[#This Row],[Attrition]]="Yes","Resigned",Table1[[#This Row],[Attrition]]="No","Active")</f>
        <v>Active</v>
      </c>
      <c r="AM1115" t="str" cm="1">
        <f t="array" ref="AM1115">_xlfn.IFS(Table1[[#This Row],[YearsAtCompany]]&lt;=1,"0-1 Year",Table1[[#This Row],[YearsAtCompany]]&lt;=2,"1-2 Years",Table1[[#This Row],[YearsAtCompany]]&lt;=3,"2-3 Years",Table1[[#This Row],[YearsAtCompany]]&lt;=4,"3-4 Years",Table1[[#This Row],[YearsAtCompany]]&lt;=5,"4-5 Years",Table1[[#This Row],[YearsAtCompany]]&gt;5,"&gt;5 Years")</f>
        <v>&gt;5 Years</v>
      </c>
    </row>
    <row r="1116" spans="1:39" hidden="1" x14ac:dyDescent="0.45">
      <c r="A1116">
        <v>48</v>
      </c>
      <c r="B1116" t="s">
        <v>43</v>
      </c>
      <c r="C1116" t="s">
        <v>64</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_xlfn.IFS(Table1[[#This Row],[Age]]&lt;30,"Young",Table1[[#This Row],[Age]]&lt;=40,"Adult",Table1[[#This Row],[Age]]&gt;40,"Senior")</f>
        <v>Senior</v>
      </c>
      <c r="AK1116" t="str" cm="1">
        <f t="array" ref="AK1116">_xlfn.IFS(Table1[[#This Row],[MonthlyIncome]]&lt;5000,"Low",Table1[[#This Row],[MonthlyIncome]]&lt;10000,"Medium",Table1[[#This Row],[MonthlyIncome]]&gt;10000,"High")</f>
        <v>Low</v>
      </c>
      <c r="AL1116" t="str" cm="1">
        <f t="array" ref="AL1116">_xlfn.IFS(Table1[[#This Row],[Attrition]]="Yes","Resigned",Table1[[#This Row],[Attrition]]="No","Active")</f>
        <v>Active</v>
      </c>
      <c r="AM1116" t="str" cm="1">
        <f t="array" ref="AM1116">_xlfn.IFS(Table1[[#This Row],[YearsAtCompany]]&lt;=1,"0-1 Year",Table1[[#This Row],[YearsAtCompany]]&lt;=2,"1-2 Years",Table1[[#This Row],[YearsAtCompany]]&lt;=3,"2-3 Years",Table1[[#This Row],[YearsAtCompany]]&lt;=4,"3-4 Years",Table1[[#This Row],[YearsAtCompany]]&lt;=5,"4-5 Years",Table1[[#This Row],[YearsAtCompany]]&gt;5,"&gt;5 Years")</f>
        <v>&gt;5 Years</v>
      </c>
    </row>
    <row r="1117" spans="1:39" hidden="1" x14ac:dyDescent="0.45">
      <c r="A1117">
        <v>34</v>
      </c>
      <c r="B1117" t="s">
        <v>43</v>
      </c>
      <c r="C1117" t="s">
        <v>64</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_xlfn.IFS(Table1[[#This Row],[Age]]&lt;30,"Young",Table1[[#This Row],[Age]]&lt;=40,"Adult",Table1[[#This Row],[Age]]&gt;40,"Senior")</f>
        <v>Adult</v>
      </c>
      <c r="AK1117" t="str" cm="1">
        <f t="array" ref="AK1117">_xlfn.IFS(Table1[[#This Row],[MonthlyIncome]]&lt;5000,"Low",Table1[[#This Row],[MonthlyIncome]]&lt;10000,"Medium",Table1[[#This Row],[MonthlyIncome]]&gt;10000,"High")</f>
        <v>Low</v>
      </c>
      <c r="AL1117" t="str" cm="1">
        <f t="array" ref="AL1117">_xlfn.IFS(Table1[[#This Row],[Attrition]]="Yes","Resigned",Table1[[#This Row],[Attrition]]="No","Active")</f>
        <v>Active</v>
      </c>
      <c r="AM1117" t="str" cm="1">
        <f t="array" ref="AM1117">_xlfn.IFS(Table1[[#This Row],[YearsAtCompany]]&lt;=1,"0-1 Year",Table1[[#This Row],[YearsAtCompany]]&lt;=2,"1-2 Years",Table1[[#This Row],[YearsAtCompany]]&lt;=3,"2-3 Years",Table1[[#This Row],[YearsAtCompany]]&lt;=4,"3-4 Years",Table1[[#This Row],[YearsAtCompany]]&lt;=5,"4-5 Years",Table1[[#This Row],[YearsAtCompany]]&gt;5,"&gt;5 Years")</f>
        <v>0-1 Year</v>
      </c>
    </row>
    <row r="1118" spans="1:39" x14ac:dyDescent="0.45">
      <c r="A1118">
        <v>55</v>
      </c>
      <c r="B1118" t="s">
        <v>43</v>
      </c>
      <c r="C1118" t="s">
        <v>64</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_xlfn.IFS(Table1[[#This Row],[Age]]&lt;30,"Young",Table1[[#This Row],[Age]]&lt;=40,"Adult",Table1[[#This Row],[Age]]&gt;40,"Senior")</f>
        <v>Senior</v>
      </c>
      <c r="AK1118" t="str" cm="1">
        <f t="array" ref="AK1118">_xlfn.IFS(Table1[[#This Row],[MonthlyIncome]]&lt;5000,"Low",Table1[[#This Row],[MonthlyIncome]]&lt;10000,"Medium",Table1[[#This Row],[MonthlyIncome]]&gt;10000,"High")</f>
        <v>High</v>
      </c>
      <c r="AL1118" t="str" cm="1">
        <f t="array" ref="AL1118">_xlfn.IFS(Table1[[#This Row],[Attrition]]="Yes","Resigned",Table1[[#This Row],[Attrition]]="No","Active")</f>
        <v>Active</v>
      </c>
      <c r="AM1118" t="str" cm="1">
        <f t="array" ref="AM1118">_xlfn.IFS(Table1[[#This Row],[YearsAtCompany]]&lt;=1,"0-1 Year",Table1[[#This Row],[YearsAtCompany]]&lt;=2,"1-2 Years",Table1[[#This Row],[YearsAtCompany]]&lt;=3,"2-3 Years",Table1[[#This Row],[YearsAtCompany]]&lt;=4,"3-4 Years",Table1[[#This Row],[YearsAtCompany]]&lt;=5,"4-5 Years",Table1[[#This Row],[YearsAtCompany]]&gt;5,"&gt;5 Years")</f>
        <v>&gt;5 Years</v>
      </c>
    </row>
    <row r="1119" spans="1:39" hidden="1" x14ac:dyDescent="0.45">
      <c r="A1119">
        <v>34</v>
      </c>
      <c r="B1119" t="s">
        <v>43</v>
      </c>
      <c r="C1119" t="s">
        <v>64</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_xlfn.IFS(Table1[[#This Row],[Age]]&lt;30,"Young",Table1[[#This Row],[Age]]&lt;=40,"Adult",Table1[[#This Row],[Age]]&gt;40,"Senior")</f>
        <v>Adult</v>
      </c>
      <c r="AK1119" t="str" cm="1">
        <f t="array" ref="AK1119">_xlfn.IFS(Table1[[#This Row],[MonthlyIncome]]&lt;5000,"Low",Table1[[#This Row],[MonthlyIncome]]&lt;10000,"Medium",Table1[[#This Row],[MonthlyIncome]]&gt;10000,"High")</f>
        <v>Medium</v>
      </c>
      <c r="AL1119" t="str" cm="1">
        <f t="array" ref="AL1119">_xlfn.IFS(Table1[[#This Row],[Attrition]]="Yes","Resigned",Table1[[#This Row],[Attrition]]="No","Active")</f>
        <v>Active</v>
      </c>
      <c r="AM1119" t="str" cm="1">
        <f t="array" ref="AM1119">_xlfn.IFS(Table1[[#This Row],[YearsAtCompany]]&lt;=1,"0-1 Year",Table1[[#This Row],[YearsAtCompany]]&lt;=2,"1-2 Years",Table1[[#This Row],[YearsAtCompany]]&lt;=3,"2-3 Years",Table1[[#This Row],[YearsAtCompany]]&lt;=4,"3-4 Years",Table1[[#This Row],[YearsAtCompany]]&lt;=5,"4-5 Years",Table1[[#This Row],[YearsAtCompany]]&gt;5,"&gt;5 Years")</f>
        <v>1-2 Years</v>
      </c>
    </row>
    <row r="1120" spans="1:39" hidden="1" x14ac:dyDescent="0.45">
      <c r="A1120">
        <v>26</v>
      </c>
      <c r="B1120" t="s">
        <v>43</v>
      </c>
      <c r="C1120" t="s">
        <v>64</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_xlfn.IFS(Table1[[#This Row],[Age]]&lt;30,"Young",Table1[[#This Row],[Age]]&lt;=40,"Adult",Table1[[#This Row],[Age]]&gt;40,"Senior")</f>
        <v>Young</v>
      </c>
      <c r="AK1120" t="str" cm="1">
        <f t="array" ref="AK1120">_xlfn.IFS(Table1[[#This Row],[MonthlyIncome]]&lt;5000,"Low",Table1[[#This Row],[MonthlyIncome]]&lt;10000,"Medium",Table1[[#This Row],[MonthlyIncome]]&gt;10000,"High")</f>
        <v>Low</v>
      </c>
      <c r="AL1120" t="str" cm="1">
        <f t="array" ref="AL1120">_xlfn.IFS(Table1[[#This Row],[Attrition]]="Yes","Resigned",Table1[[#This Row],[Attrition]]="No","Active")</f>
        <v>Active</v>
      </c>
      <c r="AM1120" t="str" cm="1">
        <f t="array" ref="AM1120">_xlfn.IFS(Table1[[#This Row],[YearsAtCompany]]&lt;=1,"0-1 Year",Table1[[#This Row],[YearsAtCompany]]&lt;=2,"1-2 Years",Table1[[#This Row],[YearsAtCompany]]&lt;=3,"2-3 Years",Table1[[#This Row],[YearsAtCompany]]&lt;=4,"3-4 Years",Table1[[#This Row],[YearsAtCompany]]&lt;=5,"4-5 Years",Table1[[#This Row],[YearsAtCompany]]&gt;5,"&gt;5 Years")</f>
        <v>0-1 Year</v>
      </c>
    </row>
    <row r="1121" spans="1:39" x14ac:dyDescent="0.45">
      <c r="A1121">
        <v>38</v>
      </c>
      <c r="B1121" t="s">
        <v>43</v>
      </c>
      <c r="C1121" t="s">
        <v>64</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_xlfn.IFS(Table1[[#This Row],[Age]]&lt;30,"Young",Table1[[#This Row],[Age]]&lt;=40,"Adult",Table1[[#This Row],[Age]]&gt;40,"Senior")</f>
        <v>Adult</v>
      </c>
      <c r="AK1121" t="str" cm="1">
        <f t="array" ref="AK1121">_xlfn.IFS(Table1[[#This Row],[MonthlyIncome]]&lt;5000,"Low",Table1[[#This Row],[MonthlyIncome]]&lt;10000,"Medium",Table1[[#This Row],[MonthlyIncome]]&gt;10000,"High")</f>
        <v>Medium</v>
      </c>
      <c r="AL1121" t="str" cm="1">
        <f t="array" ref="AL1121">_xlfn.IFS(Table1[[#This Row],[Attrition]]="Yes","Resigned",Table1[[#This Row],[Attrition]]="No","Active")</f>
        <v>Active</v>
      </c>
      <c r="AM1121" t="str" cm="1">
        <f t="array" ref="AM1121">_xlfn.IFS(Table1[[#This Row],[YearsAtCompany]]&lt;=1,"0-1 Year",Table1[[#This Row],[YearsAtCompany]]&lt;=2,"1-2 Years",Table1[[#This Row],[YearsAtCompany]]&lt;=3,"2-3 Years",Table1[[#This Row],[YearsAtCompany]]&lt;=4,"3-4 Years",Table1[[#This Row],[YearsAtCompany]]&lt;=5,"4-5 Years",Table1[[#This Row],[YearsAtCompany]]&gt;5,"&gt;5 Years")</f>
        <v>&gt;5 Years</v>
      </c>
    </row>
    <row r="1122" spans="1:39" x14ac:dyDescent="0.45">
      <c r="A1122">
        <v>38</v>
      </c>
      <c r="B1122" t="s">
        <v>43</v>
      </c>
      <c r="C1122" t="s">
        <v>64</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_xlfn.IFS(Table1[[#This Row],[Age]]&lt;30,"Young",Table1[[#This Row],[Age]]&lt;=40,"Adult",Table1[[#This Row],[Age]]&gt;40,"Senior")</f>
        <v>Adult</v>
      </c>
      <c r="AK1122" t="str" cm="1">
        <f t="array" ref="AK1122">_xlfn.IFS(Table1[[#This Row],[MonthlyIncome]]&lt;5000,"Low",Table1[[#This Row],[MonthlyIncome]]&lt;10000,"Medium",Table1[[#This Row],[MonthlyIncome]]&gt;10000,"High")</f>
        <v>Low</v>
      </c>
      <c r="AL1122" t="str" cm="1">
        <f t="array" ref="AL1122">_xlfn.IFS(Table1[[#This Row],[Attrition]]="Yes","Resigned",Table1[[#This Row],[Attrition]]="No","Active")</f>
        <v>Active</v>
      </c>
      <c r="AM1122" t="str" cm="1">
        <f t="array" ref="AM1122">_xlfn.IFS(Table1[[#This Row],[YearsAtCompany]]&lt;=1,"0-1 Year",Table1[[#This Row],[YearsAtCompany]]&lt;=2,"1-2 Years",Table1[[#This Row],[YearsAtCompany]]&lt;=3,"2-3 Years",Table1[[#This Row],[YearsAtCompany]]&lt;=4,"3-4 Years",Table1[[#This Row],[YearsAtCompany]]&lt;=5,"4-5 Years",Table1[[#This Row],[YearsAtCompany]]&gt;5,"&gt;5 Years")</f>
        <v>2-3 Years</v>
      </c>
    </row>
    <row r="1123" spans="1:39" x14ac:dyDescent="0.45">
      <c r="A1123">
        <v>36</v>
      </c>
      <c r="B1123" t="s">
        <v>43</v>
      </c>
      <c r="C1123" t="s">
        <v>64</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_xlfn.IFS(Table1[[#This Row],[Age]]&lt;30,"Young",Table1[[#This Row],[Age]]&lt;=40,"Adult",Table1[[#This Row],[Age]]&gt;40,"Senior")</f>
        <v>Adult</v>
      </c>
      <c r="AK1123" t="str" cm="1">
        <f t="array" ref="AK1123">_xlfn.IFS(Table1[[#This Row],[MonthlyIncome]]&lt;5000,"Low",Table1[[#This Row],[MonthlyIncome]]&lt;10000,"Medium",Table1[[#This Row],[MonthlyIncome]]&gt;10000,"High")</f>
        <v>Medium</v>
      </c>
      <c r="AL1123" t="str" cm="1">
        <f t="array" ref="AL1123">_xlfn.IFS(Table1[[#This Row],[Attrition]]="Yes","Resigned",Table1[[#This Row],[Attrition]]="No","Active")</f>
        <v>Active</v>
      </c>
      <c r="AM1123" t="str" cm="1">
        <f t="array" ref="AM1123">_xlfn.IFS(Table1[[#This Row],[YearsAtCompany]]&lt;=1,"0-1 Year",Table1[[#This Row],[YearsAtCompany]]&lt;=2,"1-2 Years",Table1[[#This Row],[YearsAtCompany]]&lt;=3,"2-3 Years",Table1[[#This Row],[YearsAtCompany]]&lt;=4,"3-4 Years",Table1[[#This Row],[YearsAtCompany]]&lt;=5,"4-5 Years",Table1[[#This Row],[YearsAtCompany]]&gt;5,"&gt;5 Years")</f>
        <v>0-1 Year</v>
      </c>
    </row>
    <row r="1124" spans="1:39" hidden="1" x14ac:dyDescent="0.45">
      <c r="A1124">
        <v>29</v>
      </c>
      <c r="B1124" t="s">
        <v>43</v>
      </c>
      <c r="C1124" t="s">
        <v>64</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_xlfn.IFS(Table1[[#This Row],[Age]]&lt;30,"Young",Table1[[#This Row],[Age]]&lt;=40,"Adult",Table1[[#This Row],[Age]]&gt;40,"Senior")</f>
        <v>Young</v>
      </c>
      <c r="AK1124" t="str" cm="1">
        <f t="array" ref="AK1124">_xlfn.IFS(Table1[[#This Row],[MonthlyIncome]]&lt;5000,"Low",Table1[[#This Row],[MonthlyIncome]]&lt;10000,"Medium",Table1[[#This Row],[MonthlyIncome]]&gt;10000,"High")</f>
        <v>Low</v>
      </c>
      <c r="AL1124" t="str" cm="1">
        <f t="array" ref="AL1124">_xlfn.IFS(Table1[[#This Row],[Attrition]]="Yes","Resigned",Table1[[#This Row],[Attrition]]="No","Active")</f>
        <v>Active</v>
      </c>
      <c r="AM1124" t="str" cm="1">
        <f t="array" ref="AM1124">_xlfn.IFS(Table1[[#This Row],[YearsAtCompany]]&lt;=1,"0-1 Year",Table1[[#This Row],[YearsAtCompany]]&lt;=2,"1-2 Years",Table1[[#This Row],[YearsAtCompany]]&lt;=3,"2-3 Years",Table1[[#This Row],[YearsAtCompany]]&lt;=4,"3-4 Years",Table1[[#This Row],[YearsAtCompany]]&lt;=5,"4-5 Years",Table1[[#This Row],[YearsAtCompany]]&gt;5,"&gt;5 Years")</f>
        <v>&gt;5 Years</v>
      </c>
    </row>
    <row r="1125" spans="1:39" hidden="1" x14ac:dyDescent="0.45">
      <c r="A1125">
        <v>35</v>
      </c>
      <c r="B1125" t="s">
        <v>43</v>
      </c>
      <c r="C1125" t="s">
        <v>64</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_xlfn.IFS(Table1[[#This Row],[Age]]&lt;30,"Young",Table1[[#This Row],[Age]]&lt;=40,"Adult",Table1[[#This Row],[Age]]&gt;40,"Senior")</f>
        <v>Adult</v>
      </c>
      <c r="AK1125" t="str" cm="1">
        <f t="array" ref="AK1125">_xlfn.IFS(Table1[[#This Row],[MonthlyIncome]]&lt;5000,"Low",Table1[[#This Row],[MonthlyIncome]]&lt;10000,"Medium",Table1[[#This Row],[MonthlyIncome]]&gt;10000,"High")</f>
        <v>Medium</v>
      </c>
      <c r="AL1125" t="str" cm="1">
        <f t="array" ref="AL1125">_xlfn.IFS(Table1[[#This Row],[Attrition]]="Yes","Resigned",Table1[[#This Row],[Attrition]]="No","Active")</f>
        <v>Active</v>
      </c>
      <c r="AM1125" t="str" cm="1">
        <f t="array" ref="AM1125">_xlfn.IFS(Table1[[#This Row],[YearsAtCompany]]&lt;=1,"0-1 Year",Table1[[#This Row],[YearsAtCompany]]&lt;=2,"1-2 Years",Table1[[#This Row],[YearsAtCompany]]&lt;=3,"2-3 Years",Table1[[#This Row],[YearsAtCompany]]&lt;=4,"3-4 Years",Table1[[#This Row],[YearsAtCompany]]&lt;=5,"4-5 Years",Table1[[#This Row],[YearsAtCompany]]&gt;5,"&gt;5 Years")</f>
        <v>4-5 Years</v>
      </c>
    </row>
    <row r="1126" spans="1:39" x14ac:dyDescent="0.45">
      <c r="A1126">
        <v>39</v>
      </c>
      <c r="B1126" t="s">
        <v>43</v>
      </c>
      <c r="C1126" t="s">
        <v>64</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_xlfn.IFS(Table1[[#This Row],[Age]]&lt;30,"Young",Table1[[#This Row],[Age]]&lt;=40,"Adult",Table1[[#This Row],[Age]]&gt;40,"Senior")</f>
        <v>Adult</v>
      </c>
      <c r="AK1126" t="str" cm="1">
        <f t="array" ref="AK1126">_xlfn.IFS(Table1[[#This Row],[MonthlyIncome]]&lt;5000,"Low",Table1[[#This Row],[MonthlyIncome]]&lt;10000,"Medium",Table1[[#This Row],[MonthlyIncome]]&gt;10000,"High")</f>
        <v>Medium</v>
      </c>
      <c r="AL1126" t="str" cm="1">
        <f t="array" ref="AL1126">_xlfn.IFS(Table1[[#This Row],[Attrition]]="Yes","Resigned",Table1[[#This Row],[Attrition]]="No","Active")</f>
        <v>Active</v>
      </c>
      <c r="AM1126" t="str" cm="1">
        <f t="array" ref="AM1126">_xlfn.IFS(Table1[[#This Row],[YearsAtCompany]]&lt;=1,"0-1 Year",Table1[[#This Row],[YearsAtCompany]]&lt;=2,"1-2 Years",Table1[[#This Row],[YearsAtCompany]]&lt;=3,"2-3 Years",Table1[[#This Row],[YearsAtCompany]]&lt;=4,"3-4 Years",Table1[[#This Row],[YearsAtCompany]]&lt;=5,"4-5 Years",Table1[[#This Row],[YearsAtCompany]]&gt;5,"&gt;5 Years")</f>
        <v>&gt;5 Years</v>
      </c>
    </row>
    <row r="1127" spans="1:39" hidden="1" x14ac:dyDescent="0.45">
      <c r="A1127">
        <v>29</v>
      </c>
      <c r="B1127" t="s">
        <v>43</v>
      </c>
      <c r="C1127" t="s">
        <v>63</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_xlfn.IFS(Table1[[#This Row],[Age]]&lt;30,"Young",Table1[[#This Row],[Age]]&lt;=40,"Adult",Table1[[#This Row],[Age]]&gt;40,"Senior")</f>
        <v>Young</v>
      </c>
      <c r="AK1127" t="str" cm="1">
        <f t="array" ref="AK1127">_xlfn.IFS(Table1[[#This Row],[MonthlyIncome]]&lt;5000,"Low",Table1[[#This Row],[MonthlyIncome]]&lt;10000,"Medium",Table1[[#This Row],[MonthlyIncome]]&gt;10000,"High")</f>
        <v>Medium</v>
      </c>
      <c r="AL1127" t="str" cm="1">
        <f t="array" ref="AL1127">_xlfn.IFS(Table1[[#This Row],[Attrition]]="Yes","Resigned",Table1[[#This Row],[Attrition]]="No","Active")</f>
        <v>Active</v>
      </c>
      <c r="AM1127" t="str" cm="1">
        <f t="array" ref="AM1127">_xlfn.IFS(Table1[[#This Row],[YearsAtCompany]]&lt;=1,"0-1 Year",Table1[[#This Row],[YearsAtCompany]]&lt;=2,"1-2 Years",Table1[[#This Row],[YearsAtCompany]]&lt;=3,"2-3 Years",Table1[[#This Row],[YearsAtCompany]]&lt;=4,"3-4 Years",Table1[[#This Row],[YearsAtCompany]]&lt;=5,"4-5 Years",Table1[[#This Row],[YearsAtCompany]]&gt;5,"&gt;5 Years")</f>
        <v>&gt;5 Years</v>
      </c>
    </row>
    <row r="1128" spans="1:39" x14ac:dyDescent="0.45">
      <c r="A1128">
        <v>50</v>
      </c>
      <c r="B1128" t="s">
        <v>43</v>
      </c>
      <c r="C1128" t="s">
        <v>64</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_xlfn.IFS(Table1[[#This Row],[Age]]&lt;30,"Young",Table1[[#This Row],[Age]]&lt;=40,"Adult",Table1[[#This Row],[Age]]&gt;40,"Senior")</f>
        <v>Senior</v>
      </c>
      <c r="AK1128" t="str" cm="1">
        <f t="array" ref="AK1128">_xlfn.IFS(Table1[[#This Row],[MonthlyIncome]]&lt;5000,"Low",Table1[[#This Row],[MonthlyIncome]]&lt;10000,"Medium",Table1[[#This Row],[MonthlyIncome]]&gt;10000,"High")</f>
        <v>High</v>
      </c>
      <c r="AL1128" t="str" cm="1">
        <f t="array" ref="AL1128">_xlfn.IFS(Table1[[#This Row],[Attrition]]="Yes","Resigned",Table1[[#This Row],[Attrition]]="No","Active")</f>
        <v>Active</v>
      </c>
      <c r="AM1128" t="str" cm="1">
        <f t="array" ref="AM1128">_xlfn.IFS(Table1[[#This Row],[YearsAtCompany]]&lt;=1,"0-1 Year",Table1[[#This Row],[YearsAtCompany]]&lt;=2,"1-2 Years",Table1[[#This Row],[YearsAtCompany]]&lt;=3,"2-3 Years",Table1[[#This Row],[YearsAtCompany]]&lt;=4,"3-4 Years",Table1[[#This Row],[YearsAtCompany]]&lt;=5,"4-5 Years",Table1[[#This Row],[YearsAtCompany]]&gt;5,"&gt;5 Years")</f>
        <v>0-1 Year</v>
      </c>
    </row>
    <row r="1129" spans="1:39" hidden="1" x14ac:dyDescent="0.45">
      <c r="A1129">
        <v>23</v>
      </c>
      <c r="B1129" t="s">
        <v>43</v>
      </c>
      <c r="C1129" t="s">
        <v>64</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_xlfn.IFS(Table1[[#This Row],[Age]]&lt;30,"Young",Table1[[#This Row],[Age]]&lt;=40,"Adult",Table1[[#This Row],[Age]]&gt;40,"Senior")</f>
        <v>Young</v>
      </c>
      <c r="AK1129" t="str" cm="1">
        <f t="array" ref="AK1129">_xlfn.IFS(Table1[[#This Row],[MonthlyIncome]]&lt;5000,"Low",Table1[[#This Row],[MonthlyIncome]]&lt;10000,"Medium",Table1[[#This Row],[MonthlyIncome]]&gt;10000,"High")</f>
        <v>Low</v>
      </c>
      <c r="AL1129" t="str" cm="1">
        <f t="array" ref="AL1129">_xlfn.IFS(Table1[[#This Row],[Attrition]]="Yes","Resigned",Table1[[#This Row],[Attrition]]="No","Active")</f>
        <v>Active</v>
      </c>
      <c r="AM1129" t="str" cm="1">
        <f t="array" ref="AM1129">_xlfn.IFS(Table1[[#This Row],[YearsAtCompany]]&lt;=1,"0-1 Year",Table1[[#This Row],[YearsAtCompany]]&lt;=2,"1-2 Years",Table1[[#This Row],[YearsAtCompany]]&lt;=3,"2-3 Years",Table1[[#This Row],[YearsAtCompany]]&lt;=4,"3-4 Years",Table1[[#This Row],[YearsAtCompany]]&lt;=5,"4-5 Years",Table1[[#This Row],[YearsAtCompany]]&gt;5,"&gt;5 Years")</f>
        <v>1-2 Years</v>
      </c>
    </row>
    <row r="1130" spans="1:39" hidden="1" x14ac:dyDescent="0.45">
      <c r="A1130">
        <v>36</v>
      </c>
      <c r="B1130" t="s">
        <v>43</v>
      </c>
      <c r="C1130" t="s">
        <v>63</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_xlfn.IFS(Table1[[#This Row],[Age]]&lt;30,"Young",Table1[[#This Row],[Age]]&lt;=40,"Adult",Table1[[#This Row],[Age]]&gt;40,"Senior")</f>
        <v>Adult</v>
      </c>
      <c r="AK1130" t="str" cm="1">
        <f t="array" ref="AK1130">_xlfn.IFS(Table1[[#This Row],[MonthlyIncome]]&lt;5000,"Low",Table1[[#This Row],[MonthlyIncome]]&lt;10000,"Medium",Table1[[#This Row],[MonthlyIncome]]&gt;10000,"High")</f>
        <v>Medium</v>
      </c>
      <c r="AL1130" t="str" cm="1">
        <f t="array" ref="AL1130">_xlfn.IFS(Table1[[#This Row],[Attrition]]="Yes","Resigned",Table1[[#This Row],[Attrition]]="No","Active")</f>
        <v>Active</v>
      </c>
      <c r="AM1130" t="str" cm="1">
        <f t="array" ref="AM1130">_xlfn.IFS(Table1[[#This Row],[YearsAtCompany]]&lt;=1,"0-1 Year",Table1[[#This Row],[YearsAtCompany]]&lt;=2,"1-2 Years",Table1[[#This Row],[YearsAtCompany]]&lt;=3,"2-3 Years",Table1[[#This Row],[YearsAtCompany]]&lt;=4,"3-4 Years",Table1[[#This Row],[YearsAtCompany]]&lt;=5,"4-5 Years",Table1[[#This Row],[YearsAtCompany]]&gt;5,"&gt;5 Years")</f>
        <v>2-3 Years</v>
      </c>
    </row>
    <row r="1131" spans="1:39" hidden="1" x14ac:dyDescent="0.45">
      <c r="A1131">
        <v>42</v>
      </c>
      <c r="B1131" t="s">
        <v>43</v>
      </c>
      <c r="C1131" t="s">
        <v>64</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_xlfn.IFS(Table1[[#This Row],[Age]]&lt;30,"Young",Table1[[#This Row],[Age]]&lt;=40,"Adult",Table1[[#This Row],[Age]]&gt;40,"Senior")</f>
        <v>Senior</v>
      </c>
      <c r="AK1131" t="str" cm="1">
        <f t="array" ref="AK1131">_xlfn.IFS(Table1[[#This Row],[MonthlyIncome]]&lt;5000,"Low",Table1[[#This Row],[MonthlyIncome]]&lt;10000,"Medium",Table1[[#This Row],[MonthlyIncome]]&gt;10000,"High")</f>
        <v>High</v>
      </c>
      <c r="AL1131" t="str" cm="1">
        <f t="array" ref="AL1131">_xlfn.IFS(Table1[[#This Row],[Attrition]]="Yes","Resigned",Table1[[#This Row],[Attrition]]="No","Active")</f>
        <v>Active</v>
      </c>
      <c r="AM1131" t="str" cm="1">
        <f t="array" ref="AM1131">_xlfn.IFS(Table1[[#This Row],[YearsAtCompany]]&lt;=1,"0-1 Year",Table1[[#This Row],[YearsAtCompany]]&lt;=2,"1-2 Years",Table1[[#This Row],[YearsAtCompany]]&lt;=3,"2-3 Years",Table1[[#This Row],[YearsAtCompany]]&lt;=4,"3-4 Years",Table1[[#This Row],[YearsAtCompany]]&lt;=5,"4-5 Years",Table1[[#This Row],[YearsAtCompany]]&gt;5,"&gt;5 Years")</f>
        <v>0-1 Year</v>
      </c>
    </row>
    <row r="1132" spans="1:39" hidden="1" x14ac:dyDescent="0.45">
      <c r="A1132">
        <v>35</v>
      </c>
      <c r="B1132" t="s">
        <v>43</v>
      </c>
      <c r="C1132" t="s">
        <v>64</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_xlfn.IFS(Table1[[#This Row],[Age]]&lt;30,"Young",Table1[[#This Row],[Age]]&lt;=40,"Adult",Table1[[#This Row],[Age]]&gt;40,"Senior")</f>
        <v>Adult</v>
      </c>
      <c r="AK1132" t="str" cm="1">
        <f t="array" ref="AK1132">_xlfn.IFS(Table1[[#This Row],[MonthlyIncome]]&lt;5000,"Low",Table1[[#This Row],[MonthlyIncome]]&lt;10000,"Medium",Table1[[#This Row],[MonthlyIncome]]&gt;10000,"High")</f>
        <v>Low</v>
      </c>
      <c r="AL1132" t="str" cm="1">
        <f t="array" ref="AL1132">_xlfn.IFS(Table1[[#This Row],[Attrition]]="Yes","Resigned",Table1[[#This Row],[Attrition]]="No","Active")</f>
        <v>Active</v>
      </c>
      <c r="AM1132" t="str" cm="1">
        <f t="array" ref="AM1132">_xlfn.IFS(Table1[[#This Row],[YearsAtCompany]]&lt;=1,"0-1 Year",Table1[[#This Row],[YearsAtCompany]]&lt;=2,"1-2 Years",Table1[[#This Row],[YearsAtCompany]]&lt;=3,"2-3 Years",Table1[[#This Row],[YearsAtCompany]]&lt;=4,"3-4 Years",Table1[[#This Row],[YearsAtCompany]]&lt;=5,"4-5 Years",Table1[[#This Row],[YearsAtCompany]]&gt;5,"&gt;5 Years")</f>
        <v>&gt;5 Years</v>
      </c>
    </row>
    <row r="1133" spans="1:39" hidden="1" x14ac:dyDescent="0.45">
      <c r="A1133">
        <v>34</v>
      </c>
      <c r="B1133" t="s">
        <v>43</v>
      </c>
      <c r="C1133" t="s">
        <v>63</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_xlfn.IFS(Table1[[#This Row],[Age]]&lt;30,"Young",Table1[[#This Row],[Age]]&lt;=40,"Adult",Table1[[#This Row],[Age]]&gt;40,"Senior")</f>
        <v>Adult</v>
      </c>
      <c r="AK1133" t="str" cm="1">
        <f t="array" ref="AK1133">_xlfn.IFS(Table1[[#This Row],[MonthlyIncome]]&lt;5000,"Low",Table1[[#This Row],[MonthlyIncome]]&lt;10000,"Medium",Table1[[#This Row],[MonthlyIncome]]&gt;10000,"High")</f>
        <v>Medium</v>
      </c>
      <c r="AL1133" t="str" cm="1">
        <f t="array" ref="AL1133">_xlfn.IFS(Table1[[#This Row],[Attrition]]="Yes","Resigned",Table1[[#This Row],[Attrition]]="No","Active")</f>
        <v>Active</v>
      </c>
      <c r="AM1133" t="str" cm="1">
        <f t="array" ref="AM1133">_xlfn.IFS(Table1[[#This Row],[YearsAtCompany]]&lt;=1,"0-1 Year",Table1[[#This Row],[YearsAtCompany]]&lt;=2,"1-2 Years",Table1[[#This Row],[YearsAtCompany]]&lt;=3,"2-3 Years",Table1[[#This Row],[YearsAtCompany]]&lt;=4,"3-4 Years",Table1[[#This Row],[YearsAtCompany]]&lt;=5,"4-5 Years",Table1[[#This Row],[YearsAtCompany]]&gt;5,"&gt;5 Years")</f>
        <v>&gt;5 Years</v>
      </c>
    </row>
    <row r="1134" spans="1:39" x14ac:dyDescent="0.45">
      <c r="A1134">
        <v>40</v>
      </c>
      <c r="B1134" t="s">
        <v>43</v>
      </c>
      <c r="C1134" t="s">
        <v>64</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_xlfn.IFS(Table1[[#This Row],[Age]]&lt;30,"Young",Table1[[#This Row],[Age]]&lt;=40,"Adult",Table1[[#This Row],[Age]]&gt;40,"Senior")</f>
        <v>Adult</v>
      </c>
      <c r="AK1134" t="str" cm="1">
        <f t="array" ref="AK1134">_xlfn.IFS(Table1[[#This Row],[MonthlyIncome]]&lt;5000,"Low",Table1[[#This Row],[MonthlyIncome]]&lt;10000,"Medium",Table1[[#This Row],[MonthlyIncome]]&gt;10000,"High")</f>
        <v>Low</v>
      </c>
      <c r="AL1134" t="str" cm="1">
        <f t="array" ref="AL1134">_xlfn.IFS(Table1[[#This Row],[Attrition]]="Yes","Resigned",Table1[[#This Row],[Attrition]]="No","Active")</f>
        <v>Active</v>
      </c>
      <c r="AM1134" t="str" cm="1">
        <f t="array" ref="AM1134">_xlfn.IFS(Table1[[#This Row],[YearsAtCompany]]&lt;=1,"0-1 Year",Table1[[#This Row],[YearsAtCompany]]&lt;=2,"1-2 Years",Table1[[#This Row],[YearsAtCompany]]&lt;=3,"2-3 Years",Table1[[#This Row],[YearsAtCompany]]&lt;=4,"3-4 Years",Table1[[#This Row],[YearsAtCompany]]&lt;=5,"4-5 Years",Table1[[#This Row],[YearsAtCompany]]&gt;5,"&gt;5 Years")</f>
        <v>4-5 Years</v>
      </c>
    </row>
    <row r="1135" spans="1:39" hidden="1" x14ac:dyDescent="0.45">
      <c r="A1135">
        <v>43</v>
      </c>
      <c r="B1135" t="s">
        <v>43</v>
      </c>
      <c r="C1135" t="s">
        <v>64</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_xlfn.IFS(Table1[[#This Row],[Age]]&lt;30,"Young",Table1[[#This Row],[Age]]&lt;=40,"Adult",Table1[[#This Row],[Age]]&gt;40,"Senior")</f>
        <v>Senior</v>
      </c>
      <c r="AK1135" t="str" cm="1">
        <f t="array" ref="AK1135">_xlfn.IFS(Table1[[#This Row],[MonthlyIncome]]&lt;5000,"Low",Table1[[#This Row],[MonthlyIncome]]&lt;10000,"Medium",Table1[[#This Row],[MonthlyIncome]]&gt;10000,"High")</f>
        <v>Low</v>
      </c>
      <c r="AL1135" t="str" cm="1">
        <f t="array" ref="AL1135">_xlfn.IFS(Table1[[#This Row],[Attrition]]="Yes","Resigned",Table1[[#This Row],[Attrition]]="No","Active")</f>
        <v>Active</v>
      </c>
      <c r="AM1135" t="str" cm="1">
        <f t="array" ref="AM1135">_xlfn.IFS(Table1[[#This Row],[YearsAtCompany]]&lt;=1,"0-1 Year",Table1[[#This Row],[YearsAtCompany]]&lt;=2,"1-2 Years",Table1[[#This Row],[YearsAtCompany]]&lt;=3,"2-3 Years",Table1[[#This Row],[YearsAtCompany]]&lt;=4,"3-4 Years",Table1[[#This Row],[YearsAtCompany]]&lt;=5,"4-5 Years",Table1[[#This Row],[YearsAtCompany]]&gt;5,"&gt;5 Years")</f>
        <v>&gt;5 Years</v>
      </c>
    </row>
    <row r="1136" spans="1:39" hidden="1" x14ac:dyDescent="0.45">
      <c r="A1136">
        <v>35</v>
      </c>
      <c r="B1136" t="s">
        <v>43</v>
      </c>
      <c r="C1136" t="s">
        <v>64</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_xlfn.IFS(Table1[[#This Row],[Age]]&lt;30,"Young",Table1[[#This Row],[Age]]&lt;=40,"Adult",Table1[[#This Row],[Age]]&gt;40,"Senior")</f>
        <v>Adult</v>
      </c>
      <c r="AK1136" t="str" cm="1">
        <f t="array" ref="AK1136">_xlfn.IFS(Table1[[#This Row],[MonthlyIncome]]&lt;5000,"Low",Table1[[#This Row],[MonthlyIncome]]&lt;10000,"Medium",Table1[[#This Row],[MonthlyIncome]]&gt;10000,"High")</f>
        <v>Low</v>
      </c>
      <c r="AL1136" t="str" cm="1">
        <f t="array" ref="AL1136">_xlfn.IFS(Table1[[#This Row],[Attrition]]="Yes","Resigned",Table1[[#This Row],[Attrition]]="No","Active")</f>
        <v>Active</v>
      </c>
      <c r="AM1136" t="str" cm="1">
        <f t="array" ref="AM1136">_xlfn.IFS(Table1[[#This Row],[YearsAtCompany]]&lt;=1,"0-1 Year",Table1[[#This Row],[YearsAtCompany]]&lt;=2,"1-2 Years",Table1[[#This Row],[YearsAtCompany]]&lt;=3,"2-3 Years",Table1[[#This Row],[YearsAtCompany]]&lt;=4,"3-4 Years",Table1[[#This Row],[YearsAtCompany]]&lt;=5,"4-5 Years",Table1[[#This Row],[YearsAtCompany]]&gt;5,"&gt;5 Years")</f>
        <v>0-1 Year</v>
      </c>
    </row>
    <row r="1137" spans="1:39" x14ac:dyDescent="0.45">
      <c r="A1137">
        <v>46</v>
      </c>
      <c r="B1137" t="s">
        <v>43</v>
      </c>
      <c r="C1137" t="s">
        <v>64</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_xlfn.IFS(Table1[[#This Row],[Age]]&lt;30,"Young",Table1[[#This Row],[Age]]&lt;=40,"Adult",Table1[[#This Row],[Age]]&gt;40,"Senior")</f>
        <v>Senior</v>
      </c>
      <c r="AK1137" t="str" cm="1">
        <f t="array" ref="AK1137">_xlfn.IFS(Table1[[#This Row],[MonthlyIncome]]&lt;5000,"Low",Table1[[#This Row],[MonthlyIncome]]&lt;10000,"Medium",Table1[[#This Row],[MonthlyIncome]]&gt;10000,"High")</f>
        <v>High</v>
      </c>
      <c r="AL1137" t="str" cm="1">
        <f t="array" ref="AL1137">_xlfn.IFS(Table1[[#This Row],[Attrition]]="Yes","Resigned",Table1[[#This Row],[Attrition]]="No","Active")</f>
        <v>Active</v>
      </c>
      <c r="AM1137" t="str" cm="1">
        <f t="array" ref="AM1137">_xlfn.IFS(Table1[[#This Row],[YearsAtCompany]]&lt;=1,"0-1 Year",Table1[[#This Row],[YearsAtCompany]]&lt;=2,"1-2 Years",Table1[[#This Row],[YearsAtCompany]]&lt;=3,"2-3 Years",Table1[[#This Row],[YearsAtCompany]]&lt;=4,"3-4 Years",Table1[[#This Row],[YearsAtCompany]]&lt;=5,"4-5 Years",Table1[[#This Row],[YearsAtCompany]]&gt;5,"&gt;5 Years")</f>
        <v>&gt;5 Years</v>
      </c>
    </row>
    <row r="1138" spans="1:39" hidden="1" x14ac:dyDescent="0.45">
      <c r="A1138">
        <v>28</v>
      </c>
      <c r="B1138" t="s">
        <v>35</v>
      </c>
      <c r="C1138" t="s">
        <v>64</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_xlfn.IFS(Table1[[#This Row],[Age]]&lt;30,"Young",Table1[[#This Row],[Age]]&lt;=40,"Adult",Table1[[#This Row],[Age]]&gt;40,"Senior")</f>
        <v>Young</v>
      </c>
      <c r="AK1138" t="str" cm="1">
        <f t="array" ref="AK1138">_xlfn.IFS(Table1[[#This Row],[MonthlyIncome]]&lt;5000,"Low",Table1[[#This Row],[MonthlyIncome]]&lt;10000,"Medium",Table1[[#This Row],[MonthlyIncome]]&gt;10000,"High")</f>
        <v>Low</v>
      </c>
      <c r="AL1138" t="str" cm="1">
        <f t="array" ref="AL1138">_xlfn.IFS(Table1[[#This Row],[Attrition]]="Yes","Resigned",Table1[[#This Row],[Attrition]]="No","Active")</f>
        <v>Resigned</v>
      </c>
      <c r="AM1138" t="str" cm="1">
        <f t="array" ref="AM1138">_xlfn.IFS(Table1[[#This Row],[YearsAtCompany]]&lt;=1,"0-1 Year",Table1[[#This Row],[YearsAtCompany]]&lt;=2,"1-2 Years",Table1[[#This Row],[YearsAtCompany]]&lt;=3,"2-3 Years",Table1[[#This Row],[YearsAtCompany]]&lt;=4,"3-4 Years",Table1[[#This Row],[YearsAtCompany]]&lt;=5,"4-5 Years",Table1[[#This Row],[YearsAtCompany]]&gt;5,"&gt;5 Years")</f>
        <v>0-1 Year</v>
      </c>
    </row>
    <row r="1139" spans="1:39" hidden="1" x14ac:dyDescent="0.45">
      <c r="A1139">
        <v>22</v>
      </c>
      <c r="B1139" t="s">
        <v>43</v>
      </c>
      <c r="C1139" t="s">
        <v>62</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_xlfn.IFS(Table1[[#This Row],[Age]]&lt;30,"Young",Table1[[#This Row],[Age]]&lt;=40,"Adult",Table1[[#This Row],[Age]]&gt;40,"Senior")</f>
        <v>Young</v>
      </c>
      <c r="AK1139" t="str" cm="1">
        <f t="array" ref="AK1139">_xlfn.IFS(Table1[[#This Row],[MonthlyIncome]]&lt;5000,"Low",Table1[[#This Row],[MonthlyIncome]]&lt;10000,"Medium",Table1[[#This Row],[MonthlyIncome]]&gt;10000,"High")</f>
        <v>Low</v>
      </c>
      <c r="AL1139" t="str" cm="1">
        <f t="array" ref="AL1139">_xlfn.IFS(Table1[[#This Row],[Attrition]]="Yes","Resigned",Table1[[#This Row],[Attrition]]="No","Active")</f>
        <v>Active</v>
      </c>
      <c r="AM1139" t="str" cm="1">
        <f t="array" ref="AM1139">_xlfn.IFS(Table1[[#This Row],[YearsAtCompany]]&lt;=1,"0-1 Year",Table1[[#This Row],[YearsAtCompany]]&lt;=2,"1-2 Years",Table1[[#This Row],[YearsAtCompany]]&lt;=3,"2-3 Years",Table1[[#This Row],[YearsAtCompany]]&lt;=4,"3-4 Years",Table1[[#This Row],[YearsAtCompany]]&lt;=5,"4-5 Years",Table1[[#This Row],[YearsAtCompany]]&gt;5,"&gt;5 Years")</f>
        <v>3-4 Years</v>
      </c>
    </row>
    <row r="1140" spans="1:39" hidden="1" x14ac:dyDescent="0.45">
      <c r="A1140">
        <v>50</v>
      </c>
      <c r="B1140" t="s">
        <v>43</v>
      </c>
      <c r="C1140" t="s">
        <v>63</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_xlfn.IFS(Table1[[#This Row],[Age]]&lt;30,"Young",Table1[[#This Row],[Age]]&lt;=40,"Adult",Table1[[#This Row],[Age]]&gt;40,"Senior")</f>
        <v>Senior</v>
      </c>
      <c r="AK1140" t="str" cm="1">
        <f t="array" ref="AK1140">_xlfn.IFS(Table1[[#This Row],[MonthlyIncome]]&lt;5000,"Low",Table1[[#This Row],[MonthlyIncome]]&lt;10000,"Medium",Table1[[#This Row],[MonthlyIncome]]&gt;10000,"High")</f>
        <v>High</v>
      </c>
      <c r="AL1140" t="str" cm="1">
        <f t="array" ref="AL1140">_xlfn.IFS(Table1[[#This Row],[Attrition]]="Yes","Resigned",Table1[[#This Row],[Attrition]]="No","Active")</f>
        <v>Active</v>
      </c>
      <c r="AM1140" t="str" cm="1">
        <f t="array" ref="AM1140">_xlfn.IFS(Table1[[#This Row],[YearsAtCompany]]&lt;=1,"0-1 Year",Table1[[#This Row],[YearsAtCompany]]&lt;=2,"1-2 Years",Table1[[#This Row],[YearsAtCompany]]&lt;=3,"2-3 Years",Table1[[#This Row],[YearsAtCompany]]&lt;=4,"3-4 Years",Table1[[#This Row],[YearsAtCompany]]&lt;=5,"4-5 Years",Table1[[#This Row],[YearsAtCompany]]&gt;5,"&gt;5 Years")</f>
        <v>&gt;5 Years</v>
      </c>
    </row>
    <row r="1141" spans="1:39" hidden="1" x14ac:dyDescent="0.45">
      <c r="A1141">
        <v>32</v>
      </c>
      <c r="B1141" t="s">
        <v>43</v>
      </c>
      <c r="C1141" t="s">
        <v>64</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_xlfn.IFS(Table1[[#This Row],[Age]]&lt;30,"Young",Table1[[#This Row],[Age]]&lt;=40,"Adult",Table1[[#This Row],[Age]]&gt;40,"Senior")</f>
        <v>Adult</v>
      </c>
      <c r="AK1141" t="str" cm="1">
        <f t="array" ref="AK1141">_xlfn.IFS(Table1[[#This Row],[MonthlyIncome]]&lt;5000,"Low",Table1[[#This Row],[MonthlyIncome]]&lt;10000,"Medium",Table1[[#This Row],[MonthlyIncome]]&gt;10000,"High")</f>
        <v>Low</v>
      </c>
      <c r="AL1141" t="str" cm="1">
        <f t="array" ref="AL1141">_xlfn.IFS(Table1[[#This Row],[Attrition]]="Yes","Resigned",Table1[[#This Row],[Attrition]]="No","Active")</f>
        <v>Active</v>
      </c>
      <c r="AM1141" t="str" cm="1">
        <f t="array" ref="AM1141">_xlfn.IFS(Table1[[#This Row],[YearsAtCompany]]&lt;=1,"0-1 Year",Table1[[#This Row],[YearsAtCompany]]&lt;=2,"1-2 Years",Table1[[#This Row],[YearsAtCompany]]&lt;=3,"2-3 Years",Table1[[#This Row],[YearsAtCompany]]&lt;=4,"3-4 Years",Table1[[#This Row],[YearsAtCompany]]&lt;=5,"4-5 Years",Table1[[#This Row],[YearsAtCompany]]&gt;5,"&gt;5 Years")</f>
        <v>2-3 Years</v>
      </c>
    </row>
    <row r="1142" spans="1:39" hidden="1" x14ac:dyDescent="0.45">
      <c r="A1142">
        <v>44</v>
      </c>
      <c r="B1142" t="s">
        <v>43</v>
      </c>
      <c r="C1142" t="s">
        <v>64</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_xlfn.IFS(Table1[[#This Row],[Age]]&lt;30,"Young",Table1[[#This Row],[Age]]&lt;=40,"Adult",Table1[[#This Row],[Age]]&gt;40,"Senior")</f>
        <v>Senior</v>
      </c>
      <c r="AK1142" t="str" cm="1">
        <f t="array" ref="AK1142">_xlfn.IFS(Table1[[#This Row],[MonthlyIncome]]&lt;5000,"Low",Table1[[#This Row],[MonthlyIncome]]&lt;10000,"Medium",Table1[[#This Row],[MonthlyIncome]]&gt;10000,"High")</f>
        <v>High</v>
      </c>
      <c r="AL1142" t="str" cm="1">
        <f t="array" ref="AL1142">_xlfn.IFS(Table1[[#This Row],[Attrition]]="Yes","Resigned",Table1[[#This Row],[Attrition]]="No","Active")</f>
        <v>Active</v>
      </c>
      <c r="AM1142" t="str" cm="1">
        <f t="array" ref="AM1142">_xlfn.IFS(Table1[[#This Row],[YearsAtCompany]]&lt;=1,"0-1 Year",Table1[[#This Row],[YearsAtCompany]]&lt;=2,"1-2 Years",Table1[[#This Row],[YearsAtCompany]]&lt;=3,"2-3 Years",Table1[[#This Row],[YearsAtCompany]]&lt;=4,"3-4 Years",Table1[[#This Row],[YearsAtCompany]]&lt;=5,"4-5 Years",Table1[[#This Row],[YearsAtCompany]]&gt;5,"&gt;5 Years")</f>
        <v>&gt;5 Years</v>
      </c>
    </row>
    <row r="1143" spans="1:39" hidden="1" x14ac:dyDescent="0.45">
      <c r="A1143">
        <v>30</v>
      </c>
      <c r="B1143" t="s">
        <v>43</v>
      </c>
      <c r="C1143" t="s">
        <v>64</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_xlfn.IFS(Table1[[#This Row],[Age]]&lt;30,"Young",Table1[[#This Row],[Age]]&lt;=40,"Adult",Table1[[#This Row],[Age]]&gt;40,"Senior")</f>
        <v>Adult</v>
      </c>
      <c r="AK1143" t="str" cm="1">
        <f t="array" ref="AK1143">_xlfn.IFS(Table1[[#This Row],[MonthlyIncome]]&lt;5000,"Low",Table1[[#This Row],[MonthlyIncome]]&lt;10000,"Medium",Table1[[#This Row],[MonthlyIncome]]&gt;10000,"High")</f>
        <v>Low</v>
      </c>
      <c r="AL1143" t="str" cm="1">
        <f t="array" ref="AL1143">_xlfn.IFS(Table1[[#This Row],[Attrition]]="Yes","Resigned",Table1[[#This Row],[Attrition]]="No","Active")</f>
        <v>Active</v>
      </c>
      <c r="AM1143" t="str" cm="1">
        <f t="array" ref="AM1143">_xlfn.IFS(Table1[[#This Row],[YearsAtCompany]]&lt;=1,"0-1 Year",Table1[[#This Row],[YearsAtCompany]]&lt;=2,"1-2 Years",Table1[[#This Row],[YearsAtCompany]]&lt;=3,"2-3 Years",Table1[[#This Row],[YearsAtCompany]]&lt;=4,"3-4 Years",Table1[[#This Row],[YearsAtCompany]]&lt;=5,"4-5 Years",Table1[[#This Row],[YearsAtCompany]]&gt;5,"&gt;5 Years")</f>
        <v>&gt;5 Years</v>
      </c>
    </row>
    <row r="1144" spans="1:39" hidden="1" x14ac:dyDescent="0.45">
      <c r="A1144">
        <v>45</v>
      </c>
      <c r="B1144" t="s">
        <v>43</v>
      </c>
      <c r="C1144" t="s">
        <v>64</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_xlfn.IFS(Table1[[#This Row],[Age]]&lt;30,"Young",Table1[[#This Row],[Age]]&lt;=40,"Adult",Table1[[#This Row],[Age]]&gt;40,"Senior")</f>
        <v>Senior</v>
      </c>
      <c r="AK1144" t="str" cm="1">
        <f t="array" ref="AK1144">_xlfn.IFS(Table1[[#This Row],[MonthlyIncome]]&lt;5000,"Low",Table1[[#This Row],[MonthlyIncome]]&lt;10000,"Medium",Table1[[#This Row],[MonthlyIncome]]&gt;10000,"High")</f>
        <v>Medium</v>
      </c>
      <c r="AL1144" t="str" cm="1">
        <f t="array" ref="AL1144">_xlfn.IFS(Table1[[#This Row],[Attrition]]="Yes","Resigned",Table1[[#This Row],[Attrition]]="No","Active")</f>
        <v>Active</v>
      </c>
      <c r="AM1144" t="str" cm="1">
        <f t="array" ref="AM1144">_xlfn.IFS(Table1[[#This Row],[YearsAtCompany]]&lt;=1,"0-1 Year",Table1[[#This Row],[YearsAtCompany]]&lt;=2,"1-2 Years",Table1[[#This Row],[YearsAtCompany]]&lt;=3,"2-3 Years",Table1[[#This Row],[YearsAtCompany]]&lt;=4,"3-4 Years",Table1[[#This Row],[YearsAtCompany]]&lt;=5,"4-5 Years",Table1[[#This Row],[YearsAtCompany]]&gt;5,"&gt;5 Years")</f>
        <v>&gt;5 Years</v>
      </c>
    </row>
    <row r="1145" spans="1:39" x14ac:dyDescent="0.45">
      <c r="A1145">
        <v>45</v>
      </c>
      <c r="B1145" t="s">
        <v>43</v>
      </c>
      <c r="C1145" t="s">
        <v>62</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_xlfn.IFS(Table1[[#This Row],[Age]]&lt;30,"Young",Table1[[#This Row],[Age]]&lt;=40,"Adult",Table1[[#This Row],[Age]]&gt;40,"Senior")</f>
        <v>Senior</v>
      </c>
      <c r="AK1145" t="str" cm="1">
        <f t="array" ref="AK1145">_xlfn.IFS(Table1[[#This Row],[MonthlyIncome]]&lt;5000,"Low",Table1[[#This Row],[MonthlyIncome]]&lt;10000,"Medium",Table1[[#This Row],[MonthlyIncome]]&gt;10000,"High")</f>
        <v>Low</v>
      </c>
      <c r="AL1145" t="str" cm="1">
        <f t="array" ref="AL1145">_xlfn.IFS(Table1[[#This Row],[Attrition]]="Yes","Resigned",Table1[[#This Row],[Attrition]]="No","Active")</f>
        <v>Active</v>
      </c>
      <c r="AM1145" t="str" cm="1">
        <f t="array" ref="AM1145">_xlfn.IFS(Table1[[#This Row],[YearsAtCompany]]&lt;=1,"0-1 Year",Table1[[#This Row],[YearsAtCompany]]&lt;=2,"1-2 Years",Table1[[#This Row],[YearsAtCompany]]&lt;=3,"2-3 Years",Table1[[#This Row],[YearsAtCompany]]&lt;=4,"3-4 Years",Table1[[#This Row],[YearsAtCompany]]&lt;=5,"4-5 Years",Table1[[#This Row],[YearsAtCompany]]&gt;5,"&gt;5 Years")</f>
        <v>&gt;5 Years</v>
      </c>
    </row>
    <row r="1146" spans="1:39" x14ac:dyDescent="0.45">
      <c r="A1146">
        <v>31</v>
      </c>
      <c r="B1146" t="s">
        <v>43</v>
      </c>
      <c r="C1146" t="s">
        <v>63</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_xlfn.IFS(Table1[[#This Row],[Age]]&lt;30,"Young",Table1[[#This Row],[Age]]&lt;=40,"Adult",Table1[[#This Row],[Age]]&gt;40,"Senior")</f>
        <v>Adult</v>
      </c>
      <c r="AK1146" t="str" cm="1">
        <f t="array" ref="AK1146">_xlfn.IFS(Table1[[#This Row],[MonthlyIncome]]&lt;5000,"Low",Table1[[#This Row],[MonthlyIncome]]&lt;10000,"Medium",Table1[[#This Row],[MonthlyIncome]]&gt;10000,"High")</f>
        <v>Medium</v>
      </c>
      <c r="AL1146" t="str" cm="1">
        <f t="array" ref="AL1146">_xlfn.IFS(Table1[[#This Row],[Attrition]]="Yes","Resigned",Table1[[#This Row],[Attrition]]="No","Active")</f>
        <v>Active</v>
      </c>
      <c r="AM1146" t="str" cm="1">
        <f t="array" ref="AM1146">_xlfn.IFS(Table1[[#This Row],[YearsAtCompany]]&lt;=1,"0-1 Year",Table1[[#This Row],[YearsAtCompany]]&lt;=2,"1-2 Years",Table1[[#This Row],[YearsAtCompany]]&lt;=3,"2-3 Years",Table1[[#This Row],[YearsAtCompany]]&lt;=4,"3-4 Years",Table1[[#This Row],[YearsAtCompany]]&lt;=5,"4-5 Years",Table1[[#This Row],[YearsAtCompany]]&gt;5,"&gt;5 Years")</f>
        <v>4-5 Years</v>
      </c>
    </row>
    <row r="1147" spans="1:39" hidden="1" x14ac:dyDescent="0.45">
      <c r="A1147">
        <v>36</v>
      </c>
      <c r="B1147" t="s">
        <v>43</v>
      </c>
      <c r="C1147" t="s">
        <v>64</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_xlfn.IFS(Table1[[#This Row],[Age]]&lt;30,"Young",Table1[[#This Row],[Age]]&lt;=40,"Adult",Table1[[#This Row],[Age]]&gt;40,"Senior")</f>
        <v>Adult</v>
      </c>
      <c r="AK1147" t="str" cm="1">
        <f t="array" ref="AK1147">_xlfn.IFS(Table1[[#This Row],[MonthlyIncome]]&lt;5000,"Low",Table1[[#This Row],[MonthlyIncome]]&lt;10000,"Medium",Table1[[#This Row],[MonthlyIncome]]&gt;10000,"High")</f>
        <v>Low</v>
      </c>
      <c r="AL1147" t="str" cm="1">
        <f t="array" ref="AL1147">_xlfn.IFS(Table1[[#This Row],[Attrition]]="Yes","Resigned",Table1[[#This Row],[Attrition]]="No","Active")</f>
        <v>Active</v>
      </c>
      <c r="AM1147" t="str" cm="1">
        <f t="array" ref="AM1147">_xlfn.IFS(Table1[[#This Row],[YearsAtCompany]]&lt;=1,"0-1 Year",Table1[[#This Row],[YearsAtCompany]]&lt;=2,"1-2 Years",Table1[[#This Row],[YearsAtCompany]]&lt;=3,"2-3 Years",Table1[[#This Row],[YearsAtCompany]]&lt;=4,"3-4 Years",Table1[[#This Row],[YearsAtCompany]]&lt;=5,"4-5 Years",Table1[[#This Row],[YearsAtCompany]]&gt;5,"&gt;5 Years")</f>
        <v>2-3 Years</v>
      </c>
    </row>
    <row r="1148" spans="1:39" hidden="1" x14ac:dyDescent="0.45">
      <c r="A1148">
        <v>34</v>
      </c>
      <c r="B1148" t="s">
        <v>43</v>
      </c>
      <c r="C1148" t="s">
        <v>63</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_xlfn.IFS(Table1[[#This Row],[Age]]&lt;30,"Young",Table1[[#This Row],[Age]]&lt;=40,"Adult",Table1[[#This Row],[Age]]&gt;40,"Senior")</f>
        <v>Adult</v>
      </c>
      <c r="AK1148" t="str" cm="1">
        <f t="array" ref="AK1148">_xlfn.IFS(Table1[[#This Row],[MonthlyIncome]]&lt;5000,"Low",Table1[[#This Row],[MonthlyIncome]]&lt;10000,"Medium",Table1[[#This Row],[MonthlyIncome]]&gt;10000,"High")</f>
        <v>Low</v>
      </c>
      <c r="AL1148" t="str" cm="1">
        <f t="array" ref="AL1148">_xlfn.IFS(Table1[[#This Row],[Attrition]]="Yes","Resigned",Table1[[#This Row],[Attrition]]="No","Active")</f>
        <v>Active</v>
      </c>
      <c r="AM1148" t="str" cm="1">
        <f t="array" ref="AM1148">_xlfn.IFS(Table1[[#This Row],[YearsAtCompany]]&lt;=1,"0-1 Year",Table1[[#This Row],[YearsAtCompany]]&lt;=2,"1-2 Years",Table1[[#This Row],[YearsAtCompany]]&lt;=3,"2-3 Years",Table1[[#This Row],[YearsAtCompany]]&lt;=4,"3-4 Years",Table1[[#This Row],[YearsAtCompany]]&lt;=5,"4-5 Years",Table1[[#This Row],[YearsAtCompany]]&gt;5,"&gt;5 Years")</f>
        <v>&gt;5 Years</v>
      </c>
    </row>
    <row r="1149" spans="1:39" hidden="1" x14ac:dyDescent="0.45">
      <c r="A1149">
        <v>49</v>
      </c>
      <c r="B1149" t="s">
        <v>43</v>
      </c>
      <c r="C1149" t="s">
        <v>64</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_xlfn.IFS(Table1[[#This Row],[Age]]&lt;30,"Young",Table1[[#This Row],[Age]]&lt;=40,"Adult",Table1[[#This Row],[Age]]&gt;40,"Senior")</f>
        <v>Senior</v>
      </c>
      <c r="AK1149" t="str" cm="1">
        <f t="array" ref="AK1149">_xlfn.IFS(Table1[[#This Row],[MonthlyIncome]]&lt;5000,"Low",Table1[[#This Row],[MonthlyIncome]]&lt;10000,"Medium",Table1[[#This Row],[MonthlyIncome]]&gt;10000,"High")</f>
        <v>Low</v>
      </c>
      <c r="AL1149" t="str" cm="1">
        <f t="array" ref="AL1149">_xlfn.IFS(Table1[[#This Row],[Attrition]]="Yes","Resigned",Table1[[#This Row],[Attrition]]="No","Active")</f>
        <v>Active</v>
      </c>
      <c r="AM1149" t="str" cm="1">
        <f t="array" ref="AM1149">_xlfn.IFS(Table1[[#This Row],[YearsAtCompany]]&lt;=1,"0-1 Year",Table1[[#This Row],[YearsAtCompany]]&lt;=2,"1-2 Years",Table1[[#This Row],[YearsAtCompany]]&lt;=3,"2-3 Years",Table1[[#This Row],[YearsAtCompany]]&lt;=4,"3-4 Years",Table1[[#This Row],[YearsAtCompany]]&lt;=5,"4-5 Years",Table1[[#This Row],[YearsAtCompany]]&gt;5,"&gt;5 Years")</f>
        <v>&gt;5 Years</v>
      </c>
    </row>
    <row r="1150" spans="1:39" hidden="1" x14ac:dyDescent="0.45">
      <c r="A1150">
        <v>39</v>
      </c>
      <c r="B1150" t="s">
        <v>43</v>
      </c>
      <c r="C1150" t="s">
        <v>64</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_xlfn.IFS(Table1[[#This Row],[Age]]&lt;30,"Young",Table1[[#This Row],[Age]]&lt;=40,"Adult",Table1[[#This Row],[Age]]&gt;40,"Senior")</f>
        <v>Adult</v>
      </c>
      <c r="AK1150" t="str" cm="1">
        <f t="array" ref="AK1150">_xlfn.IFS(Table1[[#This Row],[MonthlyIncome]]&lt;5000,"Low",Table1[[#This Row],[MonthlyIncome]]&lt;10000,"Medium",Table1[[#This Row],[MonthlyIncome]]&gt;10000,"High")</f>
        <v>Medium</v>
      </c>
      <c r="AL1150" t="str" cm="1">
        <f t="array" ref="AL1150">_xlfn.IFS(Table1[[#This Row],[Attrition]]="Yes","Resigned",Table1[[#This Row],[Attrition]]="No","Active")</f>
        <v>Active</v>
      </c>
      <c r="AM1150" t="str" cm="1">
        <f t="array" ref="AM1150">_xlfn.IFS(Table1[[#This Row],[YearsAtCompany]]&lt;=1,"0-1 Year",Table1[[#This Row],[YearsAtCompany]]&lt;=2,"1-2 Years",Table1[[#This Row],[YearsAtCompany]]&lt;=3,"2-3 Years",Table1[[#This Row],[YearsAtCompany]]&lt;=4,"3-4 Years",Table1[[#This Row],[YearsAtCompany]]&lt;=5,"4-5 Years",Table1[[#This Row],[YearsAtCompany]]&gt;5,"&gt;5 Years")</f>
        <v>&gt;5 Years</v>
      </c>
    </row>
    <row r="1151" spans="1:39" hidden="1" x14ac:dyDescent="0.45">
      <c r="A1151">
        <v>27</v>
      </c>
      <c r="B1151" t="s">
        <v>43</v>
      </c>
      <c r="C1151" t="s">
        <v>64</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_xlfn.IFS(Table1[[#This Row],[Age]]&lt;30,"Young",Table1[[#This Row],[Age]]&lt;=40,"Adult",Table1[[#This Row],[Age]]&gt;40,"Senior")</f>
        <v>Young</v>
      </c>
      <c r="AK1151" t="str" cm="1">
        <f t="array" ref="AK1151">_xlfn.IFS(Table1[[#This Row],[MonthlyIncome]]&lt;5000,"Low",Table1[[#This Row],[MonthlyIncome]]&lt;10000,"Medium",Table1[[#This Row],[MonthlyIncome]]&gt;10000,"High")</f>
        <v>Low</v>
      </c>
      <c r="AL1151" t="str" cm="1">
        <f t="array" ref="AL1151">_xlfn.IFS(Table1[[#This Row],[Attrition]]="Yes","Resigned",Table1[[#This Row],[Attrition]]="No","Active")</f>
        <v>Active</v>
      </c>
      <c r="AM1151" t="str" cm="1">
        <f t="array" ref="AM1151">_xlfn.IFS(Table1[[#This Row],[YearsAtCompany]]&lt;=1,"0-1 Year",Table1[[#This Row],[YearsAtCompany]]&lt;=2,"1-2 Years",Table1[[#This Row],[YearsAtCompany]]&lt;=3,"2-3 Years",Table1[[#This Row],[YearsAtCompany]]&lt;=4,"3-4 Years",Table1[[#This Row],[YearsAtCompany]]&lt;=5,"4-5 Years",Table1[[#This Row],[YearsAtCompany]]&gt;5,"&gt;5 Years")</f>
        <v>&gt;5 Years</v>
      </c>
    </row>
    <row r="1152" spans="1:39" hidden="1" x14ac:dyDescent="0.45">
      <c r="A1152">
        <v>35</v>
      </c>
      <c r="B1152" t="s">
        <v>43</v>
      </c>
      <c r="C1152" t="s">
        <v>64</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_xlfn.IFS(Table1[[#This Row],[Age]]&lt;30,"Young",Table1[[#This Row],[Age]]&lt;=40,"Adult",Table1[[#This Row],[Age]]&gt;40,"Senior")</f>
        <v>Adult</v>
      </c>
      <c r="AK1152" t="str" cm="1">
        <f t="array" ref="AK1152">_xlfn.IFS(Table1[[#This Row],[MonthlyIncome]]&lt;5000,"Low",Table1[[#This Row],[MonthlyIncome]]&lt;10000,"Medium",Table1[[#This Row],[MonthlyIncome]]&gt;10000,"High")</f>
        <v>Medium</v>
      </c>
      <c r="AL1152" t="str" cm="1">
        <f t="array" ref="AL1152">_xlfn.IFS(Table1[[#This Row],[Attrition]]="Yes","Resigned",Table1[[#This Row],[Attrition]]="No","Active")</f>
        <v>Active</v>
      </c>
      <c r="AM1152" t="str" cm="1">
        <f t="array" ref="AM1152">_xlfn.IFS(Table1[[#This Row],[YearsAtCompany]]&lt;=1,"0-1 Year",Table1[[#This Row],[YearsAtCompany]]&lt;=2,"1-2 Years",Table1[[#This Row],[YearsAtCompany]]&lt;=3,"2-3 Years",Table1[[#This Row],[YearsAtCompany]]&lt;=4,"3-4 Years",Table1[[#This Row],[YearsAtCompany]]&lt;=5,"4-5 Years",Table1[[#This Row],[YearsAtCompany]]&gt;5,"&gt;5 Years")</f>
        <v>&gt;5 Years</v>
      </c>
    </row>
    <row r="1153" spans="1:39" hidden="1" x14ac:dyDescent="0.45">
      <c r="A1153">
        <v>28</v>
      </c>
      <c r="B1153" t="s">
        <v>43</v>
      </c>
      <c r="C1153" t="s">
        <v>64</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_xlfn.IFS(Table1[[#This Row],[Age]]&lt;30,"Young",Table1[[#This Row],[Age]]&lt;=40,"Adult",Table1[[#This Row],[Age]]&gt;40,"Senior")</f>
        <v>Young</v>
      </c>
      <c r="AK1153" t="str" cm="1">
        <f t="array" ref="AK1153">_xlfn.IFS(Table1[[#This Row],[MonthlyIncome]]&lt;5000,"Low",Table1[[#This Row],[MonthlyIncome]]&lt;10000,"Medium",Table1[[#This Row],[MonthlyIncome]]&gt;10000,"High")</f>
        <v>Low</v>
      </c>
      <c r="AL1153" t="str" cm="1">
        <f t="array" ref="AL1153">_xlfn.IFS(Table1[[#This Row],[Attrition]]="Yes","Resigned",Table1[[#This Row],[Attrition]]="No","Active")</f>
        <v>Active</v>
      </c>
      <c r="AM1153" t="str" cm="1">
        <f t="array" ref="AM1153">_xlfn.IFS(Table1[[#This Row],[YearsAtCompany]]&lt;=1,"0-1 Year",Table1[[#This Row],[YearsAtCompany]]&lt;=2,"1-2 Years",Table1[[#This Row],[YearsAtCompany]]&lt;=3,"2-3 Years",Table1[[#This Row],[YearsAtCompany]]&lt;=4,"3-4 Years",Table1[[#This Row],[YearsAtCompany]]&lt;=5,"4-5 Years",Table1[[#This Row],[YearsAtCompany]]&gt;5,"&gt;5 Years")</f>
        <v>4-5 Years</v>
      </c>
    </row>
    <row r="1154" spans="1:39" hidden="1" x14ac:dyDescent="0.45">
      <c r="A1154">
        <v>21</v>
      </c>
      <c r="B1154" t="s">
        <v>43</v>
      </c>
      <c r="C1154" t="s">
        <v>64</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_xlfn.IFS(Table1[[#This Row],[Age]]&lt;30,"Young",Table1[[#This Row],[Age]]&lt;=40,"Adult",Table1[[#This Row],[Age]]&gt;40,"Senior")</f>
        <v>Young</v>
      </c>
      <c r="AK1154" t="str" cm="1">
        <f t="array" ref="AK1154">_xlfn.IFS(Table1[[#This Row],[MonthlyIncome]]&lt;5000,"Low",Table1[[#This Row],[MonthlyIncome]]&lt;10000,"Medium",Table1[[#This Row],[MonthlyIncome]]&gt;10000,"High")</f>
        <v>Low</v>
      </c>
      <c r="AL1154" t="str" cm="1">
        <f t="array" ref="AL1154">_xlfn.IFS(Table1[[#This Row],[Attrition]]="Yes","Resigned",Table1[[#This Row],[Attrition]]="No","Active")</f>
        <v>Active</v>
      </c>
      <c r="AM1154" t="str" cm="1">
        <f t="array" ref="AM1154">_xlfn.IFS(Table1[[#This Row],[YearsAtCompany]]&lt;=1,"0-1 Year",Table1[[#This Row],[YearsAtCompany]]&lt;=2,"1-2 Years",Table1[[#This Row],[YearsAtCompany]]&lt;=3,"2-3 Years",Table1[[#This Row],[YearsAtCompany]]&lt;=4,"3-4 Years",Table1[[#This Row],[YearsAtCompany]]&lt;=5,"4-5 Years",Table1[[#This Row],[YearsAtCompany]]&gt;5,"&gt;5 Years")</f>
        <v>1-2 Years</v>
      </c>
    </row>
    <row r="1155" spans="1:39" x14ac:dyDescent="0.45">
      <c r="A1155">
        <v>18</v>
      </c>
      <c r="B1155" t="s">
        <v>35</v>
      </c>
      <c r="C1155" t="s">
        <v>63</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_xlfn.IFS(Table1[[#This Row],[Age]]&lt;30,"Young",Table1[[#This Row],[Age]]&lt;=40,"Adult",Table1[[#This Row],[Age]]&gt;40,"Senior")</f>
        <v>Young</v>
      </c>
      <c r="AK1155" t="str" cm="1">
        <f t="array" ref="AK1155">_xlfn.IFS(Table1[[#This Row],[MonthlyIncome]]&lt;5000,"Low",Table1[[#This Row],[MonthlyIncome]]&lt;10000,"Medium",Table1[[#This Row],[MonthlyIncome]]&gt;10000,"High")</f>
        <v>Low</v>
      </c>
      <c r="AL1155" t="str" cm="1">
        <f t="array" ref="AL1155">_xlfn.IFS(Table1[[#This Row],[Attrition]]="Yes","Resigned",Table1[[#This Row],[Attrition]]="No","Active")</f>
        <v>Resigned</v>
      </c>
      <c r="AM1155" t="str" cm="1">
        <f t="array" ref="AM1155">_xlfn.IFS(Table1[[#This Row],[YearsAtCompany]]&lt;=1,"0-1 Year",Table1[[#This Row],[YearsAtCompany]]&lt;=2,"1-2 Years",Table1[[#This Row],[YearsAtCompany]]&lt;=3,"2-3 Years",Table1[[#This Row],[YearsAtCompany]]&lt;=4,"3-4 Years",Table1[[#This Row],[YearsAtCompany]]&lt;=5,"4-5 Years",Table1[[#This Row],[YearsAtCompany]]&gt;5,"&gt;5 Years")</f>
        <v>0-1 Year</v>
      </c>
    </row>
    <row r="1156" spans="1:39" hidden="1" x14ac:dyDescent="0.45">
      <c r="A1156">
        <v>47</v>
      </c>
      <c r="B1156" t="s">
        <v>43</v>
      </c>
      <c r="C1156" t="s">
        <v>64</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_xlfn.IFS(Table1[[#This Row],[Age]]&lt;30,"Young",Table1[[#This Row],[Age]]&lt;=40,"Adult",Table1[[#This Row],[Age]]&gt;40,"Senior")</f>
        <v>Senior</v>
      </c>
      <c r="AK1156" t="str" cm="1">
        <f t="array" ref="AK1156">_xlfn.IFS(Table1[[#This Row],[MonthlyIncome]]&lt;5000,"Low",Table1[[#This Row],[MonthlyIncome]]&lt;10000,"Medium",Table1[[#This Row],[MonthlyIncome]]&gt;10000,"High")</f>
        <v>High</v>
      </c>
      <c r="AL1156" t="str" cm="1">
        <f t="array" ref="AL1156">_xlfn.IFS(Table1[[#This Row],[Attrition]]="Yes","Resigned",Table1[[#This Row],[Attrition]]="No","Active")</f>
        <v>Active</v>
      </c>
      <c r="AM1156" t="str" cm="1">
        <f t="array" ref="AM1156">_xlfn.IFS(Table1[[#This Row],[YearsAtCompany]]&lt;=1,"0-1 Year",Table1[[#This Row],[YearsAtCompany]]&lt;=2,"1-2 Years",Table1[[#This Row],[YearsAtCompany]]&lt;=3,"2-3 Years",Table1[[#This Row],[YearsAtCompany]]&lt;=4,"3-4 Years",Table1[[#This Row],[YearsAtCompany]]&lt;=5,"4-5 Years",Table1[[#This Row],[YearsAtCompany]]&gt;5,"&gt;5 Years")</f>
        <v>4-5 Years</v>
      </c>
    </row>
    <row r="1157" spans="1:39" hidden="1" x14ac:dyDescent="0.45">
      <c r="A1157">
        <v>39</v>
      </c>
      <c r="B1157" t="s">
        <v>43</v>
      </c>
      <c r="C1157" t="s">
        <v>64</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_xlfn.IFS(Table1[[#This Row],[Age]]&lt;30,"Young",Table1[[#This Row],[Age]]&lt;=40,"Adult",Table1[[#This Row],[Age]]&gt;40,"Senior")</f>
        <v>Adult</v>
      </c>
      <c r="AK1157" t="str" cm="1">
        <f t="array" ref="AK1157">_xlfn.IFS(Table1[[#This Row],[MonthlyIncome]]&lt;5000,"Low",Table1[[#This Row],[MonthlyIncome]]&lt;10000,"Medium",Table1[[#This Row],[MonthlyIncome]]&gt;10000,"High")</f>
        <v>Low</v>
      </c>
      <c r="AL1157" t="str" cm="1">
        <f t="array" ref="AL1157">_xlfn.IFS(Table1[[#This Row],[Attrition]]="Yes","Resigned",Table1[[#This Row],[Attrition]]="No","Active")</f>
        <v>Active</v>
      </c>
      <c r="AM1157" t="str" cm="1">
        <f t="array" ref="AM1157">_xlfn.IFS(Table1[[#This Row],[YearsAtCompany]]&lt;=1,"0-1 Year",Table1[[#This Row],[YearsAtCompany]]&lt;=2,"1-2 Years",Table1[[#This Row],[YearsAtCompany]]&lt;=3,"2-3 Years",Table1[[#This Row],[YearsAtCompany]]&lt;=4,"3-4 Years",Table1[[#This Row],[YearsAtCompany]]&lt;=5,"4-5 Years",Table1[[#This Row],[YearsAtCompany]]&gt;5,"&gt;5 Years")</f>
        <v>&gt;5 Years</v>
      </c>
    </row>
    <row r="1158" spans="1:39" hidden="1" x14ac:dyDescent="0.45">
      <c r="A1158">
        <v>40</v>
      </c>
      <c r="B1158" t="s">
        <v>43</v>
      </c>
      <c r="C1158" t="s">
        <v>64</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_xlfn.IFS(Table1[[#This Row],[Age]]&lt;30,"Young",Table1[[#This Row],[Age]]&lt;=40,"Adult",Table1[[#This Row],[Age]]&gt;40,"Senior")</f>
        <v>Adult</v>
      </c>
      <c r="AK1158" t="str" cm="1">
        <f t="array" ref="AK1158">_xlfn.IFS(Table1[[#This Row],[MonthlyIncome]]&lt;5000,"Low",Table1[[#This Row],[MonthlyIncome]]&lt;10000,"Medium",Table1[[#This Row],[MonthlyIncome]]&gt;10000,"High")</f>
        <v>High</v>
      </c>
      <c r="AL1158" t="str" cm="1">
        <f t="array" ref="AL1158">_xlfn.IFS(Table1[[#This Row],[Attrition]]="Yes","Resigned",Table1[[#This Row],[Attrition]]="No","Active")</f>
        <v>Active</v>
      </c>
      <c r="AM1158" t="str" cm="1">
        <f t="array" ref="AM1158">_xlfn.IFS(Table1[[#This Row],[YearsAtCompany]]&lt;=1,"0-1 Year",Table1[[#This Row],[YearsAtCompany]]&lt;=2,"1-2 Years",Table1[[#This Row],[YearsAtCompany]]&lt;=3,"2-3 Years",Table1[[#This Row],[YearsAtCompany]]&lt;=4,"3-4 Years",Table1[[#This Row],[YearsAtCompany]]&lt;=5,"4-5 Years",Table1[[#This Row],[YearsAtCompany]]&gt;5,"&gt;5 Years")</f>
        <v>&gt;5 Years</v>
      </c>
    </row>
    <row r="1159" spans="1:39" hidden="1" x14ac:dyDescent="0.45">
      <c r="A1159">
        <v>35</v>
      </c>
      <c r="B1159" t="s">
        <v>43</v>
      </c>
      <c r="C1159" t="s">
        <v>62</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_xlfn.IFS(Table1[[#This Row],[Age]]&lt;30,"Young",Table1[[#This Row],[Age]]&lt;=40,"Adult",Table1[[#This Row],[Age]]&gt;40,"Senior")</f>
        <v>Adult</v>
      </c>
      <c r="AK1159" t="str" cm="1">
        <f t="array" ref="AK1159">_xlfn.IFS(Table1[[#This Row],[MonthlyIncome]]&lt;5000,"Low",Table1[[#This Row],[MonthlyIncome]]&lt;10000,"Medium",Table1[[#This Row],[MonthlyIncome]]&gt;10000,"High")</f>
        <v>Low</v>
      </c>
      <c r="AL1159" t="str" cm="1">
        <f t="array" ref="AL1159">_xlfn.IFS(Table1[[#This Row],[Attrition]]="Yes","Resigned",Table1[[#This Row],[Attrition]]="No","Active")</f>
        <v>Active</v>
      </c>
      <c r="AM1159" t="str" cm="1">
        <f t="array" ref="AM1159">_xlfn.IFS(Table1[[#This Row],[YearsAtCompany]]&lt;=1,"0-1 Year",Table1[[#This Row],[YearsAtCompany]]&lt;=2,"1-2 Years",Table1[[#This Row],[YearsAtCompany]]&lt;=3,"2-3 Years",Table1[[#This Row],[YearsAtCompany]]&lt;=4,"3-4 Years",Table1[[#This Row],[YearsAtCompany]]&lt;=5,"4-5 Years",Table1[[#This Row],[YearsAtCompany]]&gt;5,"&gt;5 Years")</f>
        <v>&gt;5 Years</v>
      </c>
    </row>
    <row r="1160" spans="1:39" hidden="1" x14ac:dyDescent="0.45">
      <c r="A1160">
        <v>37</v>
      </c>
      <c r="B1160" t="s">
        <v>43</v>
      </c>
      <c r="C1160" t="s">
        <v>64</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_xlfn.IFS(Table1[[#This Row],[Age]]&lt;30,"Young",Table1[[#This Row],[Age]]&lt;=40,"Adult",Table1[[#This Row],[Age]]&gt;40,"Senior")</f>
        <v>Adult</v>
      </c>
      <c r="AK1160" t="str" cm="1">
        <f t="array" ref="AK1160">_xlfn.IFS(Table1[[#This Row],[MonthlyIncome]]&lt;5000,"Low",Table1[[#This Row],[MonthlyIncome]]&lt;10000,"Medium",Table1[[#This Row],[MonthlyIncome]]&gt;10000,"High")</f>
        <v>Medium</v>
      </c>
      <c r="AL1160" t="str" cm="1">
        <f t="array" ref="AL1160">_xlfn.IFS(Table1[[#This Row],[Attrition]]="Yes","Resigned",Table1[[#This Row],[Attrition]]="No","Active")</f>
        <v>Active</v>
      </c>
      <c r="AM1160" t="str" cm="1">
        <f t="array" ref="AM1160">_xlfn.IFS(Table1[[#This Row],[YearsAtCompany]]&lt;=1,"0-1 Year",Table1[[#This Row],[YearsAtCompany]]&lt;=2,"1-2 Years",Table1[[#This Row],[YearsAtCompany]]&lt;=3,"2-3 Years",Table1[[#This Row],[YearsAtCompany]]&lt;=4,"3-4 Years",Table1[[#This Row],[YearsAtCompany]]&lt;=5,"4-5 Years",Table1[[#This Row],[YearsAtCompany]]&gt;5,"&gt;5 Years")</f>
        <v>3-4 Years</v>
      </c>
    </row>
    <row r="1161" spans="1:39" hidden="1" x14ac:dyDescent="0.45">
      <c r="A1161">
        <v>39</v>
      </c>
      <c r="B1161" t="s">
        <v>43</v>
      </c>
      <c r="C1161" t="s">
        <v>63</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_xlfn.IFS(Table1[[#This Row],[Age]]&lt;30,"Young",Table1[[#This Row],[Age]]&lt;=40,"Adult",Table1[[#This Row],[Age]]&gt;40,"Senior")</f>
        <v>Adult</v>
      </c>
      <c r="AK1161" t="str" cm="1">
        <f t="array" ref="AK1161">_xlfn.IFS(Table1[[#This Row],[MonthlyIncome]]&lt;5000,"Low",Table1[[#This Row],[MonthlyIncome]]&lt;10000,"Medium",Table1[[#This Row],[MonthlyIncome]]&gt;10000,"High")</f>
        <v>Medium</v>
      </c>
      <c r="AL1161" t="str" cm="1">
        <f t="array" ref="AL1161">_xlfn.IFS(Table1[[#This Row],[Attrition]]="Yes","Resigned",Table1[[#This Row],[Attrition]]="No","Active")</f>
        <v>Active</v>
      </c>
      <c r="AM1161" t="str" cm="1">
        <f t="array" ref="AM1161">_xlfn.IFS(Table1[[#This Row],[YearsAtCompany]]&lt;=1,"0-1 Year",Table1[[#This Row],[YearsAtCompany]]&lt;=2,"1-2 Years",Table1[[#This Row],[YearsAtCompany]]&lt;=3,"2-3 Years",Table1[[#This Row],[YearsAtCompany]]&lt;=4,"3-4 Years",Table1[[#This Row],[YearsAtCompany]]&lt;=5,"4-5 Years",Table1[[#This Row],[YearsAtCompany]]&gt;5,"&gt;5 Years")</f>
        <v>&gt;5 Years</v>
      </c>
    </row>
    <row r="1162" spans="1:39" hidden="1" x14ac:dyDescent="0.45">
      <c r="A1162">
        <v>45</v>
      </c>
      <c r="B1162" t="s">
        <v>43</v>
      </c>
      <c r="C1162" t="s">
        <v>64</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_xlfn.IFS(Table1[[#This Row],[Age]]&lt;30,"Young",Table1[[#This Row],[Age]]&lt;=40,"Adult",Table1[[#This Row],[Age]]&gt;40,"Senior")</f>
        <v>Senior</v>
      </c>
      <c r="AK1162" t="str" cm="1">
        <f t="array" ref="AK1162">_xlfn.IFS(Table1[[#This Row],[MonthlyIncome]]&lt;5000,"Low",Table1[[#This Row],[MonthlyIncome]]&lt;10000,"Medium",Table1[[#This Row],[MonthlyIncome]]&gt;10000,"High")</f>
        <v>Medium</v>
      </c>
      <c r="AL1162" t="str" cm="1">
        <f t="array" ref="AL1162">_xlfn.IFS(Table1[[#This Row],[Attrition]]="Yes","Resigned",Table1[[#This Row],[Attrition]]="No","Active")</f>
        <v>Active</v>
      </c>
      <c r="AM1162" t="str" cm="1">
        <f t="array" ref="AM1162">_xlfn.IFS(Table1[[#This Row],[YearsAtCompany]]&lt;=1,"0-1 Year",Table1[[#This Row],[YearsAtCompany]]&lt;=2,"1-2 Years",Table1[[#This Row],[YearsAtCompany]]&lt;=3,"2-3 Years",Table1[[#This Row],[YearsAtCompany]]&lt;=4,"3-4 Years",Table1[[#This Row],[YearsAtCompany]]&lt;=5,"4-5 Years",Table1[[#This Row],[YearsAtCompany]]&gt;5,"&gt;5 Years")</f>
        <v>&gt;5 Years</v>
      </c>
    </row>
    <row r="1163" spans="1:39" hidden="1" x14ac:dyDescent="0.45">
      <c r="A1163">
        <v>38</v>
      </c>
      <c r="B1163" t="s">
        <v>43</v>
      </c>
      <c r="C1163" t="s">
        <v>64</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_xlfn.IFS(Table1[[#This Row],[Age]]&lt;30,"Young",Table1[[#This Row],[Age]]&lt;=40,"Adult",Table1[[#This Row],[Age]]&gt;40,"Senior")</f>
        <v>Adult</v>
      </c>
      <c r="AK1163" t="str" cm="1">
        <f t="array" ref="AK1163">_xlfn.IFS(Table1[[#This Row],[MonthlyIncome]]&lt;5000,"Low",Table1[[#This Row],[MonthlyIncome]]&lt;10000,"Medium",Table1[[#This Row],[MonthlyIncome]]&gt;10000,"High")</f>
        <v>Medium</v>
      </c>
      <c r="AL1163" t="str" cm="1">
        <f t="array" ref="AL1163">_xlfn.IFS(Table1[[#This Row],[Attrition]]="Yes","Resigned",Table1[[#This Row],[Attrition]]="No","Active")</f>
        <v>Active</v>
      </c>
      <c r="AM1163" t="str" cm="1">
        <f t="array" ref="AM1163">_xlfn.IFS(Table1[[#This Row],[YearsAtCompany]]&lt;=1,"0-1 Year",Table1[[#This Row],[YearsAtCompany]]&lt;=2,"1-2 Years",Table1[[#This Row],[YearsAtCompany]]&lt;=3,"2-3 Years",Table1[[#This Row],[YearsAtCompany]]&lt;=4,"3-4 Years",Table1[[#This Row],[YearsAtCompany]]&lt;=5,"4-5 Years",Table1[[#This Row],[YearsAtCompany]]&gt;5,"&gt;5 Years")</f>
        <v>4-5 Years</v>
      </c>
    </row>
    <row r="1164" spans="1:39" x14ac:dyDescent="0.45">
      <c r="A1164">
        <v>35</v>
      </c>
      <c r="B1164" t="s">
        <v>35</v>
      </c>
      <c r="C1164" t="s">
        <v>64</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_xlfn.IFS(Table1[[#This Row],[Age]]&lt;30,"Young",Table1[[#This Row],[Age]]&lt;=40,"Adult",Table1[[#This Row],[Age]]&gt;40,"Senior")</f>
        <v>Adult</v>
      </c>
      <c r="AK1164" t="str" cm="1">
        <f t="array" ref="AK1164">_xlfn.IFS(Table1[[#This Row],[MonthlyIncome]]&lt;5000,"Low",Table1[[#This Row],[MonthlyIncome]]&lt;10000,"Medium",Table1[[#This Row],[MonthlyIncome]]&gt;10000,"High")</f>
        <v>High</v>
      </c>
      <c r="AL1164" t="str" cm="1">
        <f t="array" ref="AL1164">_xlfn.IFS(Table1[[#This Row],[Attrition]]="Yes","Resigned",Table1[[#This Row],[Attrition]]="No","Active")</f>
        <v>Resigned</v>
      </c>
      <c r="AM1164" t="str" cm="1">
        <f t="array" ref="AM1164">_xlfn.IFS(Table1[[#This Row],[YearsAtCompany]]&lt;=1,"0-1 Year",Table1[[#This Row],[YearsAtCompany]]&lt;=2,"1-2 Years",Table1[[#This Row],[YearsAtCompany]]&lt;=3,"2-3 Years",Table1[[#This Row],[YearsAtCompany]]&lt;=4,"3-4 Years",Table1[[#This Row],[YearsAtCompany]]&lt;=5,"4-5 Years",Table1[[#This Row],[YearsAtCompany]]&gt;5,"&gt;5 Years")</f>
        <v>&gt;5 Years</v>
      </c>
    </row>
    <row r="1165" spans="1:39" hidden="1" x14ac:dyDescent="0.45">
      <c r="A1165">
        <v>37</v>
      </c>
      <c r="B1165" t="s">
        <v>43</v>
      </c>
      <c r="C1165" t="s">
        <v>64</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_xlfn.IFS(Table1[[#This Row],[Age]]&lt;30,"Young",Table1[[#This Row],[Age]]&lt;=40,"Adult",Table1[[#This Row],[Age]]&gt;40,"Senior")</f>
        <v>Adult</v>
      </c>
      <c r="AK1165" t="str" cm="1">
        <f t="array" ref="AK1165">_xlfn.IFS(Table1[[#This Row],[MonthlyIncome]]&lt;5000,"Low",Table1[[#This Row],[MonthlyIncome]]&lt;10000,"Medium",Table1[[#This Row],[MonthlyIncome]]&gt;10000,"High")</f>
        <v>Low</v>
      </c>
      <c r="AL1165" t="str" cm="1">
        <f t="array" ref="AL1165">_xlfn.IFS(Table1[[#This Row],[Attrition]]="Yes","Resigned",Table1[[#This Row],[Attrition]]="No","Active")</f>
        <v>Active</v>
      </c>
      <c r="AM1165" t="str" cm="1">
        <f t="array" ref="AM1165">_xlfn.IFS(Table1[[#This Row],[YearsAtCompany]]&lt;=1,"0-1 Year",Table1[[#This Row],[YearsAtCompany]]&lt;=2,"1-2 Years",Table1[[#This Row],[YearsAtCompany]]&lt;=3,"2-3 Years",Table1[[#This Row],[YearsAtCompany]]&lt;=4,"3-4 Years",Table1[[#This Row],[YearsAtCompany]]&lt;=5,"4-5 Years",Table1[[#This Row],[YearsAtCompany]]&gt;5,"&gt;5 Years")</f>
        <v>&gt;5 Years</v>
      </c>
    </row>
    <row r="1166" spans="1:39" hidden="1" x14ac:dyDescent="0.45">
      <c r="A1166">
        <v>40</v>
      </c>
      <c r="B1166" t="s">
        <v>43</v>
      </c>
      <c r="C1166" t="s">
        <v>64</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_xlfn.IFS(Table1[[#This Row],[Age]]&lt;30,"Young",Table1[[#This Row],[Age]]&lt;=40,"Adult",Table1[[#This Row],[Age]]&gt;40,"Senior")</f>
        <v>Adult</v>
      </c>
      <c r="AK1166" t="str" cm="1">
        <f t="array" ref="AK1166">_xlfn.IFS(Table1[[#This Row],[MonthlyIncome]]&lt;5000,"Low",Table1[[#This Row],[MonthlyIncome]]&lt;10000,"Medium",Table1[[#This Row],[MonthlyIncome]]&gt;10000,"High")</f>
        <v>Medium</v>
      </c>
      <c r="AL1166" t="str" cm="1">
        <f t="array" ref="AL1166">_xlfn.IFS(Table1[[#This Row],[Attrition]]="Yes","Resigned",Table1[[#This Row],[Attrition]]="No","Active")</f>
        <v>Active</v>
      </c>
      <c r="AM1166" t="str" cm="1">
        <f t="array" ref="AM1166">_xlfn.IFS(Table1[[#This Row],[YearsAtCompany]]&lt;=1,"0-1 Year",Table1[[#This Row],[YearsAtCompany]]&lt;=2,"1-2 Years",Table1[[#This Row],[YearsAtCompany]]&lt;=3,"2-3 Years",Table1[[#This Row],[YearsAtCompany]]&lt;=4,"3-4 Years",Table1[[#This Row],[YearsAtCompany]]&lt;=5,"4-5 Years",Table1[[#This Row],[YearsAtCompany]]&gt;5,"&gt;5 Years")</f>
        <v>3-4 Years</v>
      </c>
    </row>
    <row r="1167" spans="1:39" hidden="1" x14ac:dyDescent="0.45">
      <c r="A1167">
        <v>44</v>
      </c>
      <c r="B1167" t="s">
        <v>43</v>
      </c>
      <c r="C1167" t="s">
        <v>63</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_xlfn.IFS(Table1[[#This Row],[Age]]&lt;30,"Young",Table1[[#This Row],[Age]]&lt;=40,"Adult",Table1[[#This Row],[Age]]&gt;40,"Senior")</f>
        <v>Senior</v>
      </c>
      <c r="AK1167" t="str" cm="1">
        <f t="array" ref="AK1167">_xlfn.IFS(Table1[[#This Row],[MonthlyIncome]]&lt;5000,"Low",Table1[[#This Row],[MonthlyIncome]]&lt;10000,"Medium",Table1[[#This Row],[MonthlyIncome]]&gt;10000,"High")</f>
        <v>Medium</v>
      </c>
      <c r="AL1167" t="str" cm="1">
        <f t="array" ref="AL1167">_xlfn.IFS(Table1[[#This Row],[Attrition]]="Yes","Resigned",Table1[[#This Row],[Attrition]]="No","Active")</f>
        <v>Active</v>
      </c>
      <c r="AM1167" t="str" cm="1">
        <f t="array" ref="AM1167">_xlfn.IFS(Table1[[#This Row],[YearsAtCompany]]&lt;=1,"0-1 Year",Table1[[#This Row],[YearsAtCompany]]&lt;=2,"1-2 Years",Table1[[#This Row],[YearsAtCompany]]&lt;=3,"2-3 Years",Table1[[#This Row],[YearsAtCompany]]&lt;=4,"3-4 Years",Table1[[#This Row],[YearsAtCompany]]&lt;=5,"4-5 Years",Table1[[#This Row],[YearsAtCompany]]&gt;5,"&gt;5 Years")</f>
        <v>&gt;5 Years</v>
      </c>
    </row>
    <row r="1168" spans="1:39" hidden="1" x14ac:dyDescent="0.45">
      <c r="A1168">
        <v>48</v>
      </c>
      <c r="B1168" t="s">
        <v>43</v>
      </c>
      <c r="C1168" t="s">
        <v>63</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_xlfn.IFS(Table1[[#This Row],[Age]]&lt;30,"Young",Table1[[#This Row],[Age]]&lt;=40,"Adult",Table1[[#This Row],[Age]]&gt;40,"Senior")</f>
        <v>Senior</v>
      </c>
      <c r="AK1168" t="str" cm="1">
        <f t="array" ref="AK1168">_xlfn.IFS(Table1[[#This Row],[MonthlyIncome]]&lt;5000,"Low",Table1[[#This Row],[MonthlyIncome]]&lt;10000,"Medium",Table1[[#This Row],[MonthlyIncome]]&gt;10000,"High")</f>
        <v>High</v>
      </c>
      <c r="AL1168" t="str" cm="1">
        <f t="array" ref="AL1168">_xlfn.IFS(Table1[[#This Row],[Attrition]]="Yes","Resigned",Table1[[#This Row],[Attrition]]="No","Active")</f>
        <v>Active</v>
      </c>
      <c r="AM1168" t="str" cm="1">
        <f t="array" ref="AM1168">_xlfn.IFS(Table1[[#This Row],[YearsAtCompany]]&lt;=1,"0-1 Year",Table1[[#This Row],[YearsAtCompany]]&lt;=2,"1-2 Years",Table1[[#This Row],[YearsAtCompany]]&lt;=3,"2-3 Years",Table1[[#This Row],[YearsAtCompany]]&lt;=4,"3-4 Years",Table1[[#This Row],[YearsAtCompany]]&lt;=5,"4-5 Years",Table1[[#This Row],[YearsAtCompany]]&gt;5,"&gt;5 Years")</f>
        <v>1-2 Years</v>
      </c>
    </row>
    <row r="1169" spans="1:39" x14ac:dyDescent="0.45">
      <c r="A1169">
        <v>35</v>
      </c>
      <c r="B1169" t="s">
        <v>35</v>
      </c>
      <c r="C1169" t="s">
        <v>64</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_xlfn.IFS(Table1[[#This Row],[Age]]&lt;30,"Young",Table1[[#This Row],[Age]]&lt;=40,"Adult",Table1[[#This Row],[Age]]&gt;40,"Senior")</f>
        <v>Adult</v>
      </c>
      <c r="AK1169" t="str" cm="1">
        <f t="array" ref="AK1169">_xlfn.IFS(Table1[[#This Row],[MonthlyIncome]]&lt;5000,"Low",Table1[[#This Row],[MonthlyIncome]]&lt;10000,"Medium",Table1[[#This Row],[MonthlyIncome]]&gt;10000,"High")</f>
        <v>Medium</v>
      </c>
      <c r="AL1169" t="str" cm="1">
        <f t="array" ref="AL1169">_xlfn.IFS(Table1[[#This Row],[Attrition]]="Yes","Resigned",Table1[[#This Row],[Attrition]]="No","Active")</f>
        <v>Resigned</v>
      </c>
      <c r="AM1169" t="str" cm="1">
        <f t="array" ref="AM1169">_xlfn.IFS(Table1[[#This Row],[YearsAtCompany]]&lt;=1,"0-1 Year",Table1[[#This Row],[YearsAtCompany]]&lt;=2,"1-2 Years",Table1[[#This Row],[YearsAtCompany]]&lt;=3,"2-3 Years",Table1[[#This Row],[YearsAtCompany]]&lt;=4,"3-4 Years",Table1[[#This Row],[YearsAtCompany]]&lt;=5,"4-5 Years",Table1[[#This Row],[YearsAtCompany]]&gt;5,"&gt;5 Years")</f>
        <v>1-2 Years</v>
      </c>
    </row>
    <row r="1170" spans="1:39" hidden="1" x14ac:dyDescent="0.45">
      <c r="A1170">
        <v>24</v>
      </c>
      <c r="B1170" t="s">
        <v>43</v>
      </c>
      <c r="C1170" t="s">
        <v>63</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_xlfn.IFS(Table1[[#This Row],[Age]]&lt;30,"Young",Table1[[#This Row],[Age]]&lt;=40,"Adult",Table1[[#This Row],[Age]]&gt;40,"Senior")</f>
        <v>Young</v>
      </c>
      <c r="AK1170" t="str" cm="1">
        <f t="array" ref="AK1170">_xlfn.IFS(Table1[[#This Row],[MonthlyIncome]]&lt;5000,"Low",Table1[[#This Row],[MonthlyIncome]]&lt;10000,"Medium",Table1[[#This Row],[MonthlyIncome]]&gt;10000,"High")</f>
        <v>Low</v>
      </c>
      <c r="AL1170" t="str" cm="1">
        <f t="array" ref="AL1170">_xlfn.IFS(Table1[[#This Row],[Attrition]]="Yes","Resigned",Table1[[#This Row],[Attrition]]="No","Active")</f>
        <v>Active</v>
      </c>
      <c r="AM1170" t="str" cm="1">
        <f t="array" ref="AM1170">_xlfn.IFS(Table1[[#This Row],[YearsAtCompany]]&lt;=1,"0-1 Year",Table1[[#This Row],[YearsAtCompany]]&lt;=2,"1-2 Years",Table1[[#This Row],[YearsAtCompany]]&lt;=3,"2-3 Years",Table1[[#This Row],[YearsAtCompany]]&lt;=4,"3-4 Years",Table1[[#This Row],[YearsAtCompany]]&lt;=5,"4-5 Years",Table1[[#This Row],[YearsAtCompany]]&gt;5,"&gt;5 Years")</f>
        <v>&gt;5 Years</v>
      </c>
    </row>
    <row r="1171" spans="1:39" hidden="1" x14ac:dyDescent="0.45">
      <c r="A1171">
        <v>27</v>
      </c>
      <c r="B1171" t="s">
        <v>43</v>
      </c>
      <c r="C1171" t="s">
        <v>64</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_xlfn.IFS(Table1[[#This Row],[Age]]&lt;30,"Young",Table1[[#This Row],[Age]]&lt;=40,"Adult",Table1[[#This Row],[Age]]&gt;40,"Senior")</f>
        <v>Young</v>
      </c>
      <c r="AK1171" t="str" cm="1">
        <f t="array" ref="AK1171">_xlfn.IFS(Table1[[#This Row],[MonthlyIncome]]&lt;5000,"Low",Table1[[#This Row],[MonthlyIncome]]&lt;10000,"Medium",Table1[[#This Row],[MonthlyIncome]]&gt;10000,"High")</f>
        <v>Low</v>
      </c>
      <c r="AL1171" t="str" cm="1">
        <f t="array" ref="AL1171">_xlfn.IFS(Table1[[#This Row],[Attrition]]="Yes","Resigned",Table1[[#This Row],[Attrition]]="No","Active")</f>
        <v>Active</v>
      </c>
      <c r="AM1171" t="str" cm="1">
        <f t="array" ref="AM1171">_xlfn.IFS(Table1[[#This Row],[YearsAtCompany]]&lt;=1,"0-1 Year",Table1[[#This Row],[YearsAtCompany]]&lt;=2,"1-2 Years",Table1[[#This Row],[YearsAtCompany]]&lt;=3,"2-3 Years",Table1[[#This Row],[YearsAtCompany]]&lt;=4,"3-4 Years",Table1[[#This Row],[YearsAtCompany]]&lt;=5,"4-5 Years",Table1[[#This Row],[YearsAtCompany]]&gt;5,"&gt;5 Years")</f>
        <v>2-3 Years</v>
      </c>
    </row>
    <row r="1172" spans="1:39" hidden="1" x14ac:dyDescent="0.45">
      <c r="A1172">
        <v>27</v>
      </c>
      <c r="B1172" t="s">
        <v>43</v>
      </c>
      <c r="C1172" t="s">
        <v>63</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_xlfn.IFS(Table1[[#This Row],[Age]]&lt;30,"Young",Table1[[#This Row],[Age]]&lt;=40,"Adult",Table1[[#This Row],[Age]]&gt;40,"Senior")</f>
        <v>Young</v>
      </c>
      <c r="AK1172" t="str" cm="1">
        <f t="array" ref="AK1172">_xlfn.IFS(Table1[[#This Row],[MonthlyIncome]]&lt;5000,"Low",Table1[[#This Row],[MonthlyIncome]]&lt;10000,"Medium",Table1[[#This Row],[MonthlyIncome]]&gt;10000,"High")</f>
        <v>Low</v>
      </c>
      <c r="AL1172" t="str" cm="1">
        <f t="array" ref="AL1172">_xlfn.IFS(Table1[[#This Row],[Attrition]]="Yes","Resigned",Table1[[#This Row],[Attrition]]="No","Active")</f>
        <v>Active</v>
      </c>
      <c r="AM1172" t="str" cm="1">
        <f t="array" ref="AM1172">_xlfn.IFS(Table1[[#This Row],[YearsAtCompany]]&lt;=1,"0-1 Year",Table1[[#This Row],[YearsAtCompany]]&lt;=2,"1-2 Years",Table1[[#This Row],[YearsAtCompany]]&lt;=3,"2-3 Years",Table1[[#This Row],[YearsAtCompany]]&lt;=4,"3-4 Years",Table1[[#This Row],[YearsAtCompany]]&lt;=5,"4-5 Years",Table1[[#This Row],[YearsAtCompany]]&gt;5,"&gt;5 Years")</f>
        <v>3-4 Years</v>
      </c>
    </row>
    <row r="1173" spans="1:39" hidden="1" x14ac:dyDescent="0.45">
      <c r="A1173">
        <v>40</v>
      </c>
      <c r="B1173" t="s">
        <v>35</v>
      </c>
      <c r="C1173" t="s">
        <v>64</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_xlfn.IFS(Table1[[#This Row],[Age]]&lt;30,"Young",Table1[[#This Row],[Age]]&lt;=40,"Adult",Table1[[#This Row],[Age]]&gt;40,"Senior")</f>
        <v>Adult</v>
      </c>
      <c r="AK1173" t="str" cm="1">
        <f t="array" ref="AK1173">_xlfn.IFS(Table1[[#This Row],[MonthlyIncome]]&lt;5000,"Low",Table1[[#This Row],[MonthlyIncome]]&lt;10000,"Medium",Table1[[#This Row],[MonthlyIncome]]&gt;10000,"High")</f>
        <v>Low</v>
      </c>
      <c r="AL1173" t="str" cm="1">
        <f t="array" ref="AL1173">_xlfn.IFS(Table1[[#This Row],[Attrition]]="Yes","Resigned",Table1[[#This Row],[Attrition]]="No","Active")</f>
        <v>Resigned</v>
      </c>
      <c r="AM1173" t="str" cm="1">
        <f t="array" ref="AM1173">_xlfn.IFS(Table1[[#This Row],[YearsAtCompany]]&lt;=1,"0-1 Year",Table1[[#This Row],[YearsAtCompany]]&lt;=2,"1-2 Years",Table1[[#This Row],[YearsAtCompany]]&lt;=3,"2-3 Years",Table1[[#This Row],[YearsAtCompany]]&lt;=4,"3-4 Years",Table1[[#This Row],[YearsAtCompany]]&lt;=5,"4-5 Years",Table1[[#This Row],[YearsAtCompany]]&gt;5,"&gt;5 Years")</f>
        <v>3-4 Years</v>
      </c>
    </row>
    <row r="1174" spans="1:39" x14ac:dyDescent="0.45">
      <c r="A1174">
        <v>29</v>
      </c>
      <c r="B1174" t="s">
        <v>43</v>
      </c>
      <c r="C1174" t="s">
        <v>64</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_xlfn.IFS(Table1[[#This Row],[Age]]&lt;30,"Young",Table1[[#This Row],[Age]]&lt;=40,"Adult",Table1[[#This Row],[Age]]&gt;40,"Senior")</f>
        <v>Young</v>
      </c>
      <c r="AK1174" t="str" cm="1">
        <f t="array" ref="AK1174">_xlfn.IFS(Table1[[#This Row],[MonthlyIncome]]&lt;5000,"Low",Table1[[#This Row],[MonthlyIncome]]&lt;10000,"Medium",Table1[[#This Row],[MonthlyIncome]]&gt;10000,"High")</f>
        <v>Medium</v>
      </c>
      <c r="AL1174" t="str" cm="1">
        <f t="array" ref="AL1174">_xlfn.IFS(Table1[[#This Row],[Attrition]]="Yes","Resigned",Table1[[#This Row],[Attrition]]="No","Active")</f>
        <v>Active</v>
      </c>
      <c r="AM1174" t="str" cm="1">
        <f t="array" ref="AM1174">_xlfn.IFS(Table1[[#This Row],[YearsAtCompany]]&lt;=1,"0-1 Year",Table1[[#This Row],[YearsAtCompany]]&lt;=2,"1-2 Years",Table1[[#This Row],[YearsAtCompany]]&lt;=3,"2-3 Years",Table1[[#This Row],[YearsAtCompany]]&lt;=4,"3-4 Years",Table1[[#This Row],[YearsAtCompany]]&lt;=5,"4-5 Years",Table1[[#This Row],[YearsAtCompany]]&gt;5,"&gt;5 Years")</f>
        <v>4-5 Years</v>
      </c>
    </row>
    <row r="1175" spans="1:39" hidden="1" x14ac:dyDescent="0.45">
      <c r="A1175">
        <v>36</v>
      </c>
      <c r="B1175" t="s">
        <v>43</v>
      </c>
      <c r="C1175" t="s">
        <v>64</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_xlfn.IFS(Table1[[#This Row],[Age]]&lt;30,"Young",Table1[[#This Row],[Age]]&lt;=40,"Adult",Table1[[#This Row],[Age]]&gt;40,"Senior")</f>
        <v>Adult</v>
      </c>
      <c r="AK1175" t="str" cm="1">
        <f t="array" ref="AK1175">_xlfn.IFS(Table1[[#This Row],[MonthlyIncome]]&lt;5000,"Low",Table1[[#This Row],[MonthlyIncome]]&lt;10000,"Medium",Table1[[#This Row],[MonthlyIncome]]&gt;10000,"High")</f>
        <v>Medium</v>
      </c>
      <c r="AL1175" t="str" cm="1">
        <f t="array" ref="AL1175">_xlfn.IFS(Table1[[#This Row],[Attrition]]="Yes","Resigned",Table1[[#This Row],[Attrition]]="No","Active")</f>
        <v>Active</v>
      </c>
      <c r="AM1175" t="str" cm="1">
        <f t="array" ref="AM1175">_xlfn.IFS(Table1[[#This Row],[YearsAtCompany]]&lt;=1,"0-1 Year",Table1[[#This Row],[YearsAtCompany]]&lt;=2,"1-2 Years",Table1[[#This Row],[YearsAtCompany]]&lt;=3,"2-3 Years",Table1[[#This Row],[YearsAtCompany]]&lt;=4,"3-4 Years",Table1[[#This Row],[YearsAtCompany]]&lt;=5,"4-5 Years",Table1[[#This Row],[YearsAtCompany]]&gt;5,"&gt;5 Years")</f>
        <v>2-3 Years</v>
      </c>
    </row>
    <row r="1176" spans="1:39" hidden="1" x14ac:dyDescent="0.45">
      <c r="A1176">
        <v>25</v>
      </c>
      <c r="B1176" t="s">
        <v>43</v>
      </c>
      <c r="C1176" t="s">
        <v>63</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_xlfn.IFS(Table1[[#This Row],[Age]]&lt;30,"Young",Table1[[#This Row],[Age]]&lt;=40,"Adult",Table1[[#This Row],[Age]]&gt;40,"Senior")</f>
        <v>Young</v>
      </c>
      <c r="AK1176" t="str" cm="1">
        <f t="array" ref="AK1176">_xlfn.IFS(Table1[[#This Row],[MonthlyIncome]]&lt;5000,"Low",Table1[[#This Row],[MonthlyIncome]]&lt;10000,"Medium",Table1[[#This Row],[MonthlyIncome]]&gt;10000,"High")</f>
        <v>Medium</v>
      </c>
      <c r="AL1176" t="str" cm="1">
        <f t="array" ref="AL1176">_xlfn.IFS(Table1[[#This Row],[Attrition]]="Yes","Resigned",Table1[[#This Row],[Attrition]]="No","Active")</f>
        <v>Active</v>
      </c>
      <c r="AM1176" t="str" cm="1">
        <f t="array" ref="AM1176">_xlfn.IFS(Table1[[#This Row],[YearsAtCompany]]&lt;=1,"0-1 Year",Table1[[#This Row],[YearsAtCompany]]&lt;=2,"1-2 Years",Table1[[#This Row],[YearsAtCompany]]&lt;=3,"2-3 Years",Table1[[#This Row],[YearsAtCompany]]&lt;=4,"3-4 Years",Table1[[#This Row],[YearsAtCompany]]&lt;=5,"4-5 Years",Table1[[#This Row],[YearsAtCompany]]&gt;5,"&gt;5 Years")</f>
        <v>&gt;5 Years</v>
      </c>
    </row>
    <row r="1177" spans="1:39" hidden="1" x14ac:dyDescent="0.45">
      <c r="A1177">
        <v>39</v>
      </c>
      <c r="B1177" t="s">
        <v>43</v>
      </c>
      <c r="C1177" t="s">
        <v>64</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_xlfn.IFS(Table1[[#This Row],[Age]]&lt;30,"Young",Table1[[#This Row],[Age]]&lt;=40,"Adult",Table1[[#This Row],[Age]]&gt;40,"Senior")</f>
        <v>Adult</v>
      </c>
      <c r="AK1177" t="str" cm="1">
        <f t="array" ref="AK1177">_xlfn.IFS(Table1[[#This Row],[MonthlyIncome]]&lt;5000,"Low",Table1[[#This Row],[MonthlyIncome]]&lt;10000,"Medium",Table1[[#This Row],[MonthlyIncome]]&gt;10000,"High")</f>
        <v>Medium</v>
      </c>
      <c r="AL1177" t="str" cm="1">
        <f t="array" ref="AL1177">_xlfn.IFS(Table1[[#This Row],[Attrition]]="Yes","Resigned",Table1[[#This Row],[Attrition]]="No","Active")</f>
        <v>Active</v>
      </c>
      <c r="AM1177" t="str" cm="1">
        <f t="array" ref="AM1177">_xlfn.IFS(Table1[[#This Row],[YearsAtCompany]]&lt;=1,"0-1 Year",Table1[[#This Row],[YearsAtCompany]]&lt;=2,"1-2 Years",Table1[[#This Row],[YearsAtCompany]]&lt;=3,"2-3 Years",Table1[[#This Row],[YearsAtCompany]]&lt;=4,"3-4 Years",Table1[[#This Row],[YearsAtCompany]]&lt;=5,"4-5 Years",Table1[[#This Row],[YearsAtCompany]]&gt;5,"&gt;5 Years")</f>
        <v>4-5 Years</v>
      </c>
    </row>
    <row r="1178" spans="1:39" hidden="1" x14ac:dyDescent="0.45">
      <c r="A1178">
        <v>49</v>
      </c>
      <c r="B1178" t="s">
        <v>43</v>
      </c>
      <c r="C1178" t="s">
        <v>64</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_xlfn.IFS(Table1[[#This Row],[Age]]&lt;30,"Young",Table1[[#This Row],[Age]]&lt;=40,"Adult",Table1[[#This Row],[Age]]&gt;40,"Senior")</f>
        <v>Senior</v>
      </c>
      <c r="AK1178" t="str" cm="1">
        <f t="array" ref="AK1178">_xlfn.IFS(Table1[[#This Row],[MonthlyIncome]]&lt;5000,"Low",Table1[[#This Row],[MonthlyIncome]]&lt;10000,"Medium",Table1[[#This Row],[MonthlyIncome]]&gt;10000,"High")</f>
        <v>High</v>
      </c>
      <c r="AL1178" t="str" cm="1">
        <f t="array" ref="AL1178">_xlfn.IFS(Table1[[#This Row],[Attrition]]="Yes","Resigned",Table1[[#This Row],[Attrition]]="No","Active")</f>
        <v>Active</v>
      </c>
      <c r="AM1178" t="str" cm="1">
        <f t="array" ref="AM1178">_xlfn.IFS(Table1[[#This Row],[YearsAtCompany]]&lt;=1,"0-1 Year",Table1[[#This Row],[YearsAtCompany]]&lt;=2,"1-2 Years",Table1[[#This Row],[YearsAtCompany]]&lt;=3,"2-3 Years",Table1[[#This Row],[YearsAtCompany]]&lt;=4,"3-4 Years",Table1[[#This Row],[YearsAtCompany]]&lt;=5,"4-5 Years",Table1[[#This Row],[YearsAtCompany]]&gt;5,"&gt;5 Years")</f>
        <v>3-4 Years</v>
      </c>
    </row>
    <row r="1179" spans="1:39" hidden="1" x14ac:dyDescent="0.45">
      <c r="A1179">
        <v>50</v>
      </c>
      <c r="B1179" t="s">
        <v>43</v>
      </c>
      <c r="C1179" t="s">
        <v>64</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_xlfn.IFS(Table1[[#This Row],[Age]]&lt;30,"Young",Table1[[#This Row],[Age]]&lt;=40,"Adult",Table1[[#This Row],[Age]]&gt;40,"Senior")</f>
        <v>Senior</v>
      </c>
      <c r="AK1179" t="str" cm="1">
        <f t="array" ref="AK1179">_xlfn.IFS(Table1[[#This Row],[MonthlyIncome]]&lt;5000,"Low",Table1[[#This Row],[MonthlyIncome]]&lt;10000,"Medium",Table1[[#This Row],[MonthlyIncome]]&gt;10000,"High")</f>
        <v>High</v>
      </c>
      <c r="AL1179" t="str" cm="1">
        <f t="array" ref="AL1179">_xlfn.IFS(Table1[[#This Row],[Attrition]]="Yes","Resigned",Table1[[#This Row],[Attrition]]="No","Active")</f>
        <v>Active</v>
      </c>
      <c r="AM1179" t="str" cm="1">
        <f t="array" ref="AM1179">_xlfn.IFS(Table1[[#This Row],[YearsAtCompany]]&lt;=1,"0-1 Year",Table1[[#This Row],[YearsAtCompany]]&lt;=2,"1-2 Years",Table1[[#This Row],[YearsAtCompany]]&lt;=3,"2-3 Years",Table1[[#This Row],[YearsAtCompany]]&lt;=4,"3-4 Years",Table1[[#This Row],[YearsAtCompany]]&lt;=5,"4-5 Years",Table1[[#This Row],[YearsAtCompany]]&gt;5,"&gt;5 Years")</f>
        <v>&gt;5 Years</v>
      </c>
    </row>
    <row r="1180" spans="1:39" x14ac:dyDescent="0.45">
      <c r="A1180">
        <v>20</v>
      </c>
      <c r="B1180" t="s">
        <v>43</v>
      </c>
      <c r="C1180" t="s">
        <v>64</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_xlfn.IFS(Table1[[#This Row],[Age]]&lt;30,"Young",Table1[[#This Row],[Age]]&lt;=40,"Adult",Table1[[#This Row],[Age]]&gt;40,"Senior")</f>
        <v>Young</v>
      </c>
      <c r="AK1180" t="str" cm="1">
        <f t="array" ref="AK1180">_xlfn.IFS(Table1[[#This Row],[MonthlyIncome]]&lt;5000,"Low",Table1[[#This Row],[MonthlyIncome]]&lt;10000,"Medium",Table1[[#This Row],[MonthlyIncome]]&gt;10000,"High")</f>
        <v>Low</v>
      </c>
      <c r="AL1180" t="str" cm="1">
        <f t="array" ref="AL1180">_xlfn.IFS(Table1[[#This Row],[Attrition]]="Yes","Resigned",Table1[[#This Row],[Attrition]]="No","Active")</f>
        <v>Active</v>
      </c>
      <c r="AM1180" t="str" cm="1">
        <f t="array" ref="AM1180">_xlfn.IFS(Table1[[#This Row],[YearsAtCompany]]&lt;=1,"0-1 Year",Table1[[#This Row],[YearsAtCompany]]&lt;=2,"1-2 Years",Table1[[#This Row],[YearsAtCompany]]&lt;=3,"2-3 Years",Table1[[#This Row],[YearsAtCompany]]&lt;=4,"3-4 Years",Table1[[#This Row],[YearsAtCompany]]&lt;=5,"4-5 Years",Table1[[#This Row],[YearsAtCompany]]&gt;5,"&gt;5 Years")</f>
        <v>1-2 Years</v>
      </c>
    </row>
    <row r="1181" spans="1:39" hidden="1" x14ac:dyDescent="0.45">
      <c r="A1181">
        <v>34</v>
      </c>
      <c r="B1181" t="s">
        <v>43</v>
      </c>
      <c r="C1181" t="s">
        <v>64</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_xlfn.IFS(Table1[[#This Row],[Age]]&lt;30,"Young",Table1[[#This Row],[Age]]&lt;=40,"Adult",Table1[[#This Row],[Age]]&gt;40,"Senior")</f>
        <v>Adult</v>
      </c>
      <c r="AK1181" t="str" cm="1">
        <f t="array" ref="AK1181">_xlfn.IFS(Table1[[#This Row],[MonthlyIncome]]&lt;5000,"Low",Table1[[#This Row],[MonthlyIncome]]&lt;10000,"Medium",Table1[[#This Row],[MonthlyIncome]]&gt;10000,"High")</f>
        <v>Medium</v>
      </c>
      <c r="AL1181" t="str" cm="1">
        <f t="array" ref="AL1181">_xlfn.IFS(Table1[[#This Row],[Attrition]]="Yes","Resigned",Table1[[#This Row],[Attrition]]="No","Active")</f>
        <v>Active</v>
      </c>
      <c r="AM1181" t="str" cm="1">
        <f t="array" ref="AM1181">_xlfn.IFS(Table1[[#This Row],[YearsAtCompany]]&lt;=1,"0-1 Year",Table1[[#This Row],[YearsAtCompany]]&lt;=2,"1-2 Years",Table1[[#This Row],[YearsAtCompany]]&lt;=3,"2-3 Years",Table1[[#This Row],[YearsAtCompany]]&lt;=4,"3-4 Years",Table1[[#This Row],[YearsAtCompany]]&lt;=5,"4-5 Years",Table1[[#This Row],[YearsAtCompany]]&gt;5,"&gt;5 Years")</f>
        <v>&gt;5 Years</v>
      </c>
    </row>
    <row r="1182" spans="1:39" hidden="1" x14ac:dyDescent="0.45">
      <c r="A1182">
        <v>36</v>
      </c>
      <c r="B1182" t="s">
        <v>43</v>
      </c>
      <c r="C1182" t="s">
        <v>64</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_xlfn.IFS(Table1[[#This Row],[Age]]&lt;30,"Young",Table1[[#This Row],[Age]]&lt;=40,"Adult",Table1[[#This Row],[Age]]&gt;40,"Senior")</f>
        <v>Adult</v>
      </c>
      <c r="AK1182" t="str" cm="1">
        <f t="array" ref="AK1182">_xlfn.IFS(Table1[[#This Row],[MonthlyIncome]]&lt;5000,"Low",Table1[[#This Row],[MonthlyIncome]]&lt;10000,"Medium",Table1[[#This Row],[MonthlyIncome]]&gt;10000,"High")</f>
        <v>Low</v>
      </c>
      <c r="AL1182" t="str" cm="1">
        <f t="array" ref="AL1182">_xlfn.IFS(Table1[[#This Row],[Attrition]]="Yes","Resigned",Table1[[#This Row],[Attrition]]="No","Active")</f>
        <v>Active</v>
      </c>
      <c r="AM1182" t="str" cm="1">
        <f t="array" ref="AM1182">_xlfn.IFS(Table1[[#This Row],[YearsAtCompany]]&lt;=1,"0-1 Year",Table1[[#This Row],[YearsAtCompany]]&lt;=2,"1-2 Years",Table1[[#This Row],[YearsAtCompany]]&lt;=3,"2-3 Years",Table1[[#This Row],[YearsAtCompany]]&lt;=4,"3-4 Years",Table1[[#This Row],[YearsAtCompany]]&lt;=5,"4-5 Years",Table1[[#This Row],[YearsAtCompany]]&gt;5,"&gt;5 Years")</f>
        <v>3-4 Years</v>
      </c>
    </row>
    <row r="1183" spans="1:39" hidden="1" x14ac:dyDescent="0.45">
      <c r="A1183">
        <v>49</v>
      </c>
      <c r="B1183" t="s">
        <v>43</v>
      </c>
      <c r="C1183" t="s">
        <v>64</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_xlfn.IFS(Table1[[#This Row],[Age]]&lt;30,"Young",Table1[[#This Row],[Age]]&lt;=40,"Adult",Table1[[#This Row],[Age]]&gt;40,"Senior")</f>
        <v>Senior</v>
      </c>
      <c r="AK1183" t="str" cm="1">
        <f t="array" ref="AK1183">_xlfn.IFS(Table1[[#This Row],[MonthlyIncome]]&lt;5000,"Low",Table1[[#This Row],[MonthlyIncome]]&lt;10000,"Medium",Table1[[#This Row],[MonthlyIncome]]&gt;10000,"High")</f>
        <v>High</v>
      </c>
      <c r="AL1183" t="str" cm="1">
        <f t="array" ref="AL1183">_xlfn.IFS(Table1[[#This Row],[Attrition]]="Yes","Resigned",Table1[[#This Row],[Attrition]]="No","Active")</f>
        <v>Active</v>
      </c>
      <c r="AM1183" t="str" cm="1">
        <f t="array" ref="AM1183">_xlfn.IFS(Table1[[#This Row],[YearsAtCompany]]&lt;=1,"0-1 Year",Table1[[#This Row],[YearsAtCompany]]&lt;=2,"1-2 Years",Table1[[#This Row],[YearsAtCompany]]&lt;=3,"2-3 Years",Table1[[#This Row],[YearsAtCompany]]&lt;=4,"3-4 Years",Table1[[#This Row],[YearsAtCompany]]&lt;=5,"4-5 Years",Table1[[#This Row],[YearsAtCompany]]&gt;5,"&gt;5 Years")</f>
        <v>&gt;5 Years</v>
      </c>
    </row>
    <row r="1184" spans="1:39" hidden="1" x14ac:dyDescent="0.45">
      <c r="A1184">
        <v>36</v>
      </c>
      <c r="B1184" t="s">
        <v>43</v>
      </c>
      <c r="C1184" t="s">
        <v>62</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_xlfn.IFS(Table1[[#This Row],[Age]]&lt;30,"Young",Table1[[#This Row],[Age]]&lt;=40,"Adult",Table1[[#This Row],[Age]]&gt;40,"Senior")</f>
        <v>Adult</v>
      </c>
      <c r="AK1184" t="str" cm="1">
        <f t="array" ref="AK1184">_xlfn.IFS(Table1[[#This Row],[MonthlyIncome]]&lt;5000,"Low",Table1[[#This Row],[MonthlyIncome]]&lt;10000,"Medium",Table1[[#This Row],[MonthlyIncome]]&gt;10000,"High")</f>
        <v>Low</v>
      </c>
      <c r="AL1184" t="str" cm="1">
        <f t="array" ref="AL1184">_xlfn.IFS(Table1[[#This Row],[Attrition]]="Yes","Resigned",Table1[[#This Row],[Attrition]]="No","Active")</f>
        <v>Active</v>
      </c>
      <c r="AM1184" t="str" cm="1">
        <f t="array" ref="AM1184">_xlfn.IFS(Table1[[#This Row],[YearsAtCompany]]&lt;=1,"0-1 Year",Table1[[#This Row],[YearsAtCompany]]&lt;=2,"1-2 Years",Table1[[#This Row],[YearsAtCompany]]&lt;=3,"2-3 Years",Table1[[#This Row],[YearsAtCompany]]&lt;=4,"3-4 Years",Table1[[#This Row],[YearsAtCompany]]&lt;=5,"4-5 Years",Table1[[#This Row],[YearsAtCompany]]&gt;5,"&gt;5 Years")</f>
        <v>2-3 Years</v>
      </c>
    </row>
    <row r="1185" spans="1:39" hidden="1" x14ac:dyDescent="0.45">
      <c r="A1185">
        <v>36</v>
      </c>
      <c r="B1185" t="s">
        <v>43</v>
      </c>
      <c r="C1185" t="s">
        <v>64</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_xlfn.IFS(Table1[[#This Row],[Age]]&lt;30,"Young",Table1[[#This Row],[Age]]&lt;=40,"Adult",Table1[[#This Row],[Age]]&gt;40,"Senior")</f>
        <v>Adult</v>
      </c>
      <c r="AK1185" t="str" cm="1">
        <f t="array" ref="AK1185">_xlfn.IFS(Table1[[#This Row],[MonthlyIncome]]&lt;5000,"Low",Table1[[#This Row],[MonthlyIncome]]&lt;10000,"Medium",Table1[[#This Row],[MonthlyIncome]]&gt;10000,"High")</f>
        <v>Medium</v>
      </c>
      <c r="AL1185" t="str" cm="1">
        <f t="array" ref="AL1185">_xlfn.IFS(Table1[[#This Row],[Attrition]]="Yes","Resigned",Table1[[#This Row],[Attrition]]="No","Active")</f>
        <v>Active</v>
      </c>
      <c r="AM1185" t="str" cm="1">
        <f t="array" ref="AM1185">_xlfn.IFS(Table1[[#This Row],[YearsAtCompany]]&lt;=1,"0-1 Year",Table1[[#This Row],[YearsAtCompany]]&lt;=2,"1-2 Years",Table1[[#This Row],[YearsAtCompany]]&lt;=3,"2-3 Years",Table1[[#This Row],[YearsAtCompany]]&lt;=4,"3-4 Years",Table1[[#This Row],[YearsAtCompany]]&lt;=5,"4-5 Years",Table1[[#This Row],[YearsAtCompany]]&gt;5,"&gt;5 Years")</f>
        <v>4-5 Years</v>
      </c>
    </row>
    <row r="1186" spans="1:39" hidden="1" x14ac:dyDescent="0.45">
      <c r="A1186">
        <v>54</v>
      </c>
      <c r="B1186" t="s">
        <v>43</v>
      </c>
      <c r="C1186" t="s">
        <v>64</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_xlfn.IFS(Table1[[#This Row],[Age]]&lt;30,"Young",Table1[[#This Row],[Age]]&lt;=40,"Adult",Table1[[#This Row],[Age]]&gt;40,"Senior")</f>
        <v>Senior</v>
      </c>
      <c r="AK1186" t="str" cm="1">
        <f t="array" ref="AK1186">_xlfn.IFS(Table1[[#This Row],[MonthlyIncome]]&lt;5000,"Low",Table1[[#This Row],[MonthlyIncome]]&lt;10000,"Medium",Table1[[#This Row],[MonthlyIncome]]&gt;10000,"High")</f>
        <v>High</v>
      </c>
      <c r="AL1186" t="str" cm="1">
        <f t="array" ref="AL1186">_xlfn.IFS(Table1[[#This Row],[Attrition]]="Yes","Resigned",Table1[[#This Row],[Attrition]]="No","Active")</f>
        <v>Active</v>
      </c>
      <c r="AM1186" t="str" cm="1">
        <f t="array" ref="AM1186">_xlfn.IFS(Table1[[#This Row],[YearsAtCompany]]&lt;=1,"0-1 Year",Table1[[#This Row],[YearsAtCompany]]&lt;=2,"1-2 Years",Table1[[#This Row],[YearsAtCompany]]&lt;=3,"2-3 Years",Table1[[#This Row],[YearsAtCompany]]&lt;=4,"3-4 Years",Table1[[#This Row],[YearsAtCompany]]&lt;=5,"4-5 Years",Table1[[#This Row],[YearsAtCompany]]&gt;5,"&gt;5 Years")</f>
        <v>&gt;5 Years</v>
      </c>
    </row>
    <row r="1187" spans="1:39" hidden="1" x14ac:dyDescent="0.45">
      <c r="A1187">
        <v>43</v>
      </c>
      <c r="B1187" t="s">
        <v>43</v>
      </c>
      <c r="C1187" t="s">
        <v>64</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_xlfn.IFS(Table1[[#This Row],[Age]]&lt;30,"Young",Table1[[#This Row],[Age]]&lt;=40,"Adult",Table1[[#This Row],[Age]]&gt;40,"Senior")</f>
        <v>Senior</v>
      </c>
      <c r="AK1187" t="str" cm="1">
        <f t="array" ref="AK1187">_xlfn.IFS(Table1[[#This Row],[MonthlyIncome]]&lt;5000,"Low",Table1[[#This Row],[MonthlyIncome]]&lt;10000,"Medium",Table1[[#This Row],[MonthlyIncome]]&gt;10000,"High")</f>
        <v>High</v>
      </c>
      <c r="AL1187" t="str" cm="1">
        <f t="array" ref="AL1187">_xlfn.IFS(Table1[[#This Row],[Attrition]]="Yes","Resigned",Table1[[#This Row],[Attrition]]="No","Active")</f>
        <v>Active</v>
      </c>
      <c r="AM1187" t="str" cm="1">
        <f t="array" ref="AM1187">_xlfn.IFS(Table1[[#This Row],[YearsAtCompany]]&lt;=1,"0-1 Year",Table1[[#This Row],[YearsAtCompany]]&lt;=2,"1-2 Years",Table1[[#This Row],[YearsAtCompany]]&lt;=3,"2-3 Years",Table1[[#This Row],[YearsAtCompany]]&lt;=4,"3-4 Years",Table1[[#This Row],[YearsAtCompany]]&lt;=5,"4-5 Years",Table1[[#This Row],[YearsAtCompany]]&gt;5,"&gt;5 Years")</f>
        <v>&gt;5 Years</v>
      </c>
    </row>
    <row r="1188" spans="1:39" x14ac:dyDescent="0.45">
      <c r="A1188">
        <v>35</v>
      </c>
      <c r="B1188" t="s">
        <v>35</v>
      </c>
      <c r="C1188" t="s">
        <v>63</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_xlfn.IFS(Table1[[#This Row],[Age]]&lt;30,"Young",Table1[[#This Row],[Age]]&lt;=40,"Adult",Table1[[#This Row],[Age]]&gt;40,"Senior")</f>
        <v>Adult</v>
      </c>
      <c r="AK1188" t="str" cm="1">
        <f t="array" ref="AK1188">_xlfn.IFS(Table1[[#This Row],[MonthlyIncome]]&lt;5000,"Low",Table1[[#This Row],[MonthlyIncome]]&lt;10000,"Medium",Table1[[#This Row],[MonthlyIncome]]&gt;10000,"High")</f>
        <v>Low</v>
      </c>
      <c r="AL1188" t="str" cm="1">
        <f t="array" ref="AL1188">_xlfn.IFS(Table1[[#This Row],[Attrition]]="Yes","Resigned",Table1[[#This Row],[Attrition]]="No","Active")</f>
        <v>Resigned</v>
      </c>
      <c r="AM1188" t="str" cm="1">
        <f t="array" ref="AM1188">_xlfn.IFS(Table1[[#This Row],[YearsAtCompany]]&lt;=1,"0-1 Year",Table1[[#This Row],[YearsAtCompany]]&lt;=2,"1-2 Years",Table1[[#This Row],[YearsAtCompany]]&lt;=3,"2-3 Years",Table1[[#This Row],[YearsAtCompany]]&lt;=4,"3-4 Years",Table1[[#This Row],[YearsAtCompany]]&lt;=5,"4-5 Years",Table1[[#This Row],[YearsAtCompany]]&gt;5,"&gt;5 Years")</f>
        <v>&gt;5 Years</v>
      </c>
    </row>
    <row r="1189" spans="1:39" hidden="1" x14ac:dyDescent="0.45">
      <c r="A1189">
        <v>38</v>
      </c>
      <c r="B1189" t="s">
        <v>43</v>
      </c>
      <c r="C1189" t="s">
        <v>63</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_xlfn.IFS(Table1[[#This Row],[Age]]&lt;30,"Young",Table1[[#This Row],[Age]]&lt;=40,"Adult",Table1[[#This Row],[Age]]&gt;40,"Senior")</f>
        <v>Adult</v>
      </c>
      <c r="AK1189" t="str" cm="1">
        <f t="array" ref="AK1189">_xlfn.IFS(Table1[[#This Row],[MonthlyIncome]]&lt;5000,"Low",Table1[[#This Row],[MonthlyIncome]]&lt;10000,"Medium",Table1[[#This Row],[MonthlyIncome]]&gt;10000,"High")</f>
        <v>Low</v>
      </c>
      <c r="AL1189" t="str" cm="1">
        <f t="array" ref="AL1189">_xlfn.IFS(Table1[[#This Row],[Attrition]]="Yes","Resigned",Table1[[#This Row],[Attrition]]="No","Active")</f>
        <v>Active</v>
      </c>
      <c r="AM1189" t="str" cm="1">
        <f t="array" ref="AM1189">_xlfn.IFS(Table1[[#This Row],[YearsAtCompany]]&lt;=1,"0-1 Year",Table1[[#This Row],[YearsAtCompany]]&lt;=2,"1-2 Years",Table1[[#This Row],[YearsAtCompany]]&lt;=3,"2-3 Years",Table1[[#This Row],[YearsAtCompany]]&lt;=4,"3-4 Years",Table1[[#This Row],[YearsAtCompany]]&lt;=5,"4-5 Years",Table1[[#This Row],[YearsAtCompany]]&gt;5,"&gt;5 Years")</f>
        <v>&gt;5 Years</v>
      </c>
    </row>
    <row r="1190" spans="1:39" x14ac:dyDescent="0.45">
      <c r="A1190">
        <v>29</v>
      </c>
      <c r="B1190" t="s">
        <v>43</v>
      </c>
      <c r="C1190" t="s">
        <v>64</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_xlfn.IFS(Table1[[#This Row],[Age]]&lt;30,"Young",Table1[[#This Row],[Age]]&lt;=40,"Adult",Table1[[#This Row],[Age]]&gt;40,"Senior")</f>
        <v>Young</v>
      </c>
      <c r="AK1190" t="str" cm="1">
        <f t="array" ref="AK1190">_xlfn.IFS(Table1[[#This Row],[MonthlyIncome]]&lt;5000,"Low",Table1[[#This Row],[MonthlyIncome]]&lt;10000,"Medium",Table1[[#This Row],[MonthlyIncome]]&gt;10000,"High")</f>
        <v>Low</v>
      </c>
      <c r="AL1190" t="str" cm="1">
        <f t="array" ref="AL1190">_xlfn.IFS(Table1[[#This Row],[Attrition]]="Yes","Resigned",Table1[[#This Row],[Attrition]]="No","Active")</f>
        <v>Active</v>
      </c>
      <c r="AM1190" t="str" cm="1">
        <f t="array" ref="AM1190">_xlfn.IFS(Table1[[#This Row],[YearsAtCompany]]&lt;=1,"0-1 Year",Table1[[#This Row],[YearsAtCompany]]&lt;=2,"1-2 Years",Table1[[#This Row],[YearsAtCompany]]&lt;=3,"2-3 Years",Table1[[#This Row],[YearsAtCompany]]&lt;=4,"3-4 Years",Table1[[#This Row],[YearsAtCompany]]&lt;=5,"4-5 Years",Table1[[#This Row],[YearsAtCompany]]&gt;5,"&gt;5 Years")</f>
        <v>&gt;5 Years</v>
      </c>
    </row>
    <row r="1191" spans="1:39" x14ac:dyDescent="0.45">
      <c r="A1191">
        <v>33</v>
      </c>
      <c r="B1191" t="s">
        <v>43</v>
      </c>
      <c r="C1191" t="s">
        <v>64</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_xlfn.IFS(Table1[[#This Row],[Age]]&lt;30,"Young",Table1[[#This Row],[Age]]&lt;=40,"Adult",Table1[[#This Row],[Age]]&gt;40,"Senior")</f>
        <v>Adult</v>
      </c>
      <c r="AK1191" t="str" cm="1">
        <f t="array" ref="AK1191">_xlfn.IFS(Table1[[#This Row],[MonthlyIncome]]&lt;5000,"Low",Table1[[#This Row],[MonthlyIncome]]&lt;10000,"Medium",Table1[[#This Row],[MonthlyIncome]]&gt;10000,"High")</f>
        <v>Medium</v>
      </c>
      <c r="AL1191" t="str" cm="1">
        <f t="array" ref="AL1191">_xlfn.IFS(Table1[[#This Row],[Attrition]]="Yes","Resigned",Table1[[#This Row],[Attrition]]="No","Active")</f>
        <v>Active</v>
      </c>
      <c r="AM1191" t="str" cm="1">
        <f t="array" ref="AM1191">_xlfn.IFS(Table1[[#This Row],[YearsAtCompany]]&lt;=1,"0-1 Year",Table1[[#This Row],[YearsAtCompany]]&lt;=2,"1-2 Years",Table1[[#This Row],[YearsAtCompany]]&lt;=3,"2-3 Years",Table1[[#This Row],[YearsAtCompany]]&lt;=4,"3-4 Years",Table1[[#This Row],[YearsAtCompany]]&lt;=5,"4-5 Years",Table1[[#This Row],[YearsAtCompany]]&gt;5,"&gt;5 Years")</f>
        <v>&gt;5 Years</v>
      </c>
    </row>
    <row r="1192" spans="1:39" hidden="1" x14ac:dyDescent="0.45">
      <c r="A1192">
        <v>32</v>
      </c>
      <c r="B1192" t="s">
        <v>43</v>
      </c>
      <c r="C1192" t="s">
        <v>64</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_xlfn.IFS(Table1[[#This Row],[Age]]&lt;30,"Young",Table1[[#This Row],[Age]]&lt;=40,"Adult",Table1[[#This Row],[Age]]&gt;40,"Senior")</f>
        <v>Adult</v>
      </c>
      <c r="AK1192" t="str" cm="1">
        <f t="array" ref="AK1192">_xlfn.IFS(Table1[[#This Row],[MonthlyIncome]]&lt;5000,"Low",Table1[[#This Row],[MonthlyIncome]]&lt;10000,"Medium",Table1[[#This Row],[MonthlyIncome]]&gt;10000,"High")</f>
        <v>Medium</v>
      </c>
      <c r="AL1192" t="str" cm="1">
        <f t="array" ref="AL1192">_xlfn.IFS(Table1[[#This Row],[Attrition]]="Yes","Resigned",Table1[[#This Row],[Attrition]]="No","Active")</f>
        <v>Active</v>
      </c>
      <c r="AM1192" t="str" cm="1">
        <f t="array" ref="AM1192">_xlfn.IFS(Table1[[#This Row],[YearsAtCompany]]&lt;=1,"0-1 Year",Table1[[#This Row],[YearsAtCompany]]&lt;=2,"1-2 Years",Table1[[#This Row],[YearsAtCompany]]&lt;=3,"2-3 Years",Table1[[#This Row],[YearsAtCompany]]&lt;=4,"3-4 Years",Table1[[#This Row],[YearsAtCompany]]&lt;=5,"4-5 Years",Table1[[#This Row],[YearsAtCompany]]&gt;5,"&gt;5 Years")</f>
        <v>&gt;5 Years</v>
      </c>
    </row>
    <row r="1193" spans="1:39" x14ac:dyDescent="0.45">
      <c r="A1193">
        <v>31</v>
      </c>
      <c r="B1193" t="s">
        <v>43</v>
      </c>
      <c r="C1193" t="s">
        <v>64</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_xlfn.IFS(Table1[[#This Row],[Age]]&lt;30,"Young",Table1[[#This Row],[Age]]&lt;=40,"Adult",Table1[[#This Row],[Age]]&gt;40,"Senior")</f>
        <v>Adult</v>
      </c>
      <c r="AK1193" t="str" cm="1">
        <f t="array" ref="AK1193">_xlfn.IFS(Table1[[#This Row],[MonthlyIncome]]&lt;5000,"Low",Table1[[#This Row],[MonthlyIncome]]&lt;10000,"Medium",Table1[[#This Row],[MonthlyIncome]]&gt;10000,"High")</f>
        <v>Medium</v>
      </c>
      <c r="AL1193" t="str" cm="1">
        <f t="array" ref="AL1193">_xlfn.IFS(Table1[[#This Row],[Attrition]]="Yes","Resigned",Table1[[#This Row],[Attrition]]="No","Active")</f>
        <v>Active</v>
      </c>
      <c r="AM1193" t="str" cm="1">
        <f t="array" ref="AM1193">_xlfn.IFS(Table1[[#This Row],[YearsAtCompany]]&lt;=1,"0-1 Year",Table1[[#This Row],[YearsAtCompany]]&lt;=2,"1-2 Years",Table1[[#This Row],[YearsAtCompany]]&lt;=3,"2-3 Years",Table1[[#This Row],[YearsAtCompany]]&lt;=4,"3-4 Years",Table1[[#This Row],[YearsAtCompany]]&lt;=5,"4-5 Years",Table1[[#This Row],[YearsAtCompany]]&gt;5,"&gt;5 Years")</f>
        <v>&gt;5 Years</v>
      </c>
    </row>
    <row r="1194" spans="1:39" hidden="1" x14ac:dyDescent="0.45">
      <c r="A1194">
        <v>49</v>
      </c>
      <c r="B1194" t="s">
        <v>43</v>
      </c>
      <c r="C1194" t="s">
        <v>64</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_xlfn.IFS(Table1[[#This Row],[Age]]&lt;30,"Young",Table1[[#This Row],[Age]]&lt;=40,"Adult",Table1[[#This Row],[Age]]&gt;40,"Senior")</f>
        <v>Senior</v>
      </c>
      <c r="AK1194" t="str" cm="1">
        <f t="array" ref="AK1194">_xlfn.IFS(Table1[[#This Row],[MonthlyIncome]]&lt;5000,"Low",Table1[[#This Row],[MonthlyIncome]]&lt;10000,"Medium",Table1[[#This Row],[MonthlyIncome]]&gt;10000,"High")</f>
        <v>Low</v>
      </c>
      <c r="AL1194" t="str" cm="1">
        <f t="array" ref="AL1194">_xlfn.IFS(Table1[[#This Row],[Attrition]]="Yes","Resigned",Table1[[#This Row],[Attrition]]="No","Active")</f>
        <v>Active</v>
      </c>
      <c r="AM1194" t="str" cm="1">
        <f t="array" ref="AM1194">_xlfn.IFS(Table1[[#This Row],[YearsAtCompany]]&lt;=1,"0-1 Year",Table1[[#This Row],[YearsAtCompany]]&lt;=2,"1-2 Years",Table1[[#This Row],[YearsAtCompany]]&lt;=3,"2-3 Years",Table1[[#This Row],[YearsAtCompany]]&lt;=4,"3-4 Years",Table1[[#This Row],[YearsAtCompany]]&lt;=5,"4-5 Years",Table1[[#This Row],[YearsAtCompany]]&gt;5,"&gt;5 Years")</f>
        <v>1-2 Years</v>
      </c>
    </row>
    <row r="1195" spans="1:39" hidden="1" x14ac:dyDescent="0.45">
      <c r="A1195">
        <v>38</v>
      </c>
      <c r="B1195" t="s">
        <v>43</v>
      </c>
      <c r="C1195" t="s">
        <v>63</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_xlfn.IFS(Table1[[#This Row],[Age]]&lt;30,"Young",Table1[[#This Row],[Age]]&lt;=40,"Adult",Table1[[#This Row],[Age]]&gt;40,"Senior")</f>
        <v>Adult</v>
      </c>
      <c r="AK1195" t="str" cm="1">
        <f t="array" ref="AK1195">_xlfn.IFS(Table1[[#This Row],[MonthlyIncome]]&lt;5000,"Low",Table1[[#This Row],[MonthlyIncome]]&lt;10000,"Medium",Table1[[#This Row],[MonthlyIncome]]&gt;10000,"High")</f>
        <v>Low</v>
      </c>
      <c r="AL1195" t="str" cm="1">
        <f t="array" ref="AL1195">_xlfn.IFS(Table1[[#This Row],[Attrition]]="Yes","Resigned",Table1[[#This Row],[Attrition]]="No","Active")</f>
        <v>Active</v>
      </c>
      <c r="AM1195" t="str" cm="1">
        <f t="array" ref="AM1195">_xlfn.IFS(Table1[[#This Row],[YearsAtCompany]]&lt;=1,"0-1 Year",Table1[[#This Row],[YearsAtCompany]]&lt;=2,"1-2 Years",Table1[[#This Row],[YearsAtCompany]]&lt;=3,"2-3 Years",Table1[[#This Row],[YearsAtCompany]]&lt;=4,"3-4 Years",Table1[[#This Row],[YearsAtCompany]]&lt;=5,"4-5 Years",Table1[[#This Row],[YearsAtCompany]]&gt;5,"&gt;5 Years")</f>
        <v>3-4 Years</v>
      </c>
    </row>
    <row r="1196" spans="1:39" x14ac:dyDescent="0.45">
      <c r="A1196">
        <v>47</v>
      </c>
      <c r="B1196" t="s">
        <v>43</v>
      </c>
      <c r="C1196" t="s">
        <v>64</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_xlfn.IFS(Table1[[#This Row],[Age]]&lt;30,"Young",Table1[[#This Row],[Age]]&lt;=40,"Adult",Table1[[#This Row],[Age]]&gt;40,"Senior")</f>
        <v>Senior</v>
      </c>
      <c r="AK1196" t="str" cm="1">
        <f t="array" ref="AK1196">_xlfn.IFS(Table1[[#This Row],[MonthlyIncome]]&lt;5000,"Low",Table1[[#This Row],[MonthlyIncome]]&lt;10000,"Medium",Table1[[#This Row],[MonthlyIncome]]&gt;10000,"High")</f>
        <v>High</v>
      </c>
      <c r="AL1196" t="str" cm="1">
        <f t="array" ref="AL1196">_xlfn.IFS(Table1[[#This Row],[Attrition]]="Yes","Resigned",Table1[[#This Row],[Attrition]]="No","Active")</f>
        <v>Active</v>
      </c>
      <c r="AM1196" t="str" cm="1">
        <f t="array" ref="AM1196">_xlfn.IFS(Table1[[#This Row],[YearsAtCompany]]&lt;=1,"0-1 Year",Table1[[#This Row],[YearsAtCompany]]&lt;=2,"1-2 Years",Table1[[#This Row],[YearsAtCompany]]&lt;=3,"2-3 Years",Table1[[#This Row],[YearsAtCompany]]&lt;=4,"3-4 Years",Table1[[#This Row],[YearsAtCompany]]&lt;=5,"4-5 Years",Table1[[#This Row],[YearsAtCompany]]&gt;5,"&gt;5 Years")</f>
        <v>2-3 Years</v>
      </c>
    </row>
    <row r="1197" spans="1:39" hidden="1" x14ac:dyDescent="0.45">
      <c r="A1197">
        <v>49</v>
      </c>
      <c r="B1197" t="s">
        <v>43</v>
      </c>
      <c r="C1197" t="s">
        <v>64</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_xlfn.IFS(Table1[[#This Row],[Age]]&lt;30,"Young",Table1[[#This Row],[Age]]&lt;=40,"Adult",Table1[[#This Row],[Age]]&gt;40,"Senior")</f>
        <v>Senior</v>
      </c>
      <c r="AK1197" t="str" cm="1">
        <f t="array" ref="AK1197">_xlfn.IFS(Table1[[#This Row],[MonthlyIncome]]&lt;5000,"Low",Table1[[#This Row],[MonthlyIncome]]&lt;10000,"Medium",Table1[[#This Row],[MonthlyIncome]]&gt;10000,"High")</f>
        <v>High</v>
      </c>
      <c r="AL1197" t="str" cm="1">
        <f t="array" ref="AL1197">_xlfn.IFS(Table1[[#This Row],[Attrition]]="Yes","Resigned",Table1[[#This Row],[Attrition]]="No","Active")</f>
        <v>Active</v>
      </c>
      <c r="AM1197" t="str" cm="1">
        <f t="array" ref="AM1197">_xlfn.IFS(Table1[[#This Row],[YearsAtCompany]]&lt;=1,"0-1 Year",Table1[[#This Row],[YearsAtCompany]]&lt;=2,"1-2 Years",Table1[[#This Row],[YearsAtCompany]]&lt;=3,"2-3 Years",Table1[[#This Row],[YearsAtCompany]]&lt;=4,"3-4 Years",Table1[[#This Row],[YearsAtCompany]]&lt;=5,"4-5 Years",Table1[[#This Row],[YearsAtCompany]]&gt;5,"&gt;5 Years")</f>
        <v>&gt;5 Years</v>
      </c>
    </row>
    <row r="1198" spans="1:39" x14ac:dyDescent="0.45">
      <c r="A1198">
        <v>41</v>
      </c>
      <c r="B1198" t="s">
        <v>43</v>
      </c>
      <c r="C1198" t="s">
        <v>64</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_xlfn.IFS(Table1[[#This Row],[Age]]&lt;30,"Young",Table1[[#This Row],[Age]]&lt;=40,"Adult",Table1[[#This Row],[Age]]&gt;40,"Senior")</f>
        <v>Senior</v>
      </c>
      <c r="AK1198" t="str" cm="1">
        <f t="array" ref="AK1198">_xlfn.IFS(Table1[[#This Row],[MonthlyIncome]]&lt;5000,"Low",Table1[[#This Row],[MonthlyIncome]]&lt;10000,"Medium",Table1[[#This Row],[MonthlyIncome]]&gt;10000,"High")</f>
        <v>Medium</v>
      </c>
      <c r="AL1198" t="str" cm="1">
        <f t="array" ref="AL1198">_xlfn.IFS(Table1[[#This Row],[Attrition]]="Yes","Resigned",Table1[[#This Row],[Attrition]]="No","Active")</f>
        <v>Active</v>
      </c>
      <c r="AM1198" t="str" cm="1">
        <f t="array" ref="AM1198">_xlfn.IFS(Table1[[#This Row],[YearsAtCompany]]&lt;=1,"0-1 Year",Table1[[#This Row],[YearsAtCompany]]&lt;=2,"1-2 Years",Table1[[#This Row],[YearsAtCompany]]&lt;=3,"2-3 Years",Table1[[#This Row],[YearsAtCompany]]&lt;=4,"3-4 Years",Table1[[#This Row],[YearsAtCompany]]&lt;=5,"4-5 Years",Table1[[#This Row],[YearsAtCompany]]&gt;5,"&gt;5 Years")</f>
        <v>1-2 Years</v>
      </c>
    </row>
    <row r="1199" spans="1:39" x14ac:dyDescent="0.45">
      <c r="A1199">
        <v>20</v>
      </c>
      <c r="B1199" t="s">
        <v>43</v>
      </c>
      <c r="C1199" t="s">
        <v>64</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_xlfn.IFS(Table1[[#This Row],[Age]]&lt;30,"Young",Table1[[#This Row],[Age]]&lt;=40,"Adult",Table1[[#This Row],[Age]]&gt;40,"Senior")</f>
        <v>Young</v>
      </c>
      <c r="AK1199" t="str" cm="1">
        <f t="array" ref="AK1199">_xlfn.IFS(Table1[[#This Row],[MonthlyIncome]]&lt;5000,"Low",Table1[[#This Row],[MonthlyIncome]]&lt;10000,"Medium",Table1[[#This Row],[MonthlyIncome]]&gt;10000,"High")</f>
        <v>Low</v>
      </c>
      <c r="AL1199" t="str" cm="1">
        <f t="array" ref="AL1199">_xlfn.IFS(Table1[[#This Row],[Attrition]]="Yes","Resigned",Table1[[#This Row],[Attrition]]="No","Active")</f>
        <v>Active</v>
      </c>
      <c r="AM1199" t="str" cm="1">
        <f t="array" ref="AM1199">_xlfn.IFS(Table1[[#This Row],[YearsAtCompany]]&lt;=1,"0-1 Year",Table1[[#This Row],[YearsAtCompany]]&lt;=2,"1-2 Years",Table1[[#This Row],[YearsAtCompany]]&lt;=3,"2-3 Years",Table1[[#This Row],[YearsAtCompany]]&lt;=4,"3-4 Years",Table1[[#This Row],[YearsAtCompany]]&lt;=5,"4-5 Years",Table1[[#This Row],[YearsAtCompany]]&gt;5,"&gt;5 Years")</f>
        <v>1-2 Years</v>
      </c>
    </row>
    <row r="1200" spans="1:39" x14ac:dyDescent="0.45">
      <c r="A1200">
        <v>33</v>
      </c>
      <c r="B1200" t="s">
        <v>43</v>
      </c>
      <c r="C1200" t="s">
        <v>62</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_xlfn.IFS(Table1[[#This Row],[Age]]&lt;30,"Young",Table1[[#This Row],[Age]]&lt;=40,"Adult",Table1[[#This Row],[Age]]&gt;40,"Senior")</f>
        <v>Adult</v>
      </c>
      <c r="AK1200" t="str" cm="1">
        <f t="array" ref="AK1200">_xlfn.IFS(Table1[[#This Row],[MonthlyIncome]]&lt;5000,"Low",Table1[[#This Row],[MonthlyIncome]]&lt;10000,"Medium",Table1[[#This Row],[MonthlyIncome]]&gt;10000,"High")</f>
        <v>Medium</v>
      </c>
      <c r="AL1200" t="str" cm="1">
        <f t="array" ref="AL1200">_xlfn.IFS(Table1[[#This Row],[Attrition]]="Yes","Resigned",Table1[[#This Row],[Attrition]]="No","Active")</f>
        <v>Active</v>
      </c>
      <c r="AM1200" t="str" cm="1">
        <f t="array" ref="AM1200">_xlfn.IFS(Table1[[#This Row],[YearsAtCompany]]&lt;=1,"0-1 Year",Table1[[#This Row],[YearsAtCompany]]&lt;=2,"1-2 Years",Table1[[#This Row],[YearsAtCompany]]&lt;=3,"2-3 Years",Table1[[#This Row],[YearsAtCompany]]&lt;=4,"3-4 Years",Table1[[#This Row],[YearsAtCompany]]&lt;=5,"4-5 Years",Table1[[#This Row],[YearsAtCompany]]&gt;5,"&gt;5 Years")</f>
        <v>&gt;5 Years</v>
      </c>
    </row>
    <row r="1201" spans="1:39" hidden="1" x14ac:dyDescent="0.45">
      <c r="A1201">
        <v>36</v>
      </c>
      <c r="B1201" t="s">
        <v>43</v>
      </c>
      <c r="C1201" t="s">
        <v>64</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_xlfn.IFS(Table1[[#This Row],[Age]]&lt;30,"Young",Table1[[#This Row],[Age]]&lt;=40,"Adult",Table1[[#This Row],[Age]]&gt;40,"Senior")</f>
        <v>Adult</v>
      </c>
      <c r="AK1201" t="str" cm="1">
        <f t="array" ref="AK1201">_xlfn.IFS(Table1[[#This Row],[MonthlyIncome]]&lt;5000,"Low",Table1[[#This Row],[MonthlyIncome]]&lt;10000,"Medium",Table1[[#This Row],[MonthlyIncome]]&gt;10000,"High")</f>
        <v>Medium</v>
      </c>
      <c r="AL1201" t="str" cm="1">
        <f t="array" ref="AL1201">_xlfn.IFS(Table1[[#This Row],[Attrition]]="Yes","Resigned",Table1[[#This Row],[Attrition]]="No","Active")</f>
        <v>Active</v>
      </c>
      <c r="AM1201" t="str" cm="1">
        <f t="array" ref="AM1201">_xlfn.IFS(Table1[[#This Row],[YearsAtCompany]]&lt;=1,"0-1 Year",Table1[[#This Row],[YearsAtCompany]]&lt;=2,"1-2 Years",Table1[[#This Row],[YearsAtCompany]]&lt;=3,"2-3 Years",Table1[[#This Row],[YearsAtCompany]]&lt;=4,"3-4 Years",Table1[[#This Row],[YearsAtCompany]]&lt;=5,"4-5 Years",Table1[[#This Row],[YearsAtCompany]]&gt;5,"&gt;5 Years")</f>
        <v>2-3 Years</v>
      </c>
    </row>
    <row r="1202" spans="1:39" hidden="1" x14ac:dyDescent="0.45">
      <c r="A1202">
        <v>44</v>
      </c>
      <c r="B1202" t="s">
        <v>43</v>
      </c>
      <c r="C1202" t="s">
        <v>64</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_xlfn.IFS(Table1[[#This Row],[Age]]&lt;30,"Young",Table1[[#This Row],[Age]]&lt;=40,"Adult",Table1[[#This Row],[Age]]&gt;40,"Senior")</f>
        <v>Senior</v>
      </c>
      <c r="AK1202" t="str" cm="1">
        <f t="array" ref="AK1202">_xlfn.IFS(Table1[[#This Row],[MonthlyIncome]]&lt;5000,"Low",Table1[[#This Row],[MonthlyIncome]]&lt;10000,"Medium",Table1[[#This Row],[MonthlyIncome]]&gt;10000,"High")</f>
        <v>Low</v>
      </c>
      <c r="AL1202" t="str" cm="1">
        <f t="array" ref="AL1202">_xlfn.IFS(Table1[[#This Row],[Attrition]]="Yes","Resigned",Table1[[#This Row],[Attrition]]="No","Active")</f>
        <v>Active</v>
      </c>
      <c r="AM1202" t="str" cm="1">
        <f t="array" ref="AM1202">_xlfn.IFS(Table1[[#This Row],[YearsAtCompany]]&lt;=1,"0-1 Year",Table1[[#This Row],[YearsAtCompany]]&lt;=2,"1-2 Years",Table1[[#This Row],[YearsAtCompany]]&lt;=3,"2-3 Years",Table1[[#This Row],[YearsAtCompany]]&lt;=4,"3-4 Years",Table1[[#This Row],[YearsAtCompany]]&lt;=5,"4-5 Years",Table1[[#This Row],[YearsAtCompany]]&gt;5,"&gt;5 Years")</f>
        <v>1-2 Years</v>
      </c>
    </row>
    <row r="1203" spans="1:39" hidden="1" x14ac:dyDescent="0.45">
      <c r="A1203">
        <v>23</v>
      </c>
      <c r="B1203" t="s">
        <v>35</v>
      </c>
      <c r="C1203" t="s">
        <v>64</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_xlfn.IFS(Table1[[#This Row],[Age]]&lt;30,"Young",Table1[[#This Row],[Age]]&lt;=40,"Adult",Table1[[#This Row],[Age]]&gt;40,"Senior")</f>
        <v>Young</v>
      </c>
      <c r="AK1203" t="str" cm="1">
        <f t="array" ref="AK1203">_xlfn.IFS(Table1[[#This Row],[MonthlyIncome]]&lt;5000,"Low",Table1[[#This Row],[MonthlyIncome]]&lt;10000,"Medium",Table1[[#This Row],[MonthlyIncome]]&gt;10000,"High")</f>
        <v>Low</v>
      </c>
      <c r="AL1203" t="str" cm="1">
        <f t="array" ref="AL1203">_xlfn.IFS(Table1[[#This Row],[Attrition]]="Yes","Resigned",Table1[[#This Row],[Attrition]]="No","Active")</f>
        <v>Resigned</v>
      </c>
      <c r="AM1203" t="str" cm="1">
        <f t="array" ref="AM1203">_xlfn.IFS(Table1[[#This Row],[YearsAtCompany]]&lt;=1,"0-1 Year",Table1[[#This Row],[YearsAtCompany]]&lt;=2,"1-2 Years",Table1[[#This Row],[YearsAtCompany]]&lt;=3,"2-3 Years",Table1[[#This Row],[YearsAtCompany]]&lt;=4,"3-4 Years",Table1[[#This Row],[YearsAtCompany]]&lt;=5,"4-5 Years",Table1[[#This Row],[YearsAtCompany]]&gt;5,"&gt;5 Years")</f>
        <v>4-5 Years</v>
      </c>
    </row>
    <row r="1204" spans="1:39" hidden="1" x14ac:dyDescent="0.45">
      <c r="A1204">
        <v>38</v>
      </c>
      <c r="B1204" t="s">
        <v>43</v>
      </c>
      <c r="C1204" t="s">
        <v>64</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_xlfn.IFS(Table1[[#This Row],[Age]]&lt;30,"Young",Table1[[#This Row],[Age]]&lt;=40,"Adult",Table1[[#This Row],[Age]]&gt;40,"Senior")</f>
        <v>Adult</v>
      </c>
      <c r="AK1204" t="str" cm="1">
        <f t="array" ref="AK1204">_xlfn.IFS(Table1[[#This Row],[MonthlyIncome]]&lt;5000,"Low",Table1[[#This Row],[MonthlyIncome]]&lt;10000,"Medium",Table1[[#This Row],[MonthlyIncome]]&gt;10000,"High")</f>
        <v>Low</v>
      </c>
      <c r="AL1204" t="str" cm="1">
        <f t="array" ref="AL1204">_xlfn.IFS(Table1[[#This Row],[Attrition]]="Yes","Resigned",Table1[[#This Row],[Attrition]]="No","Active")</f>
        <v>Active</v>
      </c>
      <c r="AM1204" t="str" cm="1">
        <f t="array" ref="AM1204">_xlfn.IFS(Table1[[#This Row],[YearsAtCompany]]&lt;=1,"0-1 Year",Table1[[#This Row],[YearsAtCompany]]&lt;=2,"1-2 Years",Table1[[#This Row],[YearsAtCompany]]&lt;=3,"2-3 Years",Table1[[#This Row],[YearsAtCompany]]&lt;=4,"3-4 Years",Table1[[#This Row],[YearsAtCompany]]&lt;=5,"4-5 Years",Table1[[#This Row],[YearsAtCompany]]&gt;5,"&gt;5 Years")</f>
        <v>0-1 Year</v>
      </c>
    </row>
    <row r="1205" spans="1:39" hidden="1" x14ac:dyDescent="0.45">
      <c r="A1205">
        <v>53</v>
      </c>
      <c r="B1205" t="s">
        <v>43</v>
      </c>
      <c r="C1205" t="s">
        <v>64</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_xlfn.IFS(Table1[[#This Row],[Age]]&lt;30,"Young",Table1[[#This Row],[Age]]&lt;=40,"Adult",Table1[[#This Row],[Age]]&gt;40,"Senior")</f>
        <v>Senior</v>
      </c>
      <c r="AK1205" t="str" cm="1">
        <f t="array" ref="AK1205">_xlfn.IFS(Table1[[#This Row],[MonthlyIncome]]&lt;5000,"Low",Table1[[#This Row],[MonthlyIncome]]&lt;10000,"Medium",Table1[[#This Row],[MonthlyIncome]]&gt;10000,"High")</f>
        <v>Medium</v>
      </c>
      <c r="AL1205" t="str" cm="1">
        <f t="array" ref="AL1205">_xlfn.IFS(Table1[[#This Row],[Attrition]]="Yes","Resigned",Table1[[#This Row],[Attrition]]="No","Active")</f>
        <v>Active</v>
      </c>
      <c r="AM1205" t="str" cm="1">
        <f t="array" ref="AM1205">_xlfn.IFS(Table1[[#This Row],[YearsAtCompany]]&lt;=1,"0-1 Year",Table1[[#This Row],[YearsAtCompany]]&lt;=2,"1-2 Years",Table1[[#This Row],[YearsAtCompany]]&lt;=3,"2-3 Years",Table1[[#This Row],[YearsAtCompany]]&lt;=4,"3-4 Years",Table1[[#This Row],[YearsAtCompany]]&lt;=5,"4-5 Years",Table1[[#This Row],[YearsAtCompany]]&gt;5,"&gt;5 Years")</f>
        <v>3-4 Years</v>
      </c>
    </row>
    <row r="1206" spans="1:39" x14ac:dyDescent="0.45">
      <c r="A1206">
        <v>48</v>
      </c>
      <c r="B1206" t="s">
        <v>35</v>
      </c>
      <c r="C1206" t="s">
        <v>63</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_xlfn.IFS(Table1[[#This Row],[Age]]&lt;30,"Young",Table1[[#This Row],[Age]]&lt;=40,"Adult",Table1[[#This Row],[Age]]&gt;40,"Senior")</f>
        <v>Senior</v>
      </c>
      <c r="AK1206" t="str" cm="1">
        <f t="array" ref="AK1206">_xlfn.IFS(Table1[[#This Row],[MonthlyIncome]]&lt;5000,"Low",Table1[[#This Row],[MonthlyIncome]]&lt;10000,"Medium",Table1[[#This Row],[MonthlyIncome]]&gt;10000,"High")</f>
        <v>Low</v>
      </c>
      <c r="AL1206" t="str" cm="1">
        <f t="array" ref="AL1206">_xlfn.IFS(Table1[[#This Row],[Attrition]]="Yes","Resigned",Table1[[#This Row],[Attrition]]="No","Active")</f>
        <v>Resigned</v>
      </c>
      <c r="AM1206" t="str" cm="1">
        <f t="array" ref="AM1206">_xlfn.IFS(Table1[[#This Row],[YearsAtCompany]]&lt;=1,"0-1 Year",Table1[[#This Row],[YearsAtCompany]]&lt;=2,"1-2 Years",Table1[[#This Row],[YearsAtCompany]]&lt;=3,"2-3 Years",Table1[[#This Row],[YearsAtCompany]]&lt;=4,"3-4 Years",Table1[[#This Row],[YearsAtCompany]]&lt;=5,"4-5 Years",Table1[[#This Row],[YearsAtCompany]]&gt;5,"&gt;5 Years")</f>
        <v>&gt;5 Years</v>
      </c>
    </row>
    <row r="1207" spans="1:39" hidden="1" x14ac:dyDescent="0.45">
      <c r="A1207">
        <v>32</v>
      </c>
      <c r="B1207" t="s">
        <v>35</v>
      </c>
      <c r="C1207" t="s">
        <v>64</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_xlfn.IFS(Table1[[#This Row],[Age]]&lt;30,"Young",Table1[[#This Row],[Age]]&lt;=40,"Adult",Table1[[#This Row],[Age]]&gt;40,"Senior")</f>
        <v>Adult</v>
      </c>
      <c r="AK1207" t="str" cm="1">
        <f t="array" ref="AK1207">_xlfn.IFS(Table1[[#This Row],[MonthlyIncome]]&lt;5000,"Low",Table1[[#This Row],[MonthlyIncome]]&lt;10000,"Medium",Table1[[#This Row],[MonthlyIncome]]&gt;10000,"High")</f>
        <v>Low</v>
      </c>
      <c r="AL1207" t="str" cm="1">
        <f t="array" ref="AL1207">_xlfn.IFS(Table1[[#This Row],[Attrition]]="Yes","Resigned",Table1[[#This Row],[Attrition]]="No","Active")</f>
        <v>Resigned</v>
      </c>
      <c r="AM1207" t="str" cm="1">
        <f t="array" ref="AM1207">_xlfn.IFS(Table1[[#This Row],[YearsAtCompany]]&lt;=1,"0-1 Year",Table1[[#This Row],[YearsAtCompany]]&lt;=2,"1-2 Years",Table1[[#This Row],[YearsAtCompany]]&lt;=3,"2-3 Years",Table1[[#This Row],[YearsAtCompany]]&lt;=4,"3-4 Years",Table1[[#This Row],[YearsAtCompany]]&lt;=5,"4-5 Years",Table1[[#This Row],[YearsAtCompany]]&gt;5,"&gt;5 Years")</f>
        <v>0-1 Year</v>
      </c>
    </row>
    <row r="1208" spans="1:39" hidden="1" x14ac:dyDescent="0.45">
      <c r="A1208">
        <v>26</v>
      </c>
      <c r="B1208" t="s">
        <v>43</v>
      </c>
      <c r="C1208" t="s">
        <v>62</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_xlfn.IFS(Table1[[#This Row],[Age]]&lt;30,"Young",Table1[[#This Row],[Age]]&lt;=40,"Adult",Table1[[#This Row],[Age]]&gt;40,"Senior")</f>
        <v>Young</v>
      </c>
      <c r="AK1208" t="str" cm="1">
        <f t="array" ref="AK1208">_xlfn.IFS(Table1[[#This Row],[MonthlyIncome]]&lt;5000,"Low",Table1[[#This Row],[MonthlyIncome]]&lt;10000,"Medium",Table1[[#This Row],[MonthlyIncome]]&gt;10000,"High")</f>
        <v>Low</v>
      </c>
      <c r="AL1208" t="str" cm="1">
        <f t="array" ref="AL1208">_xlfn.IFS(Table1[[#This Row],[Attrition]]="Yes","Resigned",Table1[[#This Row],[Attrition]]="No","Active")</f>
        <v>Active</v>
      </c>
      <c r="AM1208" t="str" cm="1">
        <f t="array" ref="AM1208">_xlfn.IFS(Table1[[#This Row],[YearsAtCompany]]&lt;=1,"0-1 Year",Table1[[#This Row],[YearsAtCompany]]&lt;=2,"1-2 Years",Table1[[#This Row],[YearsAtCompany]]&lt;=3,"2-3 Years",Table1[[#This Row],[YearsAtCompany]]&lt;=4,"3-4 Years",Table1[[#This Row],[YearsAtCompany]]&lt;=5,"4-5 Years",Table1[[#This Row],[YearsAtCompany]]&gt;5,"&gt;5 Years")</f>
        <v>&gt;5 Years</v>
      </c>
    </row>
    <row r="1209" spans="1:39" hidden="1" x14ac:dyDescent="0.45">
      <c r="A1209">
        <v>55</v>
      </c>
      <c r="B1209" t="s">
        <v>43</v>
      </c>
      <c r="C1209" t="s">
        <v>64</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_xlfn.IFS(Table1[[#This Row],[Age]]&lt;30,"Young",Table1[[#This Row],[Age]]&lt;=40,"Adult",Table1[[#This Row],[Age]]&gt;40,"Senior")</f>
        <v>Senior</v>
      </c>
      <c r="AK1209" t="str" cm="1">
        <f t="array" ref="AK1209">_xlfn.IFS(Table1[[#This Row],[MonthlyIncome]]&lt;5000,"Low",Table1[[#This Row],[MonthlyIncome]]&lt;10000,"Medium",Table1[[#This Row],[MonthlyIncome]]&gt;10000,"High")</f>
        <v>Low</v>
      </c>
      <c r="AL1209" t="str" cm="1">
        <f t="array" ref="AL1209">_xlfn.IFS(Table1[[#This Row],[Attrition]]="Yes","Resigned",Table1[[#This Row],[Attrition]]="No","Active")</f>
        <v>Active</v>
      </c>
      <c r="AM1209" t="str" cm="1">
        <f t="array" ref="AM1209">_xlfn.IFS(Table1[[#This Row],[YearsAtCompany]]&lt;=1,"0-1 Year",Table1[[#This Row],[YearsAtCompany]]&lt;=2,"1-2 Years",Table1[[#This Row],[YearsAtCompany]]&lt;=3,"2-3 Years",Table1[[#This Row],[YearsAtCompany]]&lt;=4,"3-4 Years",Table1[[#This Row],[YearsAtCompany]]&lt;=5,"4-5 Years",Table1[[#This Row],[YearsAtCompany]]&gt;5,"&gt;5 Years")</f>
        <v>3-4 Years</v>
      </c>
    </row>
    <row r="1210" spans="1:39" hidden="1" x14ac:dyDescent="0.45">
      <c r="A1210">
        <v>34</v>
      </c>
      <c r="B1210" t="s">
        <v>43</v>
      </c>
      <c r="C1210" t="s">
        <v>64</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_xlfn.IFS(Table1[[#This Row],[Age]]&lt;30,"Young",Table1[[#This Row],[Age]]&lt;=40,"Adult",Table1[[#This Row],[Age]]&gt;40,"Senior")</f>
        <v>Adult</v>
      </c>
      <c r="AK1210" t="str" cm="1">
        <f t="array" ref="AK1210">_xlfn.IFS(Table1[[#This Row],[MonthlyIncome]]&lt;5000,"Low",Table1[[#This Row],[MonthlyIncome]]&lt;10000,"Medium",Table1[[#This Row],[MonthlyIncome]]&gt;10000,"High")</f>
        <v>Low</v>
      </c>
      <c r="AL1210" t="str" cm="1">
        <f t="array" ref="AL1210">_xlfn.IFS(Table1[[#This Row],[Attrition]]="Yes","Resigned",Table1[[#This Row],[Attrition]]="No","Active")</f>
        <v>Active</v>
      </c>
      <c r="AM1210" t="str" cm="1">
        <f t="array" ref="AM1210">_xlfn.IFS(Table1[[#This Row],[YearsAtCompany]]&lt;=1,"0-1 Year",Table1[[#This Row],[YearsAtCompany]]&lt;=2,"1-2 Years",Table1[[#This Row],[YearsAtCompany]]&lt;=3,"2-3 Years",Table1[[#This Row],[YearsAtCompany]]&lt;=4,"3-4 Years",Table1[[#This Row],[YearsAtCompany]]&lt;=5,"4-5 Years",Table1[[#This Row],[YearsAtCompany]]&gt;5,"&gt;5 Years")</f>
        <v>&gt;5 Years</v>
      </c>
    </row>
    <row r="1211" spans="1:39" hidden="1" x14ac:dyDescent="0.45">
      <c r="A1211">
        <v>60</v>
      </c>
      <c r="B1211" t="s">
        <v>43</v>
      </c>
      <c r="C1211" t="s">
        <v>64</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_xlfn.IFS(Table1[[#This Row],[Age]]&lt;30,"Young",Table1[[#This Row],[Age]]&lt;=40,"Adult",Table1[[#This Row],[Age]]&gt;40,"Senior")</f>
        <v>Senior</v>
      </c>
      <c r="AK1211" t="str" cm="1">
        <f t="array" ref="AK1211">_xlfn.IFS(Table1[[#This Row],[MonthlyIncome]]&lt;5000,"Low",Table1[[#This Row],[MonthlyIncome]]&lt;10000,"Medium",Table1[[#This Row],[MonthlyIncome]]&gt;10000,"High")</f>
        <v>High</v>
      </c>
      <c r="AL1211" t="str" cm="1">
        <f t="array" ref="AL1211">_xlfn.IFS(Table1[[#This Row],[Attrition]]="Yes","Resigned",Table1[[#This Row],[Attrition]]="No","Active")</f>
        <v>Active</v>
      </c>
      <c r="AM1211" t="str" cm="1">
        <f t="array" ref="AM1211">_xlfn.IFS(Table1[[#This Row],[YearsAtCompany]]&lt;=1,"0-1 Year",Table1[[#This Row],[YearsAtCompany]]&lt;=2,"1-2 Years",Table1[[#This Row],[YearsAtCompany]]&lt;=3,"2-3 Years",Table1[[#This Row],[YearsAtCompany]]&lt;=4,"3-4 Years",Table1[[#This Row],[YearsAtCompany]]&lt;=5,"4-5 Years",Table1[[#This Row],[YearsAtCompany]]&gt;5,"&gt;5 Years")</f>
        <v>0-1 Year</v>
      </c>
    </row>
    <row r="1212" spans="1:39" hidden="1" x14ac:dyDescent="0.45">
      <c r="A1212">
        <v>33</v>
      </c>
      <c r="B1212" t="s">
        <v>43</v>
      </c>
      <c r="C1212" t="s">
        <v>64</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_xlfn.IFS(Table1[[#This Row],[Age]]&lt;30,"Young",Table1[[#This Row],[Age]]&lt;=40,"Adult",Table1[[#This Row],[Age]]&gt;40,"Senior")</f>
        <v>Adult</v>
      </c>
      <c r="AK1212" t="str" cm="1">
        <f t="array" ref="AK1212">_xlfn.IFS(Table1[[#This Row],[MonthlyIncome]]&lt;5000,"Low",Table1[[#This Row],[MonthlyIncome]]&lt;10000,"Medium",Table1[[#This Row],[MonthlyIncome]]&gt;10000,"High")</f>
        <v>Low</v>
      </c>
      <c r="AL1212" t="str" cm="1">
        <f t="array" ref="AL1212">_xlfn.IFS(Table1[[#This Row],[Attrition]]="Yes","Resigned",Table1[[#This Row],[Attrition]]="No","Active")</f>
        <v>Active</v>
      </c>
      <c r="AM1212" t="str" cm="1">
        <f t="array" ref="AM1212">_xlfn.IFS(Table1[[#This Row],[YearsAtCompany]]&lt;=1,"0-1 Year",Table1[[#This Row],[YearsAtCompany]]&lt;=2,"1-2 Years",Table1[[#This Row],[YearsAtCompany]]&lt;=3,"2-3 Years",Table1[[#This Row],[YearsAtCompany]]&lt;=4,"3-4 Years",Table1[[#This Row],[YearsAtCompany]]&lt;=5,"4-5 Years",Table1[[#This Row],[YearsAtCompany]]&gt;5,"&gt;5 Years")</f>
        <v>&gt;5 Years</v>
      </c>
    </row>
    <row r="1213" spans="1:39" x14ac:dyDescent="0.45">
      <c r="A1213">
        <v>37</v>
      </c>
      <c r="B1213" t="s">
        <v>43</v>
      </c>
      <c r="C1213" t="s">
        <v>63</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_xlfn.IFS(Table1[[#This Row],[Age]]&lt;30,"Young",Table1[[#This Row],[Age]]&lt;=40,"Adult",Table1[[#This Row],[Age]]&gt;40,"Senior")</f>
        <v>Adult</v>
      </c>
      <c r="AK1213" t="str" cm="1">
        <f t="array" ref="AK1213">_xlfn.IFS(Table1[[#This Row],[MonthlyIncome]]&lt;5000,"Low",Table1[[#This Row],[MonthlyIncome]]&lt;10000,"Medium",Table1[[#This Row],[MonthlyIncome]]&gt;10000,"High")</f>
        <v>Medium</v>
      </c>
      <c r="AL1213" t="str" cm="1">
        <f t="array" ref="AL1213">_xlfn.IFS(Table1[[#This Row],[Attrition]]="Yes","Resigned",Table1[[#This Row],[Attrition]]="No","Active")</f>
        <v>Active</v>
      </c>
      <c r="AM1213" t="str" cm="1">
        <f t="array" ref="AM1213">_xlfn.IFS(Table1[[#This Row],[YearsAtCompany]]&lt;=1,"0-1 Year",Table1[[#This Row],[YearsAtCompany]]&lt;=2,"1-2 Years",Table1[[#This Row],[YearsAtCompany]]&lt;=3,"2-3 Years",Table1[[#This Row],[YearsAtCompany]]&lt;=4,"3-4 Years",Table1[[#This Row],[YearsAtCompany]]&lt;=5,"4-5 Years",Table1[[#This Row],[YearsAtCompany]]&gt;5,"&gt;5 Years")</f>
        <v>&gt;5 Years</v>
      </c>
    </row>
    <row r="1214" spans="1:39" hidden="1" x14ac:dyDescent="0.45">
      <c r="A1214">
        <v>34</v>
      </c>
      <c r="B1214" t="s">
        <v>43</v>
      </c>
      <c r="C1214" t="s">
        <v>64</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_xlfn.IFS(Table1[[#This Row],[Age]]&lt;30,"Young",Table1[[#This Row],[Age]]&lt;=40,"Adult",Table1[[#This Row],[Age]]&gt;40,"Senior")</f>
        <v>Adult</v>
      </c>
      <c r="AK1214" t="str" cm="1">
        <f t="array" ref="AK1214">_xlfn.IFS(Table1[[#This Row],[MonthlyIncome]]&lt;5000,"Low",Table1[[#This Row],[MonthlyIncome]]&lt;10000,"Medium",Table1[[#This Row],[MonthlyIncome]]&gt;10000,"High")</f>
        <v>Low</v>
      </c>
      <c r="AL1214" t="str" cm="1">
        <f t="array" ref="AL1214">_xlfn.IFS(Table1[[#This Row],[Attrition]]="Yes","Resigned",Table1[[#This Row],[Attrition]]="No","Active")</f>
        <v>Active</v>
      </c>
      <c r="AM1214" t="str" cm="1">
        <f t="array" ref="AM1214">_xlfn.IFS(Table1[[#This Row],[YearsAtCompany]]&lt;=1,"0-1 Year",Table1[[#This Row],[YearsAtCompany]]&lt;=2,"1-2 Years",Table1[[#This Row],[YearsAtCompany]]&lt;=3,"2-3 Years",Table1[[#This Row],[YearsAtCompany]]&lt;=4,"3-4 Years",Table1[[#This Row],[YearsAtCompany]]&lt;=5,"4-5 Years",Table1[[#This Row],[YearsAtCompany]]&gt;5,"&gt;5 Years")</f>
        <v>&gt;5 Years</v>
      </c>
    </row>
    <row r="1215" spans="1:39" x14ac:dyDescent="0.45">
      <c r="A1215">
        <v>23</v>
      </c>
      <c r="B1215" t="s">
        <v>35</v>
      </c>
      <c r="C1215" t="s">
        <v>64</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_xlfn.IFS(Table1[[#This Row],[Age]]&lt;30,"Young",Table1[[#This Row],[Age]]&lt;=40,"Adult",Table1[[#This Row],[Age]]&gt;40,"Senior")</f>
        <v>Young</v>
      </c>
      <c r="AK1215" t="str" cm="1">
        <f t="array" ref="AK1215">_xlfn.IFS(Table1[[#This Row],[MonthlyIncome]]&lt;5000,"Low",Table1[[#This Row],[MonthlyIncome]]&lt;10000,"Medium",Table1[[#This Row],[MonthlyIncome]]&gt;10000,"High")</f>
        <v>Low</v>
      </c>
      <c r="AL1215" t="str" cm="1">
        <f t="array" ref="AL1215">_xlfn.IFS(Table1[[#This Row],[Attrition]]="Yes","Resigned",Table1[[#This Row],[Attrition]]="No","Active")</f>
        <v>Resigned</v>
      </c>
      <c r="AM1215" t="str" cm="1">
        <f t="array" ref="AM1215">_xlfn.IFS(Table1[[#This Row],[YearsAtCompany]]&lt;=1,"0-1 Year",Table1[[#This Row],[YearsAtCompany]]&lt;=2,"1-2 Years",Table1[[#This Row],[YearsAtCompany]]&lt;=3,"2-3 Years",Table1[[#This Row],[YearsAtCompany]]&lt;=4,"3-4 Years",Table1[[#This Row],[YearsAtCompany]]&lt;=5,"4-5 Years",Table1[[#This Row],[YearsAtCompany]]&gt;5,"&gt;5 Years")</f>
        <v>2-3 Years</v>
      </c>
    </row>
    <row r="1216" spans="1:39" hidden="1" x14ac:dyDescent="0.45">
      <c r="A1216">
        <v>44</v>
      </c>
      <c r="B1216" t="s">
        <v>43</v>
      </c>
      <c r="C1216" t="s">
        <v>64</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_xlfn.IFS(Table1[[#This Row],[Age]]&lt;30,"Young",Table1[[#This Row],[Age]]&lt;=40,"Adult",Table1[[#This Row],[Age]]&gt;40,"Senior")</f>
        <v>Senior</v>
      </c>
      <c r="AK1216" t="str" cm="1">
        <f t="array" ref="AK1216">_xlfn.IFS(Table1[[#This Row],[MonthlyIncome]]&lt;5000,"Low",Table1[[#This Row],[MonthlyIncome]]&lt;10000,"Medium",Table1[[#This Row],[MonthlyIncome]]&gt;10000,"High")</f>
        <v>Medium</v>
      </c>
      <c r="AL1216" t="str" cm="1">
        <f t="array" ref="AL1216">_xlfn.IFS(Table1[[#This Row],[Attrition]]="Yes","Resigned",Table1[[#This Row],[Attrition]]="No","Active")</f>
        <v>Active</v>
      </c>
      <c r="AM1216" t="str" cm="1">
        <f t="array" ref="AM1216">_xlfn.IFS(Table1[[#This Row],[YearsAtCompany]]&lt;=1,"0-1 Year",Table1[[#This Row],[YearsAtCompany]]&lt;=2,"1-2 Years",Table1[[#This Row],[YearsAtCompany]]&lt;=3,"2-3 Years",Table1[[#This Row],[YearsAtCompany]]&lt;=4,"3-4 Years",Table1[[#This Row],[YearsAtCompany]]&lt;=5,"4-5 Years",Table1[[#This Row],[YearsAtCompany]]&gt;5,"&gt;5 Years")</f>
        <v>&gt;5 Years</v>
      </c>
    </row>
    <row r="1217" spans="1:39" hidden="1" x14ac:dyDescent="0.45">
      <c r="A1217">
        <v>35</v>
      </c>
      <c r="B1217" t="s">
        <v>43</v>
      </c>
      <c r="C1217" t="s">
        <v>63</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_xlfn.IFS(Table1[[#This Row],[Age]]&lt;30,"Young",Table1[[#This Row],[Age]]&lt;=40,"Adult",Table1[[#This Row],[Age]]&gt;40,"Senior")</f>
        <v>Adult</v>
      </c>
      <c r="AK1217" t="str" cm="1">
        <f t="array" ref="AK1217">_xlfn.IFS(Table1[[#This Row],[MonthlyIncome]]&lt;5000,"Low",Table1[[#This Row],[MonthlyIncome]]&lt;10000,"Medium",Table1[[#This Row],[MonthlyIncome]]&gt;10000,"High")</f>
        <v>Low</v>
      </c>
      <c r="AL1217" t="str" cm="1">
        <f t="array" ref="AL1217">_xlfn.IFS(Table1[[#This Row],[Attrition]]="Yes","Resigned",Table1[[#This Row],[Attrition]]="No","Active")</f>
        <v>Active</v>
      </c>
      <c r="AM1217" t="str" cm="1">
        <f t="array" ref="AM1217">_xlfn.IFS(Table1[[#This Row],[YearsAtCompany]]&lt;=1,"0-1 Year",Table1[[#This Row],[YearsAtCompany]]&lt;=2,"1-2 Years",Table1[[#This Row],[YearsAtCompany]]&lt;=3,"2-3 Years",Table1[[#This Row],[YearsAtCompany]]&lt;=4,"3-4 Years",Table1[[#This Row],[YearsAtCompany]]&lt;=5,"4-5 Years",Table1[[#This Row],[YearsAtCompany]]&gt;5,"&gt;5 Years")</f>
        <v>4-5 Years</v>
      </c>
    </row>
    <row r="1218" spans="1:39" x14ac:dyDescent="0.45">
      <c r="A1218">
        <v>43</v>
      </c>
      <c r="B1218" t="s">
        <v>43</v>
      </c>
      <c r="C1218" t="s">
        <v>64</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_xlfn.IFS(Table1[[#This Row],[Age]]&lt;30,"Young",Table1[[#This Row],[Age]]&lt;=40,"Adult",Table1[[#This Row],[Age]]&gt;40,"Senior")</f>
        <v>Senior</v>
      </c>
      <c r="AK1218" t="str" cm="1">
        <f t="array" ref="AK1218">_xlfn.IFS(Table1[[#This Row],[MonthlyIncome]]&lt;5000,"Low",Table1[[#This Row],[MonthlyIncome]]&lt;10000,"Medium",Table1[[#This Row],[MonthlyIncome]]&gt;10000,"High")</f>
        <v>Medium</v>
      </c>
      <c r="AL1218" t="str" cm="1">
        <f t="array" ref="AL1218">_xlfn.IFS(Table1[[#This Row],[Attrition]]="Yes","Resigned",Table1[[#This Row],[Attrition]]="No","Active")</f>
        <v>Active</v>
      </c>
      <c r="AM1218" t="str" cm="1">
        <f t="array" ref="AM1218">_xlfn.IFS(Table1[[#This Row],[YearsAtCompany]]&lt;=1,"0-1 Year",Table1[[#This Row],[YearsAtCompany]]&lt;=2,"1-2 Years",Table1[[#This Row],[YearsAtCompany]]&lt;=3,"2-3 Years",Table1[[#This Row],[YearsAtCompany]]&lt;=4,"3-4 Years",Table1[[#This Row],[YearsAtCompany]]&lt;=5,"4-5 Years",Table1[[#This Row],[YearsAtCompany]]&gt;5,"&gt;5 Years")</f>
        <v>&gt;5 Years</v>
      </c>
    </row>
    <row r="1219" spans="1:39" hidden="1" x14ac:dyDescent="0.45">
      <c r="A1219">
        <v>24</v>
      </c>
      <c r="B1219" t="s">
        <v>43</v>
      </c>
      <c r="C1219" t="s">
        <v>64</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_xlfn.IFS(Table1[[#This Row],[Age]]&lt;30,"Young",Table1[[#This Row],[Age]]&lt;=40,"Adult",Table1[[#This Row],[Age]]&gt;40,"Senior")</f>
        <v>Young</v>
      </c>
      <c r="AK1219" t="str" cm="1">
        <f t="array" ref="AK1219">_xlfn.IFS(Table1[[#This Row],[MonthlyIncome]]&lt;5000,"Low",Table1[[#This Row],[MonthlyIncome]]&lt;10000,"Medium",Table1[[#This Row],[MonthlyIncome]]&gt;10000,"High")</f>
        <v>Low</v>
      </c>
      <c r="AL1219" t="str" cm="1">
        <f t="array" ref="AL1219">_xlfn.IFS(Table1[[#This Row],[Attrition]]="Yes","Resigned",Table1[[#This Row],[Attrition]]="No","Active")</f>
        <v>Active</v>
      </c>
      <c r="AM1219" t="str" cm="1">
        <f t="array" ref="AM1219">_xlfn.IFS(Table1[[#This Row],[YearsAtCompany]]&lt;=1,"0-1 Year",Table1[[#This Row],[YearsAtCompany]]&lt;=2,"1-2 Years",Table1[[#This Row],[YearsAtCompany]]&lt;=3,"2-3 Years",Table1[[#This Row],[YearsAtCompany]]&lt;=4,"3-4 Years",Table1[[#This Row],[YearsAtCompany]]&lt;=5,"4-5 Years",Table1[[#This Row],[YearsAtCompany]]&gt;5,"&gt;5 Years")</f>
        <v>4-5 Years</v>
      </c>
    </row>
    <row r="1220" spans="1:39" x14ac:dyDescent="0.45">
      <c r="A1220">
        <v>41</v>
      </c>
      <c r="B1220" t="s">
        <v>43</v>
      </c>
      <c r="C1220" t="s">
        <v>64</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_xlfn.IFS(Table1[[#This Row],[Age]]&lt;30,"Young",Table1[[#This Row],[Age]]&lt;=40,"Adult",Table1[[#This Row],[Age]]&gt;40,"Senior")</f>
        <v>Senior</v>
      </c>
      <c r="AK1220" t="str" cm="1">
        <f t="array" ref="AK1220">_xlfn.IFS(Table1[[#This Row],[MonthlyIncome]]&lt;5000,"Low",Table1[[#This Row],[MonthlyIncome]]&lt;10000,"Medium",Table1[[#This Row],[MonthlyIncome]]&gt;10000,"High")</f>
        <v>Medium</v>
      </c>
      <c r="AL1220" t="str" cm="1">
        <f t="array" ref="AL1220">_xlfn.IFS(Table1[[#This Row],[Attrition]]="Yes","Resigned",Table1[[#This Row],[Attrition]]="No","Active")</f>
        <v>Active</v>
      </c>
      <c r="AM1220" t="str" cm="1">
        <f t="array" ref="AM1220">_xlfn.IFS(Table1[[#This Row],[YearsAtCompany]]&lt;=1,"0-1 Year",Table1[[#This Row],[YearsAtCompany]]&lt;=2,"1-2 Years",Table1[[#This Row],[YearsAtCompany]]&lt;=3,"2-3 Years",Table1[[#This Row],[YearsAtCompany]]&lt;=4,"3-4 Years",Table1[[#This Row],[YearsAtCompany]]&lt;=5,"4-5 Years",Table1[[#This Row],[YearsAtCompany]]&gt;5,"&gt;5 Years")</f>
        <v>&gt;5 Years</v>
      </c>
    </row>
    <row r="1221" spans="1:39" hidden="1" x14ac:dyDescent="0.45">
      <c r="A1221">
        <v>29</v>
      </c>
      <c r="B1221" t="s">
        <v>43</v>
      </c>
      <c r="C1221" t="s">
        <v>64</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_xlfn.IFS(Table1[[#This Row],[Age]]&lt;30,"Young",Table1[[#This Row],[Age]]&lt;=40,"Adult",Table1[[#This Row],[Age]]&gt;40,"Senior")</f>
        <v>Young</v>
      </c>
      <c r="AK1221" t="str" cm="1">
        <f t="array" ref="AK1221">_xlfn.IFS(Table1[[#This Row],[MonthlyIncome]]&lt;5000,"Low",Table1[[#This Row],[MonthlyIncome]]&lt;10000,"Medium",Table1[[#This Row],[MonthlyIncome]]&gt;10000,"High")</f>
        <v>Low</v>
      </c>
      <c r="AL1221" t="str" cm="1">
        <f t="array" ref="AL1221">_xlfn.IFS(Table1[[#This Row],[Attrition]]="Yes","Resigned",Table1[[#This Row],[Attrition]]="No","Active")</f>
        <v>Active</v>
      </c>
      <c r="AM1221" t="str" cm="1">
        <f t="array" ref="AM1221">_xlfn.IFS(Table1[[#This Row],[YearsAtCompany]]&lt;=1,"0-1 Year",Table1[[#This Row],[YearsAtCompany]]&lt;=2,"1-2 Years",Table1[[#This Row],[YearsAtCompany]]&lt;=3,"2-3 Years",Table1[[#This Row],[YearsAtCompany]]&lt;=4,"3-4 Years",Table1[[#This Row],[YearsAtCompany]]&lt;=5,"4-5 Years",Table1[[#This Row],[YearsAtCompany]]&gt;5,"&gt;5 Years")</f>
        <v>4-5 Years</v>
      </c>
    </row>
    <row r="1222" spans="1:39" x14ac:dyDescent="0.45">
      <c r="A1222">
        <v>36</v>
      </c>
      <c r="B1222" t="s">
        <v>43</v>
      </c>
      <c r="C1222" t="s">
        <v>64</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_xlfn.IFS(Table1[[#This Row],[Age]]&lt;30,"Young",Table1[[#This Row],[Age]]&lt;=40,"Adult",Table1[[#This Row],[Age]]&gt;40,"Senior")</f>
        <v>Adult</v>
      </c>
      <c r="AK1222" t="str" cm="1">
        <f t="array" ref="AK1222">_xlfn.IFS(Table1[[#This Row],[MonthlyIncome]]&lt;5000,"Low",Table1[[#This Row],[MonthlyIncome]]&lt;10000,"Medium",Table1[[#This Row],[MonthlyIncome]]&gt;10000,"High")</f>
        <v>Low</v>
      </c>
      <c r="AL1222" t="str" cm="1">
        <f t="array" ref="AL1222">_xlfn.IFS(Table1[[#This Row],[Attrition]]="Yes","Resigned",Table1[[#This Row],[Attrition]]="No","Active")</f>
        <v>Active</v>
      </c>
      <c r="AM1222" t="str" cm="1">
        <f t="array" ref="AM1222">_xlfn.IFS(Table1[[#This Row],[YearsAtCompany]]&lt;=1,"0-1 Year",Table1[[#This Row],[YearsAtCompany]]&lt;=2,"1-2 Years",Table1[[#This Row],[YearsAtCompany]]&lt;=3,"2-3 Years",Table1[[#This Row],[YearsAtCompany]]&lt;=4,"3-4 Years",Table1[[#This Row],[YearsAtCompany]]&lt;=5,"4-5 Years",Table1[[#This Row],[YearsAtCompany]]&gt;5,"&gt;5 Years")</f>
        <v>&gt;5 Years</v>
      </c>
    </row>
    <row r="1223" spans="1:39" hidden="1" x14ac:dyDescent="0.45">
      <c r="A1223">
        <v>45</v>
      </c>
      <c r="B1223" t="s">
        <v>43</v>
      </c>
      <c r="C1223" t="s">
        <v>62</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_xlfn.IFS(Table1[[#This Row],[Age]]&lt;30,"Young",Table1[[#This Row],[Age]]&lt;=40,"Adult",Table1[[#This Row],[Age]]&gt;40,"Senior")</f>
        <v>Senior</v>
      </c>
      <c r="AK1223" t="str" cm="1">
        <f t="array" ref="AK1223">_xlfn.IFS(Table1[[#This Row],[MonthlyIncome]]&lt;5000,"Low",Table1[[#This Row],[MonthlyIncome]]&lt;10000,"Medium",Table1[[#This Row],[MonthlyIncome]]&gt;10000,"High")</f>
        <v>High</v>
      </c>
      <c r="AL1223" t="str" cm="1">
        <f t="array" ref="AL1223">_xlfn.IFS(Table1[[#This Row],[Attrition]]="Yes","Resigned",Table1[[#This Row],[Attrition]]="No","Active")</f>
        <v>Active</v>
      </c>
      <c r="AM1223" t="str" cm="1">
        <f t="array" ref="AM1223">_xlfn.IFS(Table1[[#This Row],[YearsAtCompany]]&lt;=1,"0-1 Year",Table1[[#This Row],[YearsAtCompany]]&lt;=2,"1-2 Years",Table1[[#This Row],[YearsAtCompany]]&lt;=3,"2-3 Years",Table1[[#This Row],[YearsAtCompany]]&lt;=4,"3-4 Years",Table1[[#This Row],[YearsAtCompany]]&lt;=5,"4-5 Years",Table1[[#This Row],[YearsAtCompany]]&gt;5,"&gt;5 Years")</f>
        <v>&gt;5 Years</v>
      </c>
    </row>
    <row r="1224" spans="1:39" hidden="1" x14ac:dyDescent="0.45">
      <c r="A1224">
        <v>24</v>
      </c>
      <c r="B1224" t="s">
        <v>35</v>
      </c>
      <c r="C1224" t="s">
        <v>64</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_xlfn.IFS(Table1[[#This Row],[Age]]&lt;30,"Young",Table1[[#This Row],[Age]]&lt;=40,"Adult",Table1[[#This Row],[Age]]&gt;40,"Senior")</f>
        <v>Young</v>
      </c>
      <c r="AK1224" t="str" cm="1">
        <f t="array" ref="AK1224">_xlfn.IFS(Table1[[#This Row],[MonthlyIncome]]&lt;5000,"Low",Table1[[#This Row],[MonthlyIncome]]&lt;10000,"Medium",Table1[[#This Row],[MonthlyIncome]]&gt;10000,"High")</f>
        <v>Low</v>
      </c>
      <c r="AL1224" t="str" cm="1">
        <f t="array" ref="AL1224">_xlfn.IFS(Table1[[#This Row],[Attrition]]="Yes","Resigned",Table1[[#This Row],[Attrition]]="No","Active")</f>
        <v>Resigned</v>
      </c>
      <c r="AM1224" t="str" cm="1">
        <f t="array" ref="AM1224">_xlfn.IFS(Table1[[#This Row],[YearsAtCompany]]&lt;=1,"0-1 Year",Table1[[#This Row],[YearsAtCompany]]&lt;=2,"1-2 Years",Table1[[#This Row],[YearsAtCompany]]&lt;=3,"2-3 Years",Table1[[#This Row],[YearsAtCompany]]&lt;=4,"3-4 Years",Table1[[#This Row],[YearsAtCompany]]&lt;=5,"4-5 Years",Table1[[#This Row],[YearsAtCompany]]&gt;5,"&gt;5 Years")</f>
        <v>0-1 Year</v>
      </c>
    </row>
    <row r="1225" spans="1:39" x14ac:dyDescent="0.45">
      <c r="A1225">
        <v>47</v>
      </c>
      <c r="B1225" t="s">
        <v>35</v>
      </c>
      <c r="C1225" t="s">
        <v>63</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_xlfn.IFS(Table1[[#This Row],[Age]]&lt;30,"Young",Table1[[#This Row],[Age]]&lt;=40,"Adult",Table1[[#This Row],[Age]]&gt;40,"Senior")</f>
        <v>Senior</v>
      </c>
      <c r="AK1225" t="str" cm="1">
        <f t="array" ref="AK1225">_xlfn.IFS(Table1[[#This Row],[MonthlyIncome]]&lt;5000,"Low",Table1[[#This Row],[MonthlyIncome]]&lt;10000,"Medium",Table1[[#This Row],[MonthlyIncome]]&gt;10000,"High")</f>
        <v>High</v>
      </c>
      <c r="AL1225" t="str" cm="1">
        <f t="array" ref="AL1225">_xlfn.IFS(Table1[[#This Row],[Attrition]]="Yes","Resigned",Table1[[#This Row],[Attrition]]="No","Active")</f>
        <v>Resigned</v>
      </c>
      <c r="AM1225" t="str" cm="1">
        <f t="array" ref="AM1225">_xlfn.IFS(Table1[[#This Row],[YearsAtCompany]]&lt;=1,"0-1 Year",Table1[[#This Row],[YearsAtCompany]]&lt;=2,"1-2 Years",Table1[[#This Row],[YearsAtCompany]]&lt;=3,"2-3 Years",Table1[[#This Row],[YearsAtCompany]]&lt;=4,"3-4 Years",Table1[[#This Row],[YearsAtCompany]]&lt;=5,"4-5 Years",Table1[[#This Row],[YearsAtCompany]]&gt;5,"&gt;5 Years")</f>
        <v>&gt;5 Years</v>
      </c>
    </row>
    <row r="1226" spans="1:39" hidden="1" x14ac:dyDescent="0.45">
      <c r="A1226">
        <v>26</v>
      </c>
      <c r="B1226" t="s">
        <v>43</v>
      </c>
      <c r="C1226" t="s">
        <v>64</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_xlfn.IFS(Table1[[#This Row],[Age]]&lt;30,"Young",Table1[[#This Row],[Age]]&lt;=40,"Adult",Table1[[#This Row],[Age]]&gt;40,"Senior")</f>
        <v>Young</v>
      </c>
      <c r="AK1226" t="str" cm="1">
        <f t="array" ref="AK1226">_xlfn.IFS(Table1[[#This Row],[MonthlyIncome]]&lt;5000,"Low",Table1[[#This Row],[MonthlyIncome]]&lt;10000,"Medium",Table1[[#This Row],[MonthlyIncome]]&gt;10000,"High")</f>
        <v>Low</v>
      </c>
      <c r="AL1226" t="str" cm="1">
        <f t="array" ref="AL1226">_xlfn.IFS(Table1[[#This Row],[Attrition]]="Yes","Resigned",Table1[[#This Row],[Attrition]]="No","Active")</f>
        <v>Active</v>
      </c>
      <c r="AM1226" t="str" cm="1">
        <f t="array" ref="AM1226">_xlfn.IFS(Table1[[#This Row],[YearsAtCompany]]&lt;=1,"0-1 Year",Table1[[#This Row],[YearsAtCompany]]&lt;=2,"1-2 Years",Table1[[#This Row],[YearsAtCompany]]&lt;=3,"2-3 Years",Table1[[#This Row],[YearsAtCompany]]&lt;=4,"3-4 Years",Table1[[#This Row],[YearsAtCompany]]&lt;=5,"4-5 Years",Table1[[#This Row],[YearsAtCompany]]&gt;5,"&gt;5 Years")</f>
        <v>2-3 Years</v>
      </c>
    </row>
    <row r="1227" spans="1:39" hidden="1" x14ac:dyDescent="0.45">
      <c r="A1227">
        <v>45</v>
      </c>
      <c r="B1227" t="s">
        <v>43</v>
      </c>
      <c r="C1227" t="s">
        <v>64</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_xlfn.IFS(Table1[[#This Row],[Age]]&lt;30,"Young",Table1[[#This Row],[Age]]&lt;=40,"Adult",Table1[[#This Row],[Age]]&gt;40,"Senior")</f>
        <v>Senior</v>
      </c>
      <c r="AK1227" t="str" cm="1">
        <f t="array" ref="AK1227">_xlfn.IFS(Table1[[#This Row],[MonthlyIncome]]&lt;5000,"Low",Table1[[#This Row],[MonthlyIncome]]&lt;10000,"Medium",Table1[[#This Row],[MonthlyIncome]]&gt;10000,"High")</f>
        <v>High</v>
      </c>
      <c r="AL1227" t="str" cm="1">
        <f t="array" ref="AL1227">_xlfn.IFS(Table1[[#This Row],[Attrition]]="Yes","Resigned",Table1[[#This Row],[Attrition]]="No","Active")</f>
        <v>Active</v>
      </c>
      <c r="AM1227" t="str" cm="1">
        <f t="array" ref="AM1227">_xlfn.IFS(Table1[[#This Row],[YearsAtCompany]]&lt;=1,"0-1 Year",Table1[[#This Row],[YearsAtCompany]]&lt;=2,"1-2 Years",Table1[[#This Row],[YearsAtCompany]]&lt;=3,"2-3 Years",Table1[[#This Row],[YearsAtCompany]]&lt;=4,"3-4 Years",Table1[[#This Row],[YearsAtCompany]]&lt;=5,"4-5 Years",Table1[[#This Row],[YearsAtCompany]]&gt;5,"&gt;5 Years")</f>
        <v>&gt;5 Years</v>
      </c>
    </row>
    <row r="1228" spans="1:39" hidden="1" x14ac:dyDescent="0.45">
      <c r="A1228">
        <v>32</v>
      </c>
      <c r="B1228" t="s">
        <v>43</v>
      </c>
      <c r="C1228" t="s">
        <v>63</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_xlfn.IFS(Table1[[#This Row],[Age]]&lt;30,"Young",Table1[[#This Row],[Age]]&lt;=40,"Adult",Table1[[#This Row],[Age]]&gt;40,"Senior")</f>
        <v>Adult</v>
      </c>
      <c r="AK1228" t="str" cm="1">
        <f t="array" ref="AK1228">_xlfn.IFS(Table1[[#This Row],[MonthlyIncome]]&lt;5000,"Low",Table1[[#This Row],[MonthlyIncome]]&lt;10000,"Medium",Table1[[#This Row],[MonthlyIncome]]&gt;10000,"High")</f>
        <v>Low</v>
      </c>
      <c r="AL1228" t="str" cm="1">
        <f t="array" ref="AL1228">_xlfn.IFS(Table1[[#This Row],[Attrition]]="Yes","Resigned",Table1[[#This Row],[Attrition]]="No","Active")</f>
        <v>Active</v>
      </c>
      <c r="AM1228" t="str" cm="1">
        <f t="array" ref="AM1228">_xlfn.IFS(Table1[[#This Row],[YearsAtCompany]]&lt;=1,"0-1 Year",Table1[[#This Row],[YearsAtCompany]]&lt;=2,"1-2 Years",Table1[[#This Row],[YearsAtCompany]]&lt;=3,"2-3 Years",Table1[[#This Row],[YearsAtCompany]]&lt;=4,"3-4 Years",Table1[[#This Row],[YearsAtCompany]]&lt;=5,"4-5 Years",Table1[[#This Row],[YearsAtCompany]]&gt;5,"&gt;5 Years")</f>
        <v>4-5 Years</v>
      </c>
    </row>
    <row r="1229" spans="1:39" hidden="1" x14ac:dyDescent="0.45">
      <c r="A1229">
        <v>31</v>
      </c>
      <c r="B1229" t="s">
        <v>43</v>
      </c>
      <c r="C1229" t="s">
        <v>64</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_xlfn.IFS(Table1[[#This Row],[Age]]&lt;30,"Young",Table1[[#This Row],[Age]]&lt;=40,"Adult",Table1[[#This Row],[Age]]&gt;40,"Senior")</f>
        <v>Adult</v>
      </c>
      <c r="AK1229" t="str" cm="1">
        <f t="array" ref="AK1229">_xlfn.IFS(Table1[[#This Row],[MonthlyIncome]]&lt;5000,"Low",Table1[[#This Row],[MonthlyIncome]]&lt;10000,"Medium",Table1[[#This Row],[MonthlyIncome]]&gt;10000,"High")</f>
        <v>Low</v>
      </c>
      <c r="AL1229" t="str" cm="1">
        <f t="array" ref="AL1229">_xlfn.IFS(Table1[[#This Row],[Attrition]]="Yes","Resigned",Table1[[#This Row],[Attrition]]="No","Active")</f>
        <v>Active</v>
      </c>
      <c r="AM1229" t="str" cm="1">
        <f t="array" ref="AM1229">_xlfn.IFS(Table1[[#This Row],[YearsAtCompany]]&lt;=1,"0-1 Year",Table1[[#This Row],[YearsAtCompany]]&lt;=2,"1-2 Years",Table1[[#This Row],[YearsAtCompany]]&lt;=3,"2-3 Years",Table1[[#This Row],[YearsAtCompany]]&lt;=4,"3-4 Years",Table1[[#This Row],[YearsAtCompany]]&lt;=5,"4-5 Years",Table1[[#This Row],[YearsAtCompany]]&gt;5,"&gt;5 Years")</f>
        <v>4-5 Years</v>
      </c>
    </row>
    <row r="1230" spans="1:39" hidden="1" x14ac:dyDescent="0.45">
      <c r="A1230">
        <v>41</v>
      </c>
      <c r="B1230" t="s">
        <v>43</v>
      </c>
      <c r="C1230" t="s">
        <v>62</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_xlfn.IFS(Table1[[#This Row],[Age]]&lt;30,"Young",Table1[[#This Row],[Age]]&lt;=40,"Adult",Table1[[#This Row],[Age]]&gt;40,"Senior")</f>
        <v>Senior</v>
      </c>
      <c r="AK1230" t="str" cm="1">
        <f t="array" ref="AK1230">_xlfn.IFS(Table1[[#This Row],[MonthlyIncome]]&lt;5000,"Low",Table1[[#This Row],[MonthlyIncome]]&lt;10000,"Medium",Table1[[#This Row],[MonthlyIncome]]&gt;10000,"High")</f>
        <v>Medium</v>
      </c>
      <c r="AL1230" t="str" cm="1">
        <f t="array" ref="AL1230">_xlfn.IFS(Table1[[#This Row],[Attrition]]="Yes","Resigned",Table1[[#This Row],[Attrition]]="No","Active")</f>
        <v>Active</v>
      </c>
      <c r="AM1230" t="str" cm="1">
        <f t="array" ref="AM1230">_xlfn.IFS(Table1[[#This Row],[YearsAtCompany]]&lt;=1,"0-1 Year",Table1[[#This Row],[YearsAtCompany]]&lt;=2,"1-2 Years",Table1[[#This Row],[YearsAtCompany]]&lt;=3,"2-3 Years",Table1[[#This Row],[YearsAtCompany]]&lt;=4,"3-4 Years",Table1[[#This Row],[YearsAtCompany]]&lt;=5,"4-5 Years",Table1[[#This Row],[YearsAtCompany]]&gt;5,"&gt;5 Years")</f>
        <v>2-3 Years</v>
      </c>
    </row>
    <row r="1231" spans="1:39" hidden="1" x14ac:dyDescent="0.45">
      <c r="A1231">
        <v>40</v>
      </c>
      <c r="B1231" t="s">
        <v>43</v>
      </c>
      <c r="C1231" t="s">
        <v>64</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_xlfn.IFS(Table1[[#This Row],[Age]]&lt;30,"Young",Table1[[#This Row],[Age]]&lt;=40,"Adult",Table1[[#This Row],[Age]]&gt;40,"Senior")</f>
        <v>Adult</v>
      </c>
      <c r="AK1231" t="str" cm="1">
        <f t="array" ref="AK1231">_xlfn.IFS(Table1[[#This Row],[MonthlyIncome]]&lt;5000,"Low",Table1[[#This Row],[MonthlyIncome]]&lt;10000,"Medium",Table1[[#This Row],[MonthlyIncome]]&gt;10000,"High")</f>
        <v>Medium</v>
      </c>
      <c r="AL1231" t="str" cm="1">
        <f t="array" ref="AL1231">_xlfn.IFS(Table1[[#This Row],[Attrition]]="Yes","Resigned",Table1[[#This Row],[Attrition]]="No","Active")</f>
        <v>Active</v>
      </c>
      <c r="AM1231" t="str" cm="1">
        <f t="array" ref="AM1231">_xlfn.IFS(Table1[[#This Row],[YearsAtCompany]]&lt;=1,"0-1 Year",Table1[[#This Row],[YearsAtCompany]]&lt;=2,"1-2 Years",Table1[[#This Row],[YearsAtCompany]]&lt;=3,"2-3 Years",Table1[[#This Row],[YearsAtCompany]]&lt;=4,"3-4 Years",Table1[[#This Row],[YearsAtCompany]]&lt;=5,"4-5 Years",Table1[[#This Row],[YearsAtCompany]]&gt;5,"&gt;5 Years")</f>
        <v>0-1 Year</v>
      </c>
    </row>
    <row r="1232" spans="1:39" hidden="1" x14ac:dyDescent="0.45">
      <c r="A1232">
        <v>24</v>
      </c>
      <c r="B1232" t="s">
        <v>43</v>
      </c>
      <c r="C1232" t="s">
        <v>64</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_xlfn.IFS(Table1[[#This Row],[Age]]&lt;30,"Young",Table1[[#This Row],[Age]]&lt;=40,"Adult",Table1[[#This Row],[Age]]&gt;40,"Senior")</f>
        <v>Young</v>
      </c>
      <c r="AK1232" t="str" cm="1">
        <f t="array" ref="AK1232">_xlfn.IFS(Table1[[#This Row],[MonthlyIncome]]&lt;5000,"Low",Table1[[#This Row],[MonthlyIncome]]&lt;10000,"Medium",Table1[[#This Row],[MonthlyIncome]]&gt;10000,"High")</f>
        <v>Low</v>
      </c>
      <c r="AL1232" t="str" cm="1">
        <f t="array" ref="AL1232">_xlfn.IFS(Table1[[#This Row],[Attrition]]="Yes","Resigned",Table1[[#This Row],[Attrition]]="No","Active")</f>
        <v>Active</v>
      </c>
      <c r="AM1232" t="str" cm="1">
        <f t="array" ref="AM1232">_xlfn.IFS(Table1[[#This Row],[YearsAtCompany]]&lt;=1,"0-1 Year",Table1[[#This Row],[YearsAtCompany]]&lt;=2,"1-2 Years",Table1[[#This Row],[YearsAtCompany]]&lt;=3,"2-3 Years",Table1[[#This Row],[YearsAtCompany]]&lt;=4,"3-4 Years",Table1[[#This Row],[YearsAtCompany]]&lt;=5,"4-5 Years",Table1[[#This Row],[YearsAtCompany]]&gt;5,"&gt;5 Years")</f>
        <v>&gt;5 Years</v>
      </c>
    </row>
    <row r="1233" spans="1:39" hidden="1" x14ac:dyDescent="0.45">
      <c r="A1233">
        <v>46</v>
      </c>
      <c r="B1233" t="s">
        <v>43</v>
      </c>
      <c r="C1233" t="s">
        <v>64</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_xlfn.IFS(Table1[[#This Row],[Age]]&lt;30,"Young",Table1[[#This Row],[Age]]&lt;=40,"Adult",Table1[[#This Row],[Age]]&gt;40,"Senior")</f>
        <v>Senior</v>
      </c>
      <c r="AK1233" t="str" cm="1">
        <f t="array" ref="AK1233">_xlfn.IFS(Table1[[#This Row],[MonthlyIncome]]&lt;5000,"Low",Table1[[#This Row],[MonthlyIncome]]&lt;10000,"Medium",Table1[[#This Row],[MonthlyIncome]]&gt;10000,"High")</f>
        <v>Medium</v>
      </c>
      <c r="AL1233" t="str" cm="1">
        <f t="array" ref="AL1233">_xlfn.IFS(Table1[[#This Row],[Attrition]]="Yes","Resigned",Table1[[#This Row],[Attrition]]="No","Active")</f>
        <v>Active</v>
      </c>
      <c r="AM1233" t="str" cm="1">
        <f t="array" ref="AM1233">_xlfn.IFS(Table1[[#This Row],[YearsAtCompany]]&lt;=1,"0-1 Year",Table1[[#This Row],[YearsAtCompany]]&lt;=2,"1-2 Years",Table1[[#This Row],[YearsAtCompany]]&lt;=3,"2-3 Years",Table1[[#This Row],[YearsAtCompany]]&lt;=4,"3-4 Years",Table1[[#This Row],[YearsAtCompany]]&lt;=5,"4-5 Years",Table1[[#This Row],[YearsAtCompany]]&gt;5,"&gt;5 Years")</f>
        <v>&gt;5 Years</v>
      </c>
    </row>
    <row r="1234" spans="1:39" hidden="1" x14ac:dyDescent="0.45">
      <c r="A1234">
        <v>35</v>
      </c>
      <c r="B1234" t="s">
        <v>43</v>
      </c>
      <c r="C1234" t="s">
        <v>64</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_xlfn.IFS(Table1[[#This Row],[Age]]&lt;30,"Young",Table1[[#This Row],[Age]]&lt;=40,"Adult",Table1[[#This Row],[Age]]&gt;40,"Senior")</f>
        <v>Adult</v>
      </c>
      <c r="AK1234" t="str" cm="1">
        <f t="array" ref="AK1234">_xlfn.IFS(Table1[[#This Row],[MonthlyIncome]]&lt;5000,"Low",Table1[[#This Row],[MonthlyIncome]]&lt;10000,"Medium",Table1[[#This Row],[MonthlyIncome]]&gt;10000,"High")</f>
        <v>Medium</v>
      </c>
      <c r="AL1234" t="str" cm="1">
        <f t="array" ref="AL1234">_xlfn.IFS(Table1[[#This Row],[Attrition]]="Yes","Resigned",Table1[[#This Row],[Attrition]]="No","Active")</f>
        <v>Active</v>
      </c>
      <c r="AM1234" t="str" cm="1">
        <f t="array" ref="AM1234">_xlfn.IFS(Table1[[#This Row],[YearsAtCompany]]&lt;=1,"0-1 Year",Table1[[#This Row],[YearsAtCompany]]&lt;=2,"1-2 Years",Table1[[#This Row],[YearsAtCompany]]&lt;=3,"2-3 Years",Table1[[#This Row],[YearsAtCompany]]&lt;=4,"3-4 Years",Table1[[#This Row],[YearsAtCompany]]&lt;=5,"4-5 Years",Table1[[#This Row],[YearsAtCompany]]&gt;5,"&gt;5 Years")</f>
        <v>&gt;5 Years</v>
      </c>
    </row>
    <row r="1235" spans="1:39" hidden="1" x14ac:dyDescent="0.45">
      <c r="A1235">
        <v>30</v>
      </c>
      <c r="B1235" t="s">
        <v>43</v>
      </c>
      <c r="C1235" t="s">
        <v>64</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_xlfn.IFS(Table1[[#This Row],[Age]]&lt;30,"Young",Table1[[#This Row],[Age]]&lt;=40,"Adult",Table1[[#This Row],[Age]]&gt;40,"Senior")</f>
        <v>Adult</v>
      </c>
      <c r="AK1235" t="str" cm="1">
        <f t="array" ref="AK1235">_xlfn.IFS(Table1[[#This Row],[MonthlyIncome]]&lt;5000,"Low",Table1[[#This Row],[MonthlyIncome]]&lt;10000,"Medium",Table1[[#This Row],[MonthlyIncome]]&gt;10000,"High")</f>
        <v>Low</v>
      </c>
      <c r="AL1235" t="str" cm="1">
        <f t="array" ref="AL1235">_xlfn.IFS(Table1[[#This Row],[Attrition]]="Yes","Resigned",Table1[[#This Row],[Attrition]]="No","Active")</f>
        <v>Active</v>
      </c>
      <c r="AM1235" t="str" cm="1">
        <f t="array" ref="AM1235">_xlfn.IFS(Table1[[#This Row],[YearsAtCompany]]&lt;=1,"0-1 Year",Table1[[#This Row],[YearsAtCompany]]&lt;=2,"1-2 Years",Table1[[#This Row],[YearsAtCompany]]&lt;=3,"2-3 Years",Table1[[#This Row],[YearsAtCompany]]&lt;=4,"3-4 Years",Table1[[#This Row],[YearsAtCompany]]&lt;=5,"4-5 Years",Table1[[#This Row],[YearsAtCompany]]&gt;5,"&gt;5 Years")</f>
        <v>&gt;5 Years</v>
      </c>
    </row>
    <row r="1236" spans="1:39" x14ac:dyDescent="0.45">
      <c r="A1236">
        <v>47</v>
      </c>
      <c r="B1236" t="s">
        <v>43</v>
      </c>
      <c r="C1236" t="s">
        <v>62</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_xlfn.IFS(Table1[[#This Row],[Age]]&lt;30,"Young",Table1[[#This Row],[Age]]&lt;=40,"Adult",Table1[[#This Row],[Age]]&gt;40,"Senior")</f>
        <v>Senior</v>
      </c>
      <c r="AK1236" t="str" cm="1">
        <f t="array" ref="AK1236">_xlfn.IFS(Table1[[#This Row],[MonthlyIncome]]&lt;5000,"Low",Table1[[#This Row],[MonthlyIncome]]&lt;10000,"Medium",Table1[[#This Row],[MonthlyIncome]]&gt;10000,"High")</f>
        <v>Low</v>
      </c>
      <c r="AL1236" t="str" cm="1">
        <f t="array" ref="AL1236">_xlfn.IFS(Table1[[#This Row],[Attrition]]="Yes","Resigned",Table1[[#This Row],[Attrition]]="No","Active")</f>
        <v>Active</v>
      </c>
      <c r="AM1236" t="str" cm="1">
        <f t="array" ref="AM1236">_xlfn.IFS(Table1[[#This Row],[YearsAtCompany]]&lt;=1,"0-1 Year",Table1[[#This Row],[YearsAtCompany]]&lt;=2,"1-2 Years",Table1[[#This Row],[YearsAtCompany]]&lt;=3,"2-3 Years",Table1[[#This Row],[YearsAtCompany]]&lt;=4,"3-4 Years",Table1[[#This Row],[YearsAtCompany]]&lt;=5,"4-5 Years",Table1[[#This Row],[YearsAtCompany]]&gt;5,"&gt;5 Years")</f>
        <v>0-1 Year</v>
      </c>
    </row>
    <row r="1237" spans="1:39" x14ac:dyDescent="0.45">
      <c r="A1237">
        <v>46</v>
      </c>
      <c r="B1237" t="s">
        <v>43</v>
      </c>
      <c r="C1237" t="s">
        <v>64</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_xlfn.IFS(Table1[[#This Row],[Age]]&lt;30,"Young",Table1[[#This Row],[Age]]&lt;=40,"Adult",Table1[[#This Row],[Age]]&gt;40,"Senior")</f>
        <v>Senior</v>
      </c>
      <c r="AK1237" t="str" cm="1">
        <f t="array" ref="AK1237">_xlfn.IFS(Table1[[#This Row],[MonthlyIncome]]&lt;5000,"Low",Table1[[#This Row],[MonthlyIncome]]&lt;10000,"Medium",Table1[[#This Row],[MonthlyIncome]]&gt;10000,"High")</f>
        <v>High</v>
      </c>
      <c r="AL1237" t="str" cm="1">
        <f t="array" ref="AL1237">_xlfn.IFS(Table1[[#This Row],[Attrition]]="Yes","Resigned",Table1[[#This Row],[Attrition]]="No","Active")</f>
        <v>Active</v>
      </c>
      <c r="AM1237" t="str" cm="1">
        <f t="array" ref="AM1237">_xlfn.IFS(Table1[[#This Row],[YearsAtCompany]]&lt;=1,"0-1 Year",Table1[[#This Row],[YearsAtCompany]]&lt;=2,"1-2 Years",Table1[[#This Row],[YearsAtCompany]]&lt;=3,"2-3 Years",Table1[[#This Row],[YearsAtCompany]]&lt;=4,"3-4 Years",Table1[[#This Row],[YearsAtCompany]]&lt;=5,"4-5 Years",Table1[[#This Row],[YearsAtCompany]]&gt;5,"&gt;5 Years")</f>
        <v>&gt;5 Years</v>
      </c>
    </row>
    <row r="1238" spans="1:39" x14ac:dyDescent="0.45">
      <c r="A1238">
        <v>36</v>
      </c>
      <c r="B1238" t="s">
        <v>35</v>
      </c>
      <c r="C1238" t="s">
        <v>64</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_xlfn.IFS(Table1[[#This Row],[Age]]&lt;30,"Young",Table1[[#This Row],[Age]]&lt;=40,"Adult",Table1[[#This Row],[Age]]&gt;40,"Senior")</f>
        <v>Adult</v>
      </c>
      <c r="AK1238" t="str" cm="1">
        <f t="array" ref="AK1238">_xlfn.IFS(Table1[[#This Row],[MonthlyIncome]]&lt;5000,"Low",Table1[[#This Row],[MonthlyIncome]]&lt;10000,"Medium",Table1[[#This Row],[MonthlyIncome]]&gt;10000,"High")</f>
        <v>Medium</v>
      </c>
      <c r="AL1238" t="str" cm="1">
        <f t="array" ref="AL1238">_xlfn.IFS(Table1[[#This Row],[Attrition]]="Yes","Resigned",Table1[[#This Row],[Attrition]]="No","Active")</f>
        <v>Resigned</v>
      </c>
      <c r="AM1238" t="str" cm="1">
        <f t="array" ref="AM1238">_xlfn.IFS(Table1[[#This Row],[YearsAtCompany]]&lt;=1,"0-1 Year",Table1[[#This Row],[YearsAtCompany]]&lt;=2,"1-2 Years",Table1[[#This Row],[YearsAtCompany]]&lt;=3,"2-3 Years",Table1[[#This Row],[YearsAtCompany]]&lt;=4,"3-4 Years",Table1[[#This Row],[YearsAtCompany]]&lt;=5,"4-5 Years",Table1[[#This Row],[YearsAtCompany]]&gt;5,"&gt;5 Years")</f>
        <v>1-2 Years</v>
      </c>
    </row>
    <row r="1239" spans="1:39" x14ac:dyDescent="0.45">
      <c r="A1239">
        <v>32</v>
      </c>
      <c r="B1239" t="s">
        <v>35</v>
      </c>
      <c r="C1239" t="s">
        <v>64</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_xlfn.IFS(Table1[[#This Row],[Age]]&lt;30,"Young",Table1[[#This Row],[Age]]&lt;=40,"Adult",Table1[[#This Row],[Age]]&gt;40,"Senior")</f>
        <v>Adult</v>
      </c>
      <c r="AK1239" t="str" cm="1">
        <f t="array" ref="AK1239">_xlfn.IFS(Table1[[#This Row],[MonthlyIncome]]&lt;5000,"Low",Table1[[#This Row],[MonthlyIncome]]&lt;10000,"Medium",Table1[[#This Row],[MonthlyIncome]]&gt;10000,"High")</f>
        <v>Medium</v>
      </c>
      <c r="AL1239" t="str" cm="1">
        <f t="array" ref="AL1239">_xlfn.IFS(Table1[[#This Row],[Attrition]]="Yes","Resigned",Table1[[#This Row],[Attrition]]="No","Active")</f>
        <v>Resigned</v>
      </c>
      <c r="AM1239" t="str" cm="1">
        <f t="array" ref="AM1239">_xlfn.IFS(Table1[[#This Row],[YearsAtCompany]]&lt;=1,"0-1 Year",Table1[[#This Row],[YearsAtCompany]]&lt;=2,"1-2 Years",Table1[[#This Row],[YearsAtCompany]]&lt;=3,"2-3 Years",Table1[[#This Row],[YearsAtCompany]]&lt;=4,"3-4 Years",Table1[[#This Row],[YearsAtCompany]]&lt;=5,"4-5 Years",Table1[[#This Row],[YearsAtCompany]]&gt;5,"&gt;5 Years")</f>
        <v>0-1 Year</v>
      </c>
    </row>
    <row r="1240" spans="1:39" hidden="1" x14ac:dyDescent="0.45">
      <c r="A1240">
        <v>23</v>
      </c>
      <c r="B1240" t="s">
        <v>43</v>
      </c>
      <c r="C1240" t="s">
        <v>64</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_xlfn.IFS(Table1[[#This Row],[Age]]&lt;30,"Young",Table1[[#This Row],[Age]]&lt;=40,"Adult",Table1[[#This Row],[Age]]&gt;40,"Senior")</f>
        <v>Young</v>
      </c>
      <c r="AK1240" t="str" cm="1">
        <f t="array" ref="AK1240">_xlfn.IFS(Table1[[#This Row],[MonthlyIncome]]&lt;5000,"Low",Table1[[#This Row],[MonthlyIncome]]&lt;10000,"Medium",Table1[[#This Row],[MonthlyIncome]]&gt;10000,"High")</f>
        <v>Low</v>
      </c>
      <c r="AL1240" t="str" cm="1">
        <f t="array" ref="AL1240">_xlfn.IFS(Table1[[#This Row],[Attrition]]="Yes","Resigned",Table1[[#This Row],[Attrition]]="No","Active")</f>
        <v>Active</v>
      </c>
      <c r="AM1240" t="str" cm="1">
        <f t="array" ref="AM1240">_xlfn.IFS(Table1[[#This Row],[YearsAtCompany]]&lt;=1,"0-1 Year",Table1[[#This Row],[YearsAtCompany]]&lt;=2,"1-2 Years",Table1[[#This Row],[YearsAtCompany]]&lt;=3,"2-3 Years",Table1[[#This Row],[YearsAtCompany]]&lt;=4,"3-4 Years",Table1[[#This Row],[YearsAtCompany]]&lt;=5,"4-5 Years",Table1[[#This Row],[YearsAtCompany]]&gt;5,"&gt;5 Years")</f>
        <v>2-3 Years</v>
      </c>
    </row>
    <row r="1241" spans="1:39" hidden="1" x14ac:dyDescent="0.45">
      <c r="A1241">
        <v>31</v>
      </c>
      <c r="B1241" t="s">
        <v>43</v>
      </c>
      <c r="C1241" t="s">
        <v>63</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_xlfn.IFS(Table1[[#This Row],[Age]]&lt;30,"Young",Table1[[#This Row],[Age]]&lt;=40,"Adult",Table1[[#This Row],[Age]]&gt;40,"Senior")</f>
        <v>Adult</v>
      </c>
      <c r="AK1241" t="str" cm="1">
        <f t="array" ref="AK1241">_xlfn.IFS(Table1[[#This Row],[MonthlyIncome]]&lt;5000,"Low",Table1[[#This Row],[MonthlyIncome]]&lt;10000,"Medium",Table1[[#This Row],[MonthlyIncome]]&gt;10000,"High")</f>
        <v>Medium</v>
      </c>
      <c r="AL1241" t="str" cm="1">
        <f t="array" ref="AL1241">_xlfn.IFS(Table1[[#This Row],[Attrition]]="Yes","Resigned",Table1[[#This Row],[Attrition]]="No","Active")</f>
        <v>Active</v>
      </c>
      <c r="AM1241" t="str" cm="1">
        <f t="array" ref="AM1241">_xlfn.IFS(Table1[[#This Row],[YearsAtCompany]]&lt;=1,"0-1 Year",Table1[[#This Row],[YearsAtCompany]]&lt;=2,"1-2 Years",Table1[[#This Row],[YearsAtCompany]]&lt;=3,"2-3 Years",Table1[[#This Row],[YearsAtCompany]]&lt;=4,"3-4 Years",Table1[[#This Row],[YearsAtCompany]]&lt;=5,"4-5 Years",Table1[[#This Row],[YearsAtCompany]]&gt;5,"&gt;5 Years")</f>
        <v>4-5 Years</v>
      </c>
    </row>
    <row r="1242" spans="1:39" hidden="1" x14ac:dyDescent="0.45">
      <c r="A1242">
        <v>39</v>
      </c>
      <c r="B1242" t="s">
        <v>43</v>
      </c>
      <c r="C1242" t="s">
        <v>62</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_xlfn.IFS(Table1[[#This Row],[Age]]&lt;30,"Young",Table1[[#This Row],[Age]]&lt;=40,"Adult",Table1[[#This Row],[Age]]&gt;40,"Senior")</f>
        <v>Adult</v>
      </c>
      <c r="AK1242" t="str" cm="1">
        <f t="array" ref="AK1242">_xlfn.IFS(Table1[[#This Row],[MonthlyIncome]]&lt;5000,"Low",Table1[[#This Row],[MonthlyIncome]]&lt;10000,"Medium",Table1[[#This Row],[MonthlyIncome]]&gt;10000,"High")</f>
        <v>Medium</v>
      </c>
      <c r="AL1242" t="str" cm="1">
        <f t="array" ref="AL1242">_xlfn.IFS(Table1[[#This Row],[Attrition]]="Yes","Resigned",Table1[[#This Row],[Attrition]]="No","Active")</f>
        <v>Active</v>
      </c>
      <c r="AM1242" t="str" cm="1">
        <f t="array" ref="AM1242">_xlfn.IFS(Table1[[#This Row],[YearsAtCompany]]&lt;=1,"0-1 Year",Table1[[#This Row],[YearsAtCompany]]&lt;=2,"1-2 Years",Table1[[#This Row],[YearsAtCompany]]&lt;=3,"2-3 Years",Table1[[#This Row],[YearsAtCompany]]&lt;=4,"3-4 Years",Table1[[#This Row],[YearsAtCompany]]&lt;=5,"4-5 Years",Table1[[#This Row],[YearsAtCompany]]&gt;5,"&gt;5 Years")</f>
        <v>&gt;5 Years</v>
      </c>
    </row>
    <row r="1243" spans="1:39" x14ac:dyDescent="0.45">
      <c r="A1243">
        <v>32</v>
      </c>
      <c r="B1243" t="s">
        <v>43</v>
      </c>
      <c r="C1243" t="s">
        <v>64</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_xlfn.IFS(Table1[[#This Row],[Age]]&lt;30,"Young",Table1[[#This Row],[Age]]&lt;=40,"Adult",Table1[[#This Row],[Age]]&gt;40,"Senior")</f>
        <v>Adult</v>
      </c>
      <c r="AK1243" t="str" cm="1">
        <f t="array" ref="AK1243">_xlfn.IFS(Table1[[#This Row],[MonthlyIncome]]&lt;5000,"Low",Table1[[#This Row],[MonthlyIncome]]&lt;10000,"Medium",Table1[[#This Row],[MonthlyIncome]]&gt;10000,"High")</f>
        <v>Medium</v>
      </c>
      <c r="AL1243" t="str" cm="1">
        <f t="array" ref="AL1243">_xlfn.IFS(Table1[[#This Row],[Attrition]]="Yes","Resigned",Table1[[#This Row],[Attrition]]="No","Active")</f>
        <v>Active</v>
      </c>
      <c r="AM1243" t="str" cm="1">
        <f t="array" ref="AM1243">_xlfn.IFS(Table1[[#This Row],[YearsAtCompany]]&lt;=1,"0-1 Year",Table1[[#This Row],[YearsAtCompany]]&lt;=2,"1-2 Years",Table1[[#This Row],[YearsAtCompany]]&lt;=3,"2-3 Years",Table1[[#This Row],[YearsAtCompany]]&lt;=4,"3-4 Years",Table1[[#This Row],[YearsAtCompany]]&lt;=5,"4-5 Years",Table1[[#This Row],[YearsAtCompany]]&gt;5,"&gt;5 Years")</f>
        <v>3-4 Years</v>
      </c>
    </row>
    <row r="1244" spans="1:39" x14ac:dyDescent="0.45">
      <c r="A1244">
        <v>40</v>
      </c>
      <c r="B1244" t="s">
        <v>43</v>
      </c>
      <c r="C1244" t="s">
        <v>64</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_xlfn.IFS(Table1[[#This Row],[Age]]&lt;30,"Young",Table1[[#This Row],[Age]]&lt;=40,"Adult",Table1[[#This Row],[Age]]&gt;40,"Senior")</f>
        <v>Adult</v>
      </c>
      <c r="AK1244" t="str" cm="1">
        <f t="array" ref="AK1244">_xlfn.IFS(Table1[[#This Row],[MonthlyIncome]]&lt;5000,"Low",Table1[[#This Row],[MonthlyIncome]]&lt;10000,"Medium",Table1[[#This Row],[MonthlyIncome]]&gt;10000,"High")</f>
        <v>High</v>
      </c>
      <c r="AL1244" t="str" cm="1">
        <f t="array" ref="AL1244">_xlfn.IFS(Table1[[#This Row],[Attrition]]="Yes","Resigned",Table1[[#This Row],[Attrition]]="No","Active")</f>
        <v>Active</v>
      </c>
      <c r="AM1244" t="str" cm="1">
        <f t="array" ref="AM1244">_xlfn.IFS(Table1[[#This Row],[YearsAtCompany]]&lt;=1,"0-1 Year",Table1[[#This Row],[YearsAtCompany]]&lt;=2,"1-2 Years",Table1[[#This Row],[YearsAtCompany]]&lt;=3,"2-3 Years",Table1[[#This Row],[YearsAtCompany]]&lt;=4,"3-4 Years",Table1[[#This Row],[YearsAtCompany]]&lt;=5,"4-5 Years",Table1[[#This Row],[YearsAtCompany]]&gt;5,"&gt;5 Years")</f>
        <v>&gt;5 Years</v>
      </c>
    </row>
    <row r="1245" spans="1:39" hidden="1" x14ac:dyDescent="0.45">
      <c r="A1245">
        <v>45</v>
      </c>
      <c r="B1245" t="s">
        <v>43</v>
      </c>
      <c r="C1245" t="s">
        <v>64</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_xlfn.IFS(Table1[[#This Row],[Age]]&lt;30,"Young",Table1[[#This Row],[Age]]&lt;=40,"Adult",Table1[[#This Row],[Age]]&gt;40,"Senior")</f>
        <v>Senior</v>
      </c>
      <c r="AK1245" t="str" cm="1">
        <f t="array" ref="AK1245">_xlfn.IFS(Table1[[#This Row],[MonthlyIncome]]&lt;5000,"Low",Table1[[#This Row],[MonthlyIncome]]&lt;10000,"Medium",Table1[[#This Row],[MonthlyIncome]]&gt;10000,"High")</f>
        <v>Medium</v>
      </c>
      <c r="AL1245" t="str" cm="1">
        <f t="array" ref="AL1245">_xlfn.IFS(Table1[[#This Row],[Attrition]]="Yes","Resigned",Table1[[#This Row],[Attrition]]="No","Active")</f>
        <v>Active</v>
      </c>
      <c r="AM1245" t="str" cm="1">
        <f t="array" ref="AM1245">_xlfn.IFS(Table1[[#This Row],[YearsAtCompany]]&lt;=1,"0-1 Year",Table1[[#This Row],[YearsAtCompany]]&lt;=2,"1-2 Years",Table1[[#This Row],[YearsAtCompany]]&lt;=3,"2-3 Years",Table1[[#This Row],[YearsAtCompany]]&lt;=4,"3-4 Years",Table1[[#This Row],[YearsAtCompany]]&lt;=5,"4-5 Years",Table1[[#This Row],[YearsAtCompany]]&gt;5,"&gt;5 Years")</f>
        <v>4-5 Years</v>
      </c>
    </row>
    <row r="1246" spans="1:39" hidden="1" x14ac:dyDescent="0.45">
      <c r="A1246">
        <v>30</v>
      </c>
      <c r="B1246" t="s">
        <v>43</v>
      </c>
      <c r="C1246" t="s">
        <v>63</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_xlfn.IFS(Table1[[#This Row],[Age]]&lt;30,"Young",Table1[[#This Row],[Age]]&lt;=40,"Adult",Table1[[#This Row],[Age]]&gt;40,"Senior")</f>
        <v>Adult</v>
      </c>
      <c r="AK1246" t="str" cm="1">
        <f t="array" ref="AK1246">_xlfn.IFS(Table1[[#This Row],[MonthlyIncome]]&lt;5000,"Low",Table1[[#This Row],[MonthlyIncome]]&lt;10000,"Medium",Table1[[#This Row],[MonthlyIncome]]&gt;10000,"High")</f>
        <v>Low</v>
      </c>
      <c r="AL1246" t="str" cm="1">
        <f t="array" ref="AL1246">_xlfn.IFS(Table1[[#This Row],[Attrition]]="Yes","Resigned",Table1[[#This Row],[Attrition]]="No","Active")</f>
        <v>Active</v>
      </c>
      <c r="AM1246" t="str" cm="1">
        <f t="array" ref="AM1246">_xlfn.IFS(Table1[[#This Row],[YearsAtCompany]]&lt;=1,"0-1 Year",Table1[[#This Row],[YearsAtCompany]]&lt;=2,"1-2 Years",Table1[[#This Row],[YearsAtCompany]]&lt;=3,"2-3 Years",Table1[[#This Row],[YearsAtCompany]]&lt;=4,"3-4 Years",Table1[[#This Row],[YearsAtCompany]]&lt;=5,"4-5 Years",Table1[[#This Row],[YearsAtCompany]]&gt;5,"&gt;5 Years")</f>
        <v>&gt;5 Years</v>
      </c>
    </row>
    <row r="1247" spans="1:39" hidden="1" x14ac:dyDescent="0.45">
      <c r="A1247">
        <v>24</v>
      </c>
      <c r="B1247" t="s">
        <v>43</v>
      </c>
      <c r="C1247" t="s">
        <v>63</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_xlfn.IFS(Table1[[#This Row],[Age]]&lt;30,"Young",Table1[[#This Row],[Age]]&lt;=40,"Adult",Table1[[#This Row],[Age]]&gt;40,"Senior")</f>
        <v>Young</v>
      </c>
      <c r="AK1247" t="str" cm="1">
        <f t="array" ref="AK1247">_xlfn.IFS(Table1[[#This Row],[MonthlyIncome]]&lt;5000,"Low",Table1[[#This Row],[MonthlyIncome]]&lt;10000,"Medium",Table1[[#This Row],[MonthlyIncome]]&gt;10000,"High")</f>
        <v>Low</v>
      </c>
      <c r="AL1247" t="str" cm="1">
        <f t="array" ref="AL1247">_xlfn.IFS(Table1[[#This Row],[Attrition]]="Yes","Resigned",Table1[[#This Row],[Attrition]]="No","Active")</f>
        <v>Active</v>
      </c>
      <c r="AM1247" t="str" cm="1">
        <f t="array" ref="AM1247">_xlfn.IFS(Table1[[#This Row],[YearsAtCompany]]&lt;=1,"0-1 Year",Table1[[#This Row],[YearsAtCompany]]&lt;=2,"1-2 Years",Table1[[#This Row],[YearsAtCompany]]&lt;=3,"2-3 Years",Table1[[#This Row],[YearsAtCompany]]&lt;=4,"3-4 Years",Table1[[#This Row],[YearsAtCompany]]&lt;=5,"4-5 Years",Table1[[#This Row],[YearsAtCompany]]&gt;5,"&gt;5 Years")</f>
        <v>1-2 Years</v>
      </c>
    </row>
    <row r="1248" spans="1:39" hidden="1" x14ac:dyDescent="0.45">
      <c r="A1248">
        <v>30</v>
      </c>
      <c r="B1248" t="s">
        <v>35</v>
      </c>
      <c r="C1248" t="s">
        <v>63</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_xlfn.IFS(Table1[[#This Row],[Age]]&lt;30,"Young",Table1[[#This Row],[Age]]&lt;=40,"Adult",Table1[[#This Row],[Age]]&gt;40,"Senior")</f>
        <v>Adult</v>
      </c>
      <c r="AK1248" t="str" cm="1">
        <f t="array" ref="AK1248">_xlfn.IFS(Table1[[#This Row],[MonthlyIncome]]&lt;5000,"Low",Table1[[#This Row],[MonthlyIncome]]&lt;10000,"Medium",Table1[[#This Row],[MonthlyIncome]]&gt;10000,"High")</f>
        <v>Low</v>
      </c>
      <c r="AL1248" t="str" cm="1">
        <f t="array" ref="AL1248">_xlfn.IFS(Table1[[#This Row],[Attrition]]="Yes","Resigned",Table1[[#This Row],[Attrition]]="No","Active")</f>
        <v>Resigned</v>
      </c>
      <c r="AM1248" t="str" cm="1">
        <f t="array" ref="AM1248">_xlfn.IFS(Table1[[#This Row],[YearsAtCompany]]&lt;=1,"0-1 Year",Table1[[#This Row],[YearsAtCompany]]&lt;=2,"1-2 Years",Table1[[#This Row],[YearsAtCompany]]&lt;=3,"2-3 Years",Table1[[#This Row],[YearsAtCompany]]&lt;=4,"3-4 Years",Table1[[#This Row],[YearsAtCompany]]&lt;=5,"4-5 Years",Table1[[#This Row],[YearsAtCompany]]&gt;5,"&gt;5 Years")</f>
        <v>3-4 Years</v>
      </c>
    </row>
    <row r="1249" spans="1:39" x14ac:dyDescent="0.45">
      <c r="A1249">
        <v>31</v>
      </c>
      <c r="B1249" t="s">
        <v>43</v>
      </c>
      <c r="C1249" t="s">
        <v>64</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_xlfn.IFS(Table1[[#This Row],[Age]]&lt;30,"Young",Table1[[#This Row],[Age]]&lt;=40,"Adult",Table1[[#This Row],[Age]]&gt;40,"Senior")</f>
        <v>Adult</v>
      </c>
      <c r="AK1249" t="str" cm="1">
        <f t="array" ref="AK1249">_xlfn.IFS(Table1[[#This Row],[MonthlyIncome]]&lt;5000,"Low",Table1[[#This Row],[MonthlyIncome]]&lt;10000,"Medium",Table1[[#This Row],[MonthlyIncome]]&gt;10000,"High")</f>
        <v>Medium</v>
      </c>
      <c r="AL1249" t="str" cm="1">
        <f t="array" ref="AL1249">_xlfn.IFS(Table1[[#This Row],[Attrition]]="Yes","Resigned",Table1[[#This Row],[Attrition]]="No","Active")</f>
        <v>Active</v>
      </c>
      <c r="AM1249" t="str" cm="1">
        <f t="array" ref="AM1249">_xlfn.IFS(Table1[[#This Row],[YearsAtCompany]]&lt;=1,"0-1 Year",Table1[[#This Row],[YearsAtCompany]]&lt;=2,"1-2 Years",Table1[[#This Row],[YearsAtCompany]]&lt;=3,"2-3 Years",Table1[[#This Row],[YearsAtCompany]]&lt;=4,"3-4 Years",Table1[[#This Row],[YearsAtCompany]]&lt;=5,"4-5 Years",Table1[[#This Row],[YearsAtCompany]]&gt;5,"&gt;5 Years")</f>
        <v>4-5 Years</v>
      </c>
    </row>
    <row r="1250" spans="1:39" hidden="1" x14ac:dyDescent="0.45">
      <c r="A1250">
        <v>27</v>
      </c>
      <c r="B1250" t="s">
        <v>43</v>
      </c>
      <c r="C1250" t="s">
        <v>64</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_xlfn.IFS(Table1[[#This Row],[Age]]&lt;30,"Young",Table1[[#This Row],[Age]]&lt;=40,"Adult",Table1[[#This Row],[Age]]&gt;40,"Senior")</f>
        <v>Young</v>
      </c>
      <c r="AK1250" t="str" cm="1">
        <f t="array" ref="AK1250">_xlfn.IFS(Table1[[#This Row],[MonthlyIncome]]&lt;5000,"Low",Table1[[#This Row],[MonthlyIncome]]&lt;10000,"Medium",Table1[[#This Row],[MonthlyIncome]]&gt;10000,"High")</f>
        <v>Low</v>
      </c>
      <c r="AL1250" t="str" cm="1">
        <f t="array" ref="AL1250">_xlfn.IFS(Table1[[#This Row],[Attrition]]="Yes","Resigned",Table1[[#This Row],[Attrition]]="No","Active")</f>
        <v>Active</v>
      </c>
      <c r="AM1250" t="str" cm="1">
        <f t="array" ref="AM1250">_xlfn.IFS(Table1[[#This Row],[YearsAtCompany]]&lt;=1,"0-1 Year",Table1[[#This Row],[YearsAtCompany]]&lt;=2,"1-2 Years",Table1[[#This Row],[YearsAtCompany]]&lt;=3,"2-3 Years",Table1[[#This Row],[YearsAtCompany]]&lt;=4,"3-4 Years",Table1[[#This Row],[YearsAtCompany]]&lt;=5,"4-5 Years",Table1[[#This Row],[YearsAtCompany]]&gt;5,"&gt;5 Years")</f>
        <v>&gt;5 Years</v>
      </c>
    </row>
    <row r="1251" spans="1:39" x14ac:dyDescent="0.45">
      <c r="A1251">
        <v>29</v>
      </c>
      <c r="B1251" t="s">
        <v>35</v>
      </c>
      <c r="C1251" t="s">
        <v>64</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_xlfn.IFS(Table1[[#This Row],[Age]]&lt;30,"Young",Table1[[#This Row],[Age]]&lt;=40,"Adult",Table1[[#This Row],[Age]]&gt;40,"Senior")</f>
        <v>Young</v>
      </c>
      <c r="AK1251" t="str" cm="1">
        <f t="array" ref="AK1251">_xlfn.IFS(Table1[[#This Row],[MonthlyIncome]]&lt;5000,"Low",Table1[[#This Row],[MonthlyIncome]]&lt;10000,"Medium",Table1[[#This Row],[MonthlyIncome]]&gt;10000,"High")</f>
        <v>Low</v>
      </c>
      <c r="AL1251" t="str" cm="1">
        <f t="array" ref="AL1251">_xlfn.IFS(Table1[[#This Row],[Attrition]]="Yes","Resigned",Table1[[#This Row],[Attrition]]="No","Active")</f>
        <v>Resigned</v>
      </c>
      <c r="AM1251" t="str" cm="1">
        <f t="array" ref="AM1251">_xlfn.IFS(Table1[[#This Row],[YearsAtCompany]]&lt;=1,"0-1 Year",Table1[[#This Row],[YearsAtCompany]]&lt;=2,"1-2 Years",Table1[[#This Row],[YearsAtCompany]]&lt;=3,"2-3 Years",Table1[[#This Row],[YearsAtCompany]]&lt;=4,"3-4 Years",Table1[[#This Row],[YearsAtCompany]]&lt;=5,"4-5 Years",Table1[[#This Row],[YearsAtCompany]]&gt;5,"&gt;5 Years")</f>
        <v>1-2 Years</v>
      </c>
    </row>
    <row r="1252" spans="1:39" hidden="1" x14ac:dyDescent="0.45">
      <c r="A1252">
        <v>29</v>
      </c>
      <c r="B1252" t="s">
        <v>43</v>
      </c>
      <c r="C1252" t="s">
        <v>63</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_xlfn.IFS(Table1[[#This Row],[Age]]&lt;30,"Young",Table1[[#This Row],[Age]]&lt;=40,"Adult",Table1[[#This Row],[Age]]&gt;40,"Senior")</f>
        <v>Young</v>
      </c>
      <c r="AK1252" t="str" cm="1">
        <f t="array" ref="AK1252">_xlfn.IFS(Table1[[#This Row],[MonthlyIncome]]&lt;5000,"Low",Table1[[#This Row],[MonthlyIncome]]&lt;10000,"Medium",Table1[[#This Row],[MonthlyIncome]]&gt;10000,"High")</f>
        <v>Medium</v>
      </c>
      <c r="AL1252" t="str" cm="1">
        <f t="array" ref="AL1252">_xlfn.IFS(Table1[[#This Row],[Attrition]]="Yes","Resigned",Table1[[#This Row],[Attrition]]="No","Active")</f>
        <v>Active</v>
      </c>
      <c r="AM1252" t="str" cm="1">
        <f t="array" ref="AM1252">_xlfn.IFS(Table1[[#This Row],[YearsAtCompany]]&lt;=1,"0-1 Year",Table1[[#This Row],[YearsAtCompany]]&lt;=2,"1-2 Years",Table1[[#This Row],[YearsAtCompany]]&lt;=3,"2-3 Years",Table1[[#This Row],[YearsAtCompany]]&lt;=4,"3-4 Years",Table1[[#This Row],[YearsAtCompany]]&lt;=5,"4-5 Years",Table1[[#This Row],[YearsAtCompany]]&gt;5,"&gt;5 Years")</f>
        <v>2-3 Years</v>
      </c>
    </row>
    <row r="1253" spans="1:39" x14ac:dyDescent="0.45">
      <c r="A1253">
        <v>30</v>
      </c>
      <c r="B1253" t="s">
        <v>43</v>
      </c>
      <c r="C1253" t="s">
        <v>64</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_xlfn.IFS(Table1[[#This Row],[Age]]&lt;30,"Young",Table1[[#This Row],[Age]]&lt;=40,"Adult",Table1[[#This Row],[Age]]&gt;40,"Senior")</f>
        <v>Adult</v>
      </c>
      <c r="AK1253" t="str" cm="1">
        <f t="array" ref="AK1253">_xlfn.IFS(Table1[[#This Row],[MonthlyIncome]]&lt;5000,"Low",Table1[[#This Row],[MonthlyIncome]]&lt;10000,"Medium",Table1[[#This Row],[MonthlyIncome]]&gt;10000,"High")</f>
        <v>Medium</v>
      </c>
      <c r="AL1253" t="str" cm="1">
        <f t="array" ref="AL1253">_xlfn.IFS(Table1[[#This Row],[Attrition]]="Yes","Resigned",Table1[[#This Row],[Attrition]]="No","Active")</f>
        <v>Active</v>
      </c>
      <c r="AM1253" t="str" cm="1">
        <f t="array" ref="AM1253">_xlfn.IFS(Table1[[#This Row],[YearsAtCompany]]&lt;=1,"0-1 Year",Table1[[#This Row],[YearsAtCompany]]&lt;=2,"1-2 Years",Table1[[#This Row],[YearsAtCompany]]&lt;=3,"2-3 Years",Table1[[#This Row],[YearsAtCompany]]&lt;=4,"3-4 Years",Table1[[#This Row],[YearsAtCompany]]&lt;=5,"4-5 Years",Table1[[#This Row],[YearsAtCompany]]&gt;5,"&gt;5 Years")</f>
        <v>&gt;5 Years</v>
      </c>
    </row>
    <row r="1254" spans="1:39" hidden="1" x14ac:dyDescent="0.45">
      <c r="A1254">
        <v>34</v>
      </c>
      <c r="B1254" t="s">
        <v>43</v>
      </c>
      <c r="C1254" t="s">
        <v>64</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_xlfn.IFS(Table1[[#This Row],[Age]]&lt;30,"Young",Table1[[#This Row],[Age]]&lt;=40,"Adult",Table1[[#This Row],[Age]]&gt;40,"Senior")</f>
        <v>Adult</v>
      </c>
      <c r="AK1254" t="str" cm="1">
        <f t="array" ref="AK1254">_xlfn.IFS(Table1[[#This Row],[MonthlyIncome]]&lt;5000,"Low",Table1[[#This Row],[MonthlyIncome]]&lt;10000,"Medium",Table1[[#This Row],[MonthlyIncome]]&gt;10000,"High")</f>
        <v>Low</v>
      </c>
      <c r="AL1254" t="str" cm="1">
        <f t="array" ref="AL1254">_xlfn.IFS(Table1[[#This Row],[Attrition]]="Yes","Resigned",Table1[[#This Row],[Attrition]]="No","Active")</f>
        <v>Active</v>
      </c>
      <c r="AM1254" t="str" cm="1">
        <f t="array" ref="AM1254">_xlfn.IFS(Table1[[#This Row],[YearsAtCompany]]&lt;=1,"0-1 Year",Table1[[#This Row],[YearsAtCompany]]&lt;=2,"1-2 Years",Table1[[#This Row],[YearsAtCompany]]&lt;=3,"2-3 Years",Table1[[#This Row],[YearsAtCompany]]&lt;=4,"3-4 Years",Table1[[#This Row],[YearsAtCompany]]&lt;=5,"4-5 Years",Table1[[#This Row],[YearsAtCompany]]&gt;5,"&gt;5 Years")</f>
        <v>4-5 Years</v>
      </c>
    </row>
    <row r="1255" spans="1:39" x14ac:dyDescent="0.45">
      <c r="A1255">
        <v>33</v>
      </c>
      <c r="B1255" t="s">
        <v>43</v>
      </c>
      <c r="C1255" t="s">
        <v>62</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_xlfn.IFS(Table1[[#This Row],[Age]]&lt;30,"Young",Table1[[#This Row],[Age]]&lt;=40,"Adult",Table1[[#This Row],[Age]]&gt;40,"Senior")</f>
        <v>Adult</v>
      </c>
      <c r="AK1255" t="str" cm="1">
        <f t="array" ref="AK1255">_xlfn.IFS(Table1[[#This Row],[MonthlyIncome]]&lt;5000,"Low",Table1[[#This Row],[MonthlyIncome]]&lt;10000,"Medium",Table1[[#This Row],[MonthlyIncome]]&gt;10000,"High")</f>
        <v>Medium</v>
      </c>
      <c r="AL1255" t="str" cm="1">
        <f t="array" ref="AL1255">_xlfn.IFS(Table1[[#This Row],[Attrition]]="Yes","Resigned",Table1[[#This Row],[Attrition]]="No","Active")</f>
        <v>Active</v>
      </c>
      <c r="AM1255" t="str" cm="1">
        <f t="array" ref="AM1255">_xlfn.IFS(Table1[[#This Row],[YearsAtCompany]]&lt;=1,"0-1 Year",Table1[[#This Row],[YearsAtCompany]]&lt;=2,"1-2 Years",Table1[[#This Row],[YearsAtCompany]]&lt;=3,"2-3 Years",Table1[[#This Row],[YearsAtCompany]]&lt;=4,"3-4 Years",Table1[[#This Row],[YearsAtCompany]]&lt;=5,"4-5 Years",Table1[[#This Row],[YearsAtCompany]]&gt;5,"&gt;5 Years")</f>
        <v>&gt;5 Years</v>
      </c>
    </row>
    <row r="1256" spans="1:39" x14ac:dyDescent="0.45">
      <c r="A1256">
        <v>49</v>
      </c>
      <c r="B1256" t="s">
        <v>43</v>
      </c>
      <c r="C1256" t="s">
        <v>64</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_xlfn.IFS(Table1[[#This Row],[Age]]&lt;30,"Young",Table1[[#This Row],[Age]]&lt;=40,"Adult",Table1[[#This Row],[Age]]&gt;40,"Senior")</f>
        <v>Senior</v>
      </c>
      <c r="AK1256" t="str" cm="1">
        <f t="array" ref="AK1256">_xlfn.IFS(Table1[[#This Row],[MonthlyIncome]]&lt;5000,"Low",Table1[[#This Row],[MonthlyIncome]]&lt;10000,"Medium",Table1[[#This Row],[MonthlyIncome]]&gt;10000,"High")</f>
        <v>Low</v>
      </c>
      <c r="AL1256" t="str" cm="1">
        <f t="array" ref="AL1256">_xlfn.IFS(Table1[[#This Row],[Attrition]]="Yes","Resigned",Table1[[#This Row],[Attrition]]="No","Active")</f>
        <v>Active</v>
      </c>
      <c r="AM1256" t="str" cm="1">
        <f t="array" ref="AM1256">_xlfn.IFS(Table1[[#This Row],[YearsAtCompany]]&lt;=1,"0-1 Year",Table1[[#This Row],[YearsAtCompany]]&lt;=2,"1-2 Years",Table1[[#This Row],[YearsAtCompany]]&lt;=3,"2-3 Years",Table1[[#This Row],[YearsAtCompany]]&lt;=4,"3-4 Years",Table1[[#This Row],[YearsAtCompany]]&lt;=5,"4-5 Years",Table1[[#This Row],[YearsAtCompany]]&gt;5,"&gt;5 Years")</f>
        <v>4-5 Years</v>
      </c>
    </row>
    <row r="1257" spans="1:39" x14ac:dyDescent="0.45">
      <c r="A1257">
        <v>33</v>
      </c>
      <c r="B1257" t="s">
        <v>35</v>
      </c>
      <c r="C1257" t="s">
        <v>64</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_xlfn.IFS(Table1[[#This Row],[Age]]&lt;30,"Young",Table1[[#This Row],[Age]]&lt;=40,"Adult",Table1[[#This Row],[Age]]&gt;40,"Senior")</f>
        <v>Adult</v>
      </c>
      <c r="AK1257" t="str" cm="1">
        <f t="array" ref="AK1257">_xlfn.IFS(Table1[[#This Row],[MonthlyIncome]]&lt;5000,"Low",Table1[[#This Row],[MonthlyIncome]]&lt;10000,"Medium",Table1[[#This Row],[MonthlyIncome]]&gt;10000,"High")</f>
        <v>Medium</v>
      </c>
      <c r="AL1257" t="str" cm="1">
        <f t="array" ref="AL1257">_xlfn.IFS(Table1[[#This Row],[Attrition]]="Yes","Resigned",Table1[[#This Row],[Attrition]]="No","Active")</f>
        <v>Resigned</v>
      </c>
      <c r="AM1257" t="str" cm="1">
        <f t="array" ref="AM1257">_xlfn.IFS(Table1[[#This Row],[YearsAtCompany]]&lt;=1,"0-1 Year",Table1[[#This Row],[YearsAtCompany]]&lt;=2,"1-2 Years",Table1[[#This Row],[YearsAtCompany]]&lt;=3,"2-3 Years",Table1[[#This Row],[YearsAtCompany]]&lt;=4,"3-4 Years",Table1[[#This Row],[YearsAtCompany]]&lt;=5,"4-5 Years",Table1[[#This Row],[YearsAtCompany]]&gt;5,"&gt;5 Years")</f>
        <v>0-1 Year</v>
      </c>
    </row>
    <row r="1258" spans="1:39" hidden="1" x14ac:dyDescent="0.45">
      <c r="A1258">
        <v>38</v>
      </c>
      <c r="B1258" t="s">
        <v>43</v>
      </c>
      <c r="C1258" t="s">
        <v>63</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_xlfn.IFS(Table1[[#This Row],[Age]]&lt;30,"Young",Table1[[#This Row],[Age]]&lt;=40,"Adult",Table1[[#This Row],[Age]]&gt;40,"Senior")</f>
        <v>Adult</v>
      </c>
      <c r="AK1258" t="str" cm="1">
        <f t="array" ref="AK1258">_xlfn.IFS(Table1[[#This Row],[MonthlyIncome]]&lt;5000,"Low",Table1[[#This Row],[MonthlyIncome]]&lt;10000,"Medium",Table1[[#This Row],[MonthlyIncome]]&gt;10000,"High")</f>
        <v>Low</v>
      </c>
      <c r="AL1258" t="str" cm="1">
        <f t="array" ref="AL1258">_xlfn.IFS(Table1[[#This Row],[Attrition]]="Yes","Resigned",Table1[[#This Row],[Attrition]]="No","Active")</f>
        <v>Active</v>
      </c>
      <c r="AM1258" t="str" cm="1">
        <f t="array" ref="AM1258">_xlfn.IFS(Table1[[#This Row],[YearsAtCompany]]&lt;=1,"0-1 Year",Table1[[#This Row],[YearsAtCompany]]&lt;=2,"1-2 Years",Table1[[#This Row],[YearsAtCompany]]&lt;=3,"2-3 Years",Table1[[#This Row],[YearsAtCompany]]&lt;=4,"3-4 Years",Table1[[#This Row],[YearsAtCompany]]&lt;=5,"4-5 Years",Table1[[#This Row],[YearsAtCompany]]&gt;5,"&gt;5 Years")</f>
        <v>&gt;5 Years</v>
      </c>
    </row>
    <row r="1259" spans="1:39" x14ac:dyDescent="0.45">
      <c r="A1259">
        <v>31</v>
      </c>
      <c r="B1259" t="s">
        <v>35</v>
      </c>
      <c r="C1259" t="s">
        <v>64</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_xlfn.IFS(Table1[[#This Row],[Age]]&lt;30,"Young",Table1[[#This Row],[Age]]&lt;=40,"Adult",Table1[[#This Row],[Age]]&gt;40,"Senior")</f>
        <v>Adult</v>
      </c>
      <c r="AK1259" t="str" cm="1">
        <f t="array" ref="AK1259">_xlfn.IFS(Table1[[#This Row],[MonthlyIncome]]&lt;5000,"Low",Table1[[#This Row],[MonthlyIncome]]&lt;10000,"Medium",Table1[[#This Row],[MonthlyIncome]]&gt;10000,"High")</f>
        <v>Medium</v>
      </c>
      <c r="AL1259" t="str" cm="1">
        <f t="array" ref="AL1259">_xlfn.IFS(Table1[[#This Row],[Attrition]]="Yes","Resigned",Table1[[#This Row],[Attrition]]="No","Active")</f>
        <v>Resigned</v>
      </c>
      <c r="AM1259" t="str" cm="1">
        <f t="array" ref="AM1259">_xlfn.IFS(Table1[[#This Row],[YearsAtCompany]]&lt;=1,"0-1 Year",Table1[[#This Row],[YearsAtCompany]]&lt;=2,"1-2 Years",Table1[[#This Row],[YearsAtCompany]]&lt;=3,"2-3 Years",Table1[[#This Row],[YearsAtCompany]]&lt;=4,"3-4 Years",Table1[[#This Row],[YearsAtCompany]]&lt;=5,"4-5 Years",Table1[[#This Row],[YearsAtCompany]]&gt;5,"&gt;5 Years")</f>
        <v>0-1 Year</v>
      </c>
    </row>
    <row r="1260" spans="1:39" hidden="1" x14ac:dyDescent="0.45">
      <c r="A1260">
        <v>29</v>
      </c>
      <c r="B1260" t="s">
        <v>43</v>
      </c>
      <c r="C1260" t="s">
        <v>64</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_xlfn.IFS(Table1[[#This Row],[Age]]&lt;30,"Young",Table1[[#This Row],[Age]]&lt;=40,"Adult",Table1[[#This Row],[Age]]&gt;40,"Senior")</f>
        <v>Young</v>
      </c>
      <c r="AK1260" t="str" cm="1">
        <f t="array" ref="AK1260">_xlfn.IFS(Table1[[#This Row],[MonthlyIncome]]&lt;5000,"Low",Table1[[#This Row],[MonthlyIncome]]&lt;10000,"Medium",Table1[[#This Row],[MonthlyIncome]]&gt;10000,"High")</f>
        <v>Low</v>
      </c>
      <c r="AL1260" t="str" cm="1">
        <f t="array" ref="AL1260">_xlfn.IFS(Table1[[#This Row],[Attrition]]="Yes","Resigned",Table1[[#This Row],[Attrition]]="No","Active")</f>
        <v>Active</v>
      </c>
      <c r="AM1260" t="str" cm="1">
        <f t="array" ref="AM1260">_xlfn.IFS(Table1[[#This Row],[YearsAtCompany]]&lt;=1,"0-1 Year",Table1[[#This Row],[YearsAtCompany]]&lt;=2,"1-2 Years",Table1[[#This Row],[YearsAtCompany]]&lt;=3,"2-3 Years",Table1[[#This Row],[YearsAtCompany]]&lt;=4,"3-4 Years",Table1[[#This Row],[YearsAtCompany]]&lt;=5,"4-5 Years",Table1[[#This Row],[YearsAtCompany]]&gt;5,"&gt;5 Years")</f>
        <v>0-1 Year</v>
      </c>
    </row>
    <row r="1261" spans="1:39" hidden="1" x14ac:dyDescent="0.45">
      <c r="A1261">
        <v>30</v>
      </c>
      <c r="B1261" t="s">
        <v>43</v>
      </c>
      <c r="C1261" t="s">
        <v>64</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_xlfn.IFS(Table1[[#This Row],[Age]]&lt;30,"Young",Table1[[#This Row],[Age]]&lt;=40,"Adult",Table1[[#This Row],[Age]]&gt;40,"Senior")</f>
        <v>Adult</v>
      </c>
      <c r="AK1261" t="str" cm="1">
        <f t="array" ref="AK1261">_xlfn.IFS(Table1[[#This Row],[MonthlyIncome]]&lt;5000,"Low",Table1[[#This Row],[MonthlyIncome]]&lt;10000,"Medium",Table1[[#This Row],[MonthlyIncome]]&gt;10000,"High")</f>
        <v>Medium</v>
      </c>
      <c r="AL1261" t="str" cm="1">
        <f t="array" ref="AL1261">_xlfn.IFS(Table1[[#This Row],[Attrition]]="Yes","Resigned",Table1[[#This Row],[Attrition]]="No","Active")</f>
        <v>Active</v>
      </c>
      <c r="AM1261" t="str" cm="1">
        <f t="array" ref="AM1261">_xlfn.IFS(Table1[[#This Row],[YearsAtCompany]]&lt;=1,"0-1 Year",Table1[[#This Row],[YearsAtCompany]]&lt;=2,"1-2 Years",Table1[[#This Row],[YearsAtCompany]]&lt;=3,"2-3 Years",Table1[[#This Row],[YearsAtCompany]]&lt;=4,"3-4 Years",Table1[[#This Row],[YearsAtCompany]]&lt;=5,"4-5 Years",Table1[[#This Row],[YearsAtCompany]]&gt;5,"&gt;5 Years")</f>
        <v>&gt;5 Years</v>
      </c>
    </row>
    <row r="1262" spans="1:39" hidden="1" x14ac:dyDescent="0.45">
      <c r="A1262">
        <v>32</v>
      </c>
      <c r="B1262" t="s">
        <v>43</v>
      </c>
      <c r="C1262" t="s">
        <v>62</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_xlfn.IFS(Table1[[#This Row],[Age]]&lt;30,"Young",Table1[[#This Row],[Age]]&lt;=40,"Adult",Table1[[#This Row],[Age]]&gt;40,"Senior")</f>
        <v>Adult</v>
      </c>
      <c r="AK1262" t="str" cm="1">
        <f t="array" ref="AK1262">_xlfn.IFS(Table1[[#This Row],[MonthlyIncome]]&lt;5000,"Low",Table1[[#This Row],[MonthlyIncome]]&lt;10000,"Medium",Table1[[#This Row],[MonthlyIncome]]&gt;10000,"High")</f>
        <v>Low</v>
      </c>
      <c r="AL1262" t="str" cm="1">
        <f t="array" ref="AL1262">_xlfn.IFS(Table1[[#This Row],[Attrition]]="Yes","Resigned",Table1[[#This Row],[Attrition]]="No","Active")</f>
        <v>Active</v>
      </c>
      <c r="AM1262" t="str" cm="1">
        <f t="array" ref="AM1262">_xlfn.IFS(Table1[[#This Row],[YearsAtCompany]]&lt;=1,"0-1 Year",Table1[[#This Row],[YearsAtCompany]]&lt;=2,"1-2 Years",Table1[[#This Row],[YearsAtCompany]]&lt;=3,"2-3 Years",Table1[[#This Row],[YearsAtCompany]]&lt;=4,"3-4 Years",Table1[[#This Row],[YearsAtCompany]]&lt;=5,"4-5 Years",Table1[[#This Row],[YearsAtCompany]]&gt;5,"&gt;5 Years")</f>
        <v>&gt;5 Years</v>
      </c>
    </row>
    <row r="1263" spans="1:39" hidden="1" x14ac:dyDescent="0.45">
      <c r="A1263">
        <v>38</v>
      </c>
      <c r="B1263" t="s">
        <v>43</v>
      </c>
      <c r="C1263" t="s">
        <v>64</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_xlfn.IFS(Table1[[#This Row],[Age]]&lt;30,"Young",Table1[[#This Row],[Age]]&lt;=40,"Adult",Table1[[#This Row],[Age]]&gt;40,"Senior")</f>
        <v>Adult</v>
      </c>
      <c r="AK1263" t="str" cm="1">
        <f t="array" ref="AK1263">_xlfn.IFS(Table1[[#This Row],[MonthlyIncome]]&lt;5000,"Low",Table1[[#This Row],[MonthlyIncome]]&lt;10000,"Medium",Table1[[#This Row],[MonthlyIncome]]&gt;10000,"High")</f>
        <v>Medium</v>
      </c>
      <c r="AL1263" t="str" cm="1">
        <f t="array" ref="AL1263">_xlfn.IFS(Table1[[#This Row],[Attrition]]="Yes","Resigned",Table1[[#This Row],[Attrition]]="No","Active")</f>
        <v>Active</v>
      </c>
      <c r="AM1263" t="str" cm="1">
        <f t="array" ref="AM1263">_xlfn.IFS(Table1[[#This Row],[YearsAtCompany]]&lt;=1,"0-1 Year",Table1[[#This Row],[YearsAtCompany]]&lt;=2,"1-2 Years",Table1[[#This Row],[YearsAtCompany]]&lt;=3,"2-3 Years",Table1[[#This Row],[YearsAtCompany]]&lt;=4,"3-4 Years",Table1[[#This Row],[YearsAtCompany]]&lt;=5,"4-5 Years",Table1[[#This Row],[YearsAtCompany]]&gt;5,"&gt;5 Years")</f>
        <v>0-1 Year</v>
      </c>
    </row>
    <row r="1264" spans="1:39" hidden="1" x14ac:dyDescent="0.45">
      <c r="A1264">
        <v>43</v>
      </c>
      <c r="B1264" t="s">
        <v>35</v>
      </c>
      <c r="C1264" t="s">
        <v>63</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_xlfn.IFS(Table1[[#This Row],[Age]]&lt;30,"Young",Table1[[#This Row],[Age]]&lt;=40,"Adult",Table1[[#This Row],[Age]]&gt;40,"Senior")</f>
        <v>Senior</v>
      </c>
      <c r="AK1264" t="str" cm="1">
        <f t="array" ref="AK1264">_xlfn.IFS(Table1[[#This Row],[MonthlyIncome]]&lt;5000,"Low",Table1[[#This Row],[MonthlyIncome]]&lt;10000,"Medium",Table1[[#This Row],[MonthlyIncome]]&gt;10000,"High")</f>
        <v>Low</v>
      </c>
      <c r="AL1264" t="str" cm="1">
        <f t="array" ref="AL1264">_xlfn.IFS(Table1[[#This Row],[Attrition]]="Yes","Resigned",Table1[[#This Row],[Attrition]]="No","Active")</f>
        <v>Resigned</v>
      </c>
      <c r="AM1264" t="str" cm="1">
        <f t="array" ref="AM1264">_xlfn.IFS(Table1[[#This Row],[YearsAtCompany]]&lt;=1,"0-1 Year",Table1[[#This Row],[YearsAtCompany]]&lt;=2,"1-2 Years",Table1[[#This Row],[YearsAtCompany]]&lt;=3,"2-3 Years",Table1[[#This Row],[YearsAtCompany]]&lt;=4,"3-4 Years",Table1[[#This Row],[YearsAtCompany]]&lt;=5,"4-5 Years",Table1[[#This Row],[YearsAtCompany]]&gt;5,"&gt;5 Years")</f>
        <v>0-1 Year</v>
      </c>
    </row>
    <row r="1265" spans="1:39" hidden="1" x14ac:dyDescent="0.45">
      <c r="A1265">
        <v>42</v>
      </c>
      <c r="B1265" t="s">
        <v>43</v>
      </c>
      <c r="C1265" t="s">
        <v>64</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_xlfn.IFS(Table1[[#This Row],[Age]]&lt;30,"Young",Table1[[#This Row],[Age]]&lt;=40,"Adult",Table1[[#This Row],[Age]]&gt;40,"Senior")</f>
        <v>Senior</v>
      </c>
      <c r="AK1265" t="str" cm="1">
        <f t="array" ref="AK1265">_xlfn.IFS(Table1[[#This Row],[MonthlyIncome]]&lt;5000,"Low",Table1[[#This Row],[MonthlyIncome]]&lt;10000,"Medium",Table1[[#This Row],[MonthlyIncome]]&gt;10000,"High")</f>
        <v>Low</v>
      </c>
      <c r="AL1265" t="str" cm="1">
        <f t="array" ref="AL1265">_xlfn.IFS(Table1[[#This Row],[Attrition]]="Yes","Resigned",Table1[[#This Row],[Attrition]]="No","Active")</f>
        <v>Active</v>
      </c>
      <c r="AM1265" t="str" cm="1">
        <f t="array" ref="AM1265">_xlfn.IFS(Table1[[#This Row],[YearsAtCompany]]&lt;=1,"0-1 Year",Table1[[#This Row],[YearsAtCompany]]&lt;=2,"1-2 Years",Table1[[#This Row],[YearsAtCompany]]&lt;=3,"2-3 Years",Table1[[#This Row],[YearsAtCompany]]&lt;=4,"3-4 Years",Table1[[#This Row],[YearsAtCompany]]&lt;=5,"4-5 Years",Table1[[#This Row],[YearsAtCompany]]&gt;5,"&gt;5 Years")</f>
        <v>4-5 Years</v>
      </c>
    </row>
    <row r="1266" spans="1:39" hidden="1" x14ac:dyDescent="0.45">
      <c r="A1266">
        <v>55</v>
      </c>
      <c r="B1266" t="s">
        <v>43</v>
      </c>
      <c r="C1266" t="s">
        <v>64</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_xlfn.IFS(Table1[[#This Row],[Age]]&lt;30,"Young",Table1[[#This Row],[Age]]&lt;=40,"Adult",Table1[[#This Row],[Age]]&gt;40,"Senior")</f>
        <v>Senior</v>
      </c>
      <c r="AK1266" t="str" cm="1">
        <f t="array" ref="AK1266">_xlfn.IFS(Table1[[#This Row],[MonthlyIncome]]&lt;5000,"Low",Table1[[#This Row],[MonthlyIncome]]&lt;10000,"Medium",Table1[[#This Row],[MonthlyIncome]]&gt;10000,"High")</f>
        <v>High</v>
      </c>
      <c r="AL1266" t="str" cm="1">
        <f t="array" ref="AL1266">_xlfn.IFS(Table1[[#This Row],[Attrition]]="Yes","Resigned",Table1[[#This Row],[Attrition]]="No","Active")</f>
        <v>Active</v>
      </c>
      <c r="AM1266" t="str" cm="1">
        <f t="array" ref="AM1266">_xlfn.IFS(Table1[[#This Row],[YearsAtCompany]]&lt;=1,"0-1 Year",Table1[[#This Row],[YearsAtCompany]]&lt;=2,"1-2 Years",Table1[[#This Row],[YearsAtCompany]]&lt;=3,"2-3 Years",Table1[[#This Row],[YearsAtCompany]]&lt;=4,"3-4 Years",Table1[[#This Row],[YearsAtCompany]]&lt;=5,"4-5 Years",Table1[[#This Row],[YearsAtCompany]]&gt;5,"&gt;5 Years")</f>
        <v>0-1 Year</v>
      </c>
    </row>
    <row r="1267" spans="1:39" hidden="1" x14ac:dyDescent="0.45">
      <c r="A1267">
        <v>33</v>
      </c>
      <c r="B1267" t="s">
        <v>43</v>
      </c>
      <c r="C1267" t="s">
        <v>62</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_xlfn.IFS(Table1[[#This Row],[Age]]&lt;30,"Young",Table1[[#This Row],[Age]]&lt;=40,"Adult",Table1[[#This Row],[Age]]&gt;40,"Senior")</f>
        <v>Adult</v>
      </c>
      <c r="AK1267" t="str" cm="1">
        <f t="array" ref="AK1267">_xlfn.IFS(Table1[[#This Row],[MonthlyIncome]]&lt;5000,"Low",Table1[[#This Row],[MonthlyIncome]]&lt;10000,"Medium",Table1[[#This Row],[MonthlyIncome]]&gt;10000,"High")</f>
        <v>Low</v>
      </c>
      <c r="AL1267" t="str" cm="1">
        <f t="array" ref="AL1267">_xlfn.IFS(Table1[[#This Row],[Attrition]]="Yes","Resigned",Table1[[#This Row],[Attrition]]="No","Active")</f>
        <v>Active</v>
      </c>
      <c r="AM1267" t="str" cm="1">
        <f t="array" ref="AM1267">_xlfn.IFS(Table1[[#This Row],[YearsAtCompany]]&lt;=1,"0-1 Year",Table1[[#This Row],[YearsAtCompany]]&lt;=2,"1-2 Years",Table1[[#This Row],[YearsAtCompany]]&lt;=3,"2-3 Years",Table1[[#This Row],[YearsAtCompany]]&lt;=4,"3-4 Years",Table1[[#This Row],[YearsAtCompany]]&lt;=5,"4-5 Years",Table1[[#This Row],[YearsAtCompany]]&gt;5,"&gt;5 Years")</f>
        <v>&gt;5 Years</v>
      </c>
    </row>
    <row r="1268" spans="1:39" hidden="1" x14ac:dyDescent="0.45">
      <c r="A1268">
        <v>41</v>
      </c>
      <c r="B1268" t="s">
        <v>43</v>
      </c>
      <c r="C1268" t="s">
        <v>64</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_xlfn.IFS(Table1[[#This Row],[Age]]&lt;30,"Young",Table1[[#This Row],[Age]]&lt;=40,"Adult",Table1[[#This Row],[Age]]&gt;40,"Senior")</f>
        <v>Senior</v>
      </c>
      <c r="AK1268" t="str" cm="1">
        <f t="array" ref="AK1268">_xlfn.IFS(Table1[[#This Row],[MonthlyIncome]]&lt;5000,"Low",Table1[[#This Row],[MonthlyIncome]]&lt;10000,"Medium",Table1[[#This Row],[MonthlyIncome]]&gt;10000,"High")</f>
        <v>Low</v>
      </c>
      <c r="AL1268" t="str" cm="1">
        <f t="array" ref="AL1268">_xlfn.IFS(Table1[[#This Row],[Attrition]]="Yes","Resigned",Table1[[#This Row],[Attrition]]="No","Active")</f>
        <v>Active</v>
      </c>
      <c r="AM1268" t="str" cm="1">
        <f t="array" ref="AM1268">_xlfn.IFS(Table1[[#This Row],[YearsAtCompany]]&lt;=1,"0-1 Year",Table1[[#This Row],[YearsAtCompany]]&lt;=2,"1-2 Years",Table1[[#This Row],[YearsAtCompany]]&lt;=3,"2-3 Years",Table1[[#This Row],[YearsAtCompany]]&lt;=4,"3-4 Years",Table1[[#This Row],[YearsAtCompany]]&lt;=5,"4-5 Years",Table1[[#This Row],[YearsAtCompany]]&gt;5,"&gt;5 Years")</f>
        <v>4-5 Years</v>
      </c>
    </row>
    <row r="1269" spans="1:39" x14ac:dyDescent="0.45">
      <c r="A1269">
        <v>34</v>
      </c>
      <c r="B1269" t="s">
        <v>43</v>
      </c>
      <c r="C1269" t="s">
        <v>62</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_xlfn.IFS(Table1[[#This Row],[Age]]&lt;30,"Young",Table1[[#This Row],[Age]]&lt;=40,"Adult",Table1[[#This Row],[Age]]&gt;40,"Senior")</f>
        <v>Adult</v>
      </c>
      <c r="AK1269" t="str" cm="1">
        <f t="array" ref="AK1269">_xlfn.IFS(Table1[[#This Row],[MonthlyIncome]]&lt;5000,"Low",Table1[[#This Row],[MonthlyIncome]]&lt;10000,"Medium",Table1[[#This Row],[MonthlyIncome]]&gt;10000,"High")</f>
        <v>Low</v>
      </c>
      <c r="AL1269" t="str" cm="1">
        <f t="array" ref="AL1269">_xlfn.IFS(Table1[[#This Row],[Attrition]]="Yes","Resigned",Table1[[#This Row],[Attrition]]="No","Active")</f>
        <v>Active</v>
      </c>
      <c r="AM1269" t="str" cm="1">
        <f t="array" ref="AM1269">_xlfn.IFS(Table1[[#This Row],[YearsAtCompany]]&lt;=1,"0-1 Year",Table1[[#This Row],[YearsAtCompany]]&lt;=2,"1-2 Years",Table1[[#This Row],[YearsAtCompany]]&lt;=3,"2-3 Years",Table1[[#This Row],[YearsAtCompany]]&lt;=4,"3-4 Years",Table1[[#This Row],[YearsAtCompany]]&lt;=5,"4-5 Years",Table1[[#This Row],[YearsAtCompany]]&gt;5,"&gt;5 Years")</f>
        <v>&gt;5 Years</v>
      </c>
    </row>
    <row r="1270" spans="1:39" hidden="1" x14ac:dyDescent="0.45">
      <c r="A1270">
        <v>53</v>
      </c>
      <c r="B1270" t="s">
        <v>43</v>
      </c>
      <c r="C1270" t="s">
        <v>62</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_xlfn.IFS(Table1[[#This Row],[Age]]&lt;30,"Young",Table1[[#This Row],[Age]]&lt;=40,"Adult",Table1[[#This Row],[Age]]&gt;40,"Senior")</f>
        <v>Senior</v>
      </c>
      <c r="AK1270" t="str" cm="1">
        <f t="array" ref="AK1270">_xlfn.IFS(Table1[[#This Row],[MonthlyIncome]]&lt;5000,"Low",Table1[[#This Row],[MonthlyIncome]]&lt;10000,"Medium",Table1[[#This Row],[MonthlyIncome]]&gt;10000,"High")</f>
        <v>High</v>
      </c>
      <c r="AL1270" t="str" cm="1">
        <f t="array" ref="AL1270">_xlfn.IFS(Table1[[#This Row],[Attrition]]="Yes","Resigned",Table1[[#This Row],[Attrition]]="No","Active")</f>
        <v>Active</v>
      </c>
      <c r="AM1270" t="str" cm="1">
        <f t="array" ref="AM1270">_xlfn.IFS(Table1[[#This Row],[YearsAtCompany]]&lt;=1,"0-1 Year",Table1[[#This Row],[YearsAtCompany]]&lt;=2,"1-2 Years",Table1[[#This Row],[YearsAtCompany]]&lt;=3,"2-3 Years",Table1[[#This Row],[YearsAtCompany]]&lt;=4,"3-4 Years",Table1[[#This Row],[YearsAtCompany]]&lt;=5,"4-5 Years",Table1[[#This Row],[YearsAtCompany]]&gt;5,"&gt;5 Years")</f>
        <v>2-3 Years</v>
      </c>
    </row>
    <row r="1271" spans="1:39" hidden="1" x14ac:dyDescent="0.45">
      <c r="A1271">
        <v>43</v>
      </c>
      <c r="B1271" t="s">
        <v>43</v>
      </c>
      <c r="C1271" t="s">
        <v>64</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_xlfn.IFS(Table1[[#This Row],[Age]]&lt;30,"Young",Table1[[#This Row],[Age]]&lt;=40,"Adult",Table1[[#This Row],[Age]]&gt;40,"Senior")</f>
        <v>Senior</v>
      </c>
      <c r="AK1271" t="str" cm="1">
        <f t="array" ref="AK1271">_xlfn.IFS(Table1[[#This Row],[MonthlyIncome]]&lt;5000,"Low",Table1[[#This Row],[MonthlyIncome]]&lt;10000,"Medium",Table1[[#This Row],[MonthlyIncome]]&gt;10000,"High")</f>
        <v>Low</v>
      </c>
      <c r="AL1271" t="str" cm="1">
        <f t="array" ref="AL1271">_xlfn.IFS(Table1[[#This Row],[Attrition]]="Yes","Resigned",Table1[[#This Row],[Attrition]]="No","Active")</f>
        <v>Active</v>
      </c>
      <c r="AM1271" t="str" cm="1">
        <f t="array" ref="AM1271">_xlfn.IFS(Table1[[#This Row],[YearsAtCompany]]&lt;=1,"0-1 Year",Table1[[#This Row],[YearsAtCompany]]&lt;=2,"1-2 Years",Table1[[#This Row],[YearsAtCompany]]&lt;=3,"2-3 Years",Table1[[#This Row],[YearsAtCompany]]&lt;=4,"3-4 Years",Table1[[#This Row],[YearsAtCompany]]&lt;=5,"4-5 Years",Table1[[#This Row],[YearsAtCompany]]&gt;5,"&gt;5 Years")</f>
        <v>&gt;5 Years</v>
      </c>
    </row>
    <row r="1272" spans="1:39" x14ac:dyDescent="0.45">
      <c r="A1272">
        <v>34</v>
      </c>
      <c r="B1272" t="s">
        <v>43</v>
      </c>
      <c r="C1272" t="s">
        <v>64</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_xlfn.IFS(Table1[[#This Row],[Age]]&lt;30,"Young",Table1[[#This Row],[Age]]&lt;=40,"Adult",Table1[[#This Row],[Age]]&gt;40,"Senior")</f>
        <v>Adult</v>
      </c>
      <c r="AK1272" t="str" cm="1">
        <f t="array" ref="AK1272">_xlfn.IFS(Table1[[#This Row],[MonthlyIncome]]&lt;5000,"Low",Table1[[#This Row],[MonthlyIncome]]&lt;10000,"Medium",Table1[[#This Row],[MonthlyIncome]]&gt;10000,"High")</f>
        <v>Medium</v>
      </c>
      <c r="AL1272" t="str" cm="1">
        <f t="array" ref="AL1272">_xlfn.IFS(Table1[[#This Row],[Attrition]]="Yes","Resigned",Table1[[#This Row],[Attrition]]="No","Active")</f>
        <v>Active</v>
      </c>
      <c r="AM1272" t="str" cm="1">
        <f t="array" ref="AM1272">_xlfn.IFS(Table1[[#This Row],[YearsAtCompany]]&lt;=1,"0-1 Year",Table1[[#This Row],[YearsAtCompany]]&lt;=2,"1-2 Years",Table1[[#This Row],[YearsAtCompany]]&lt;=3,"2-3 Years",Table1[[#This Row],[YearsAtCompany]]&lt;=4,"3-4 Years",Table1[[#This Row],[YearsAtCompany]]&lt;=5,"4-5 Years",Table1[[#This Row],[YearsAtCompany]]&gt;5,"&gt;5 Years")</f>
        <v>1-2 Years</v>
      </c>
    </row>
    <row r="1273" spans="1:39" x14ac:dyDescent="0.45">
      <c r="A1273">
        <v>21</v>
      </c>
      <c r="B1273" t="s">
        <v>35</v>
      </c>
      <c r="C1273" t="s">
        <v>64</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_xlfn.IFS(Table1[[#This Row],[Age]]&lt;30,"Young",Table1[[#This Row],[Age]]&lt;=40,"Adult",Table1[[#This Row],[Age]]&gt;40,"Senior")</f>
        <v>Young</v>
      </c>
      <c r="AK1273" t="str" cm="1">
        <f t="array" ref="AK1273">_xlfn.IFS(Table1[[#This Row],[MonthlyIncome]]&lt;5000,"Low",Table1[[#This Row],[MonthlyIncome]]&lt;10000,"Medium",Table1[[#This Row],[MonthlyIncome]]&gt;10000,"High")</f>
        <v>Low</v>
      </c>
      <c r="AL1273" t="str" cm="1">
        <f t="array" ref="AL1273">_xlfn.IFS(Table1[[#This Row],[Attrition]]="Yes","Resigned",Table1[[#This Row],[Attrition]]="No","Active")</f>
        <v>Resigned</v>
      </c>
      <c r="AM1273" t="str" cm="1">
        <f t="array" ref="AM1273">_xlfn.IFS(Table1[[#This Row],[YearsAtCompany]]&lt;=1,"0-1 Year",Table1[[#This Row],[YearsAtCompany]]&lt;=2,"1-2 Years",Table1[[#This Row],[YearsAtCompany]]&lt;=3,"2-3 Years",Table1[[#This Row],[YearsAtCompany]]&lt;=4,"3-4 Years",Table1[[#This Row],[YearsAtCompany]]&lt;=5,"4-5 Years",Table1[[#This Row],[YearsAtCompany]]&gt;5,"&gt;5 Years")</f>
        <v>0-1 Year</v>
      </c>
    </row>
    <row r="1274" spans="1:39" hidden="1" x14ac:dyDescent="0.45">
      <c r="A1274">
        <v>38</v>
      </c>
      <c r="B1274" t="s">
        <v>43</v>
      </c>
      <c r="C1274" t="s">
        <v>64</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_xlfn.IFS(Table1[[#This Row],[Age]]&lt;30,"Young",Table1[[#This Row],[Age]]&lt;=40,"Adult",Table1[[#This Row],[Age]]&gt;40,"Senior")</f>
        <v>Adult</v>
      </c>
      <c r="AK1274" t="str" cm="1">
        <f t="array" ref="AK1274">_xlfn.IFS(Table1[[#This Row],[MonthlyIncome]]&lt;5000,"Low",Table1[[#This Row],[MonthlyIncome]]&lt;10000,"Medium",Table1[[#This Row],[MonthlyIncome]]&gt;10000,"High")</f>
        <v>Low</v>
      </c>
      <c r="AL1274" t="str" cm="1">
        <f t="array" ref="AL1274">_xlfn.IFS(Table1[[#This Row],[Attrition]]="Yes","Resigned",Table1[[#This Row],[Attrition]]="No","Active")</f>
        <v>Active</v>
      </c>
      <c r="AM1274" t="str" cm="1">
        <f t="array" ref="AM1274">_xlfn.IFS(Table1[[#This Row],[YearsAtCompany]]&lt;=1,"0-1 Year",Table1[[#This Row],[YearsAtCompany]]&lt;=2,"1-2 Years",Table1[[#This Row],[YearsAtCompany]]&lt;=3,"2-3 Years",Table1[[#This Row],[YearsAtCompany]]&lt;=4,"3-4 Years",Table1[[#This Row],[YearsAtCompany]]&lt;=5,"4-5 Years",Table1[[#This Row],[YearsAtCompany]]&gt;5,"&gt;5 Years")</f>
        <v>4-5 Years</v>
      </c>
    </row>
    <row r="1275" spans="1:39" hidden="1" x14ac:dyDescent="0.45">
      <c r="A1275">
        <v>22</v>
      </c>
      <c r="B1275" t="s">
        <v>35</v>
      </c>
      <c r="C1275" t="s">
        <v>64</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_xlfn.IFS(Table1[[#This Row],[Age]]&lt;30,"Young",Table1[[#This Row],[Age]]&lt;=40,"Adult",Table1[[#This Row],[Age]]&gt;40,"Senior")</f>
        <v>Young</v>
      </c>
      <c r="AK1275" t="str" cm="1">
        <f t="array" ref="AK1275">_xlfn.IFS(Table1[[#This Row],[MonthlyIncome]]&lt;5000,"Low",Table1[[#This Row],[MonthlyIncome]]&lt;10000,"Medium",Table1[[#This Row],[MonthlyIncome]]&gt;10000,"High")</f>
        <v>Low</v>
      </c>
      <c r="AL1275" t="str" cm="1">
        <f t="array" ref="AL1275">_xlfn.IFS(Table1[[#This Row],[Attrition]]="Yes","Resigned",Table1[[#This Row],[Attrition]]="No","Active")</f>
        <v>Resigned</v>
      </c>
      <c r="AM1275" t="str" cm="1">
        <f t="array" ref="AM1275">_xlfn.IFS(Table1[[#This Row],[YearsAtCompany]]&lt;=1,"0-1 Year",Table1[[#This Row],[YearsAtCompany]]&lt;=2,"1-2 Years",Table1[[#This Row],[YearsAtCompany]]&lt;=3,"2-3 Years",Table1[[#This Row],[YearsAtCompany]]&lt;=4,"3-4 Years",Table1[[#This Row],[YearsAtCompany]]&lt;=5,"4-5 Years",Table1[[#This Row],[YearsAtCompany]]&gt;5,"&gt;5 Years")</f>
        <v>0-1 Year</v>
      </c>
    </row>
    <row r="1276" spans="1:39" x14ac:dyDescent="0.45">
      <c r="A1276">
        <v>31</v>
      </c>
      <c r="B1276" t="s">
        <v>43</v>
      </c>
      <c r="C1276" t="s">
        <v>64</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_xlfn.IFS(Table1[[#This Row],[Age]]&lt;30,"Young",Table1[[#This Row],[Age]]&lt;=40,"Adult",Table1[[#This Row],[Age]]&gt;40,"Senior")</f>
        <v>Adult</v>
      </c>
      <c r="AK1276" t="str" cm="1">
        <f t="array" ref="AK1276">_xlfn.IFS(Table1[[#This Row],[MonthlyIncome]]&lt;5000,"Low",Table1[[#This Row],[MonthlyIncome]]&lt;10000,"Medium",Table1[[#This Row],[MonthlyIncome]]&gt;10000,"High")</f>
        <v>Medium</v>
      </c>
      <c r="AL1276" t="str" cm="1">
        <f t="array" ref="AL1276">_xlfn.IFS(Table1[[#This Row],[Attrition]]="Yes","Resigned",Table1[[#This Row],[Attrition]]="No","Active")</f>
        <v>Active</v>
      </c>
      <c r="AM1276" t="str" cm="1">
        <f t="array" ref="AM1276">_xlfn.IFS(Table1[[#This Row],[YearsAtCompany]]&lt;=1,"0-1 Year",Table1[[#This Row],[YearsAtCompany]]&lt;=2,"1-2 Years",Table1[[#This Row],[YearsAtCompany]]&lt;=3,"2-3 Years",Table1[[#This Row],[YearsAtCompany]]&lt;=4,"3-4 Years",Table1[[#This Row],[YearsAtCompany]]&lt;=5,"4-5 Years",Table1[[#This Row],[YearsAtCompany]]&gt;5,"&gt;5 Years")</f>
        <v>&gt;5 Years</v>
      </c>
    </row>
    <row r="1277" spans="1:39" hidden="1" x14ac:dyDescent="0.45">
      <c r="A1277">
        <v>51</v>
      </c>
      <c r="B1277" t="s">
        <v>43</v>
      </c>
      <c r="C1277" t="s">
        <v>64</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_xlfn.IFS(Table1[[#This Row],[Age]]&lt;30,"Young",Table1[[#This Row],[Age]]&lt;=40,"Adult",Table1[[#This Row],[Age]]&gt;40,"Senior")</f>
        <v>Senior</v>
      </c>
      <c r="AK1277" t="str" cm="1">
        <f t="array" ref="AK1277">_xlfn.IFS(Table1[[#This Row],[MonthlyIncome]]&lt;5000,"Low",Table1[[#This Row],[MonthlyIncome]]&lt;10000,"Medium",Table1[[#This Row],[MonthlyIncome]]&gt;10000,"High")</f>
        <v>High</v>
      </c>
      <c r="AL1277" t="str" cm="1">
        <f t="array" ref="AL1277">_xlfn.IFS(Table1[[#This Row],[Attrition]]="Yes","Resigned",Table1[[#This Row],[Attrition]]="No","Active")</f>
        <v>Active</v>
      </c>
      <c r="AM1277" t="str" cm="1">
        <f t="array" ref="AM1277">_xlfn.IFS(Table1[[#This Row],[YearsAtCompany]]&lt;=1,"0-1 Year",Table1[[#This Row],[YearsAtCompany]]&lt;=2,"1-2 Years",Table1[[#This Row],[YearsAtCompany]]&lt;=3,"2-3 Years",Table1[[#This Row],[YearsAtCompany]]&lt;=4,"3-4 Years",Table1[[#This Row],[YearsAtCompany]]&lt;=5,"4-5 Years",Table1[[#This Row],[YearsAtCompany]]&gt;5,"&gt;5 Years")</f>
        <v>1-2 Years</v>
      </c>
    </row>
    <row r="1278" spans="1:39" x14ac:dyDescent="0.45">
      <c r="A1278">
        <v>37</v>
      </c>
      <c r="B1278" t="s">
        <v>43</v>
      </c>
      <c r="C1278" t="s">
        <v>64</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_xlfn.IFS(Table1[[#This Row],[Age]]&lt;30,"Young",Table1[[#This Row],[Age]]&lt;=40,"Adult",Table1[[#This Row],[Age]]&gt;40,"Senior")</f>
        <v>Adult</v>
      </c>
      <c r="AK1278" t="str" cm="1">
        <f t="array" ref="AK1278">_xlfn.IFS(Table1[[#This Row],[MonthlyIncome]]&lt;5000,"Low",Table1[[#This Row],[MonthlyIncome]]&lt;10000,"Medium",Table1[[#This Row],[MonthlyIncome]]&gt;10000,"High")</f>
        <v>Low</v>
      </c>
      <c r="AL1278" t="str" cm="1">
        <f t="array" ref="AL1278">_xlfn.IFS(Table1[[#This Row],[Attrition]]="Yes","Resigned",Table1[[#This Row],[Attrition]]="No","Active")</f>
        <v>Active</v>
      </c>
      <c r="AM1278" t="str" cm="1">
        <f t="array" ref="AM1278">_xlfn.IFS(Table1[[#This Row],[YearsAtCompany]]&lt;=1,"0-1 Year",Table1[[#This Row],[YearsAtCompany]]&lt;=2,"1-2 Years",Table1[[#This Row],[YearsAtCompany]]&lt;=3,"2-3 Years",Table1[[#This Row],[YearsAtCompany]]&lt;=4,"3-4 Years",Table1[[#This Row],[YearsAtCompany]]&lt;=5,"4-5 Years",Table1[[#This Row],[YearsAtCompany]]&gt;5,"&gt;5 Years")</f>
        <v>4-5 Years</v>
      </c>
    </row>
    <row r="1279" spans="1:39" hidden="1" x14ac:dyDescent="0.45">
      <c r="A1279">
        <v>46</v>
      </c>
      <c r="B1279" t="s">
        <v>43</v>
      </c>
      <c r="C1279" t="s">
        <v>64</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_xlfn.IFS(Table1[[#This Row],[Age]]&lt;30,"Young",Table1[[#This Row],[Age]]&lt;=40,"Adult",Table1[[#This Row],[Age]]&gt;40,"Senior")</f>
        <v>Senior</v>
      </c>
      <c r="AK1279" t="str" cm="1">
        <f t="array" ref="AK1279">_xlfn.IFS(Table1[[#This Row],[MonthlyIncome]]&lt;5000,"Low",Table1[[#This Row],[MonthlyIncome]]&lt;10000,"Medium",Table1[[#This Row],[MonthlyIncome]]&gt;10000,"High")</f>
        <v>High</v>
      </c>
      <c r="AL1279" t="str" cm="1">
        <f t="array" ref="AL1279">_xlfn.IFS(Table1[[#This Row],[Attrition]]="Yes","Resigned",Table1[[#This Row],[Attrition]]="No","Active")</f>
        <v>Active</v>
      </c>
      <c r="AM1279" t="str" cm="1">
        <f t="array" ref="AM1279">_xlfn.IFS(Table1[[#This Row],[YearsAtCompany]]&lt;=1,"0-1 Year",Table1[[#This Row],[YearsAtCompany]]&lt;=2,"1-2 Years",Table1[[#This Row],[YearsAtCompany]]&lt;=3,"2-3 Years",Table1[[#This Row],[YearsAtCompany]]&lt;=4,"3-4 Years",Table1[[#This Row],[YearsAtCompany]]&lt;=5,"4-5 Years",Table1[[#This Row],[YearsAtCompany]]&gt;5,"&gt;5 Years")</f>
        <v>1-2 Years</v>
      </c>
    </row>
    <row r="1280" spans="1:39" hidden="1" x14ac:dyDescent="0.45">
      <c r="A1280">
        <v>36</v>
      </c>
      <c r="B1280" t="s">
        <v>43</v>
      </c>
      <c r="C1280" t="s">
        <v>64</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_xlfn.IFS(Table1[[#This Row],[Age]]&lt;30,"Young",Table1[[#This Row],[Age]]&lt;=40,"Adult",Table1[[#This Row],[Age]]&gt;40,"Senior")</f>
        <v>Adult</v>
      </c>
      <c r="AK1280" t="str" cm="1">
        <f t="array" ref="AK1280">_xlfn.IFS(Table1[[#This Row],[MonthlyIncome]]&lt;5000,"Low",Table1[[#This Row],[MonthlyIncome]]&lt;10000,"Medium",Table1[[#This Row],[MonthlyIncome]]&gt;10000,"High")</f>
        <v>Medium</v>
      </c>
      <c r="AL1280" t="str" cm="1">
        <f t="array" ref="AL1280">_xlfn.IFS(Table1[[#This Row],[Attrition]]="Yes","Resigned",Table1[[#This Row],[Attrition]]="No","Active")</f>
        <v>Active</v>
      </c>
      <c r="AM1280" t="str" cm="1">
        <f t="array" ref="AM1280">_xlfn.IFS(Table1[[#This Row],[YearsAtCompany]]&lt;=1,"0-1 Year",Table1[[#This Row],[YearsAtCompany]]&lt;=2,"1-2 Years",Table1[[#This Row],[YearsAtCompany]]&lt;=3,"2-3 Years",Table1[[#This Row],[YearsAtCompany]]&lt;=4,"3-4 Years",Table1[[#This Row],[YearsAtCompany]]&lt;=5,"4-5 Years",Table1[[#This Row],[YearsAtCompany]]&gt;5,"&gt;5 Years")</f>
        <v>&gt;5 Years</v>
      </c>
    </row>
    <row r="1281" spans="1:39" hidden="1" x14ac:dyDescent="0.45">
      <c r="A1281">
        <v>44</v>
      </c>
      <c r="B1281" t="s">
        <v>35</v>
      </c>
      <c r="C1281" t="s">
        <v>63</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_xlfn.IFS(Table1[[#This Row],[Age]]&lt;30,"Young",Table1[[#This Row],[Age]]&lt;=40,"Adult",Table1[[#This Row],[Age]]&gt;40,"Senior")</f>
        <v>Senior</v>
      </c>
      <c r="AK1281" t="str" cm="1">
        <f t="array" ref="AK1281">_xlfn.IFS(Table1[[#This Row],[MonthlyIncome]]&lt;5000,"Low",Table1[[#This Row],[MonthlyIncome]]&lt;10000,"Medium",Table1[[#This Row],[MonthlyIncome]]&gt;10000,"High")</f>
        <v>Low</v>
      </c>
      <c r="AL1281" t="str" cm="1">
        <f t="array" ref="AL1281">_xlfn.IFS(Table1[[#This Row],[Attrition]]="Yes","Resigned",Table1[[#This Row],[Attrition]]="No","Active")</f>
        <v>Resigned</v>
      </c>
      <c r="AM1281" t="str" cm="1">
        <f t="array" ref="AM1281">_xlfn.IFS(Table1[[#This Row],[YearsAtCompany]]&lt;=1,"0-1 Year",Table1[[#This Row],[YearsAtCompany]]&lt;=2,"1-2 Years",Table1[[#This Row],[YearsAtCompany]]&lt;=3,"2-3 Years",Table1[[#This Row],[YearsAtCompany]]&lt;=4,"3-4 Years",Table1[[#This Row],[YearsAtCompany]]&lt;=5,"4-5 Years",Table1[[#This Row],[YearsAtCompany]]&gt;5,"&gt;5 Years")</f>
        <v>4-5 Years</v>
      </c>
    </row>
    <row r="1282" spans="1:39" hidden="1" x14ac:dyDescent="0.45">
      <c r="A1282">
        <v>37</v>
      </c>
      <c r="B1282" t="s">
        <v>43</v>
      </c>
      <c r="C1282" t="s">
        <v>64</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_xlfn.IFS(Table1[[#This Row],[Age]]&lt;30,"Young",Table1[[#This Row],[Age]]&lt;=40,"Adult",Table1[[#This Row],[Age]]&gt;40,"Senior")</f>
        <v>Adult</v>
      </c>
      <c r="AK1282" t="str" cm="1">
        <f t="array" ref="AK1282">_xlfn.IFS(Table1[[#This Row],[MonthlyIncome]]&lt;5000,"Low",Table1[[#This Row],[MonthlyIncome]]&lt;10000,"Medium",Table1[[#This Row],[MonthlyIncome]]&gt;10000,"High")</f>
        <v>Low</v>
      </c>
      <c r="AL1282" t="str" cm="1">
        <f t="array" ref="AL1282">_xlfn.IFS(Table1[[#This Row],[Attrition]]="Yes","Resigned",Table1[[#This Row],[Attrition]]="No","Active")</f>
        <v>Active</v>
      </c>
      <c r="AM1282" t="str" cm="1">
        <f t="array" ref="AM1282">_xlfn.IFS(Table1[[#This Row],[YearsAtCompany]]&lt;=1,"0-1 Year",Table1[[#This Row],[YearsAtCompany]]&lt;=2,"1-2 Years",Table1[[#This Row],[YearsAtCompany]]&lt;=3,"2-3 Years",Table1[[#This Row],[YearsAtCompany]]&lt;=4,"3-4 Years",Table1[[#This Row],[YearsAtCompany]]&lt;=5,"4-5 Years",Table1[[#This Row],[YearsAtCompany]]&gt;5,"&gt;5 Years")</f>
        <v>&gt;5 Years</v>
      </c>
    </row>
    <row r="1283" spans="1:39" x14ac:dyDescent="0.45">
      <c r="A1283">
        <v>35</v>
      </c>
      <c r="B1283" t="s">
        <v>35</v>
      </c>
      <c r="C1283" t="s">
        <v>64</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_xlfn.IFS(Table1[[#This Row],[Age]]&lt;30,"Young",Table1[[#This Row],[Age]]&lt;=40,"Adult",Table1[[#This Row],[Age]]&gt;40,"Senior")</f>
        <v>Adult</v>
      </c>
      <c r="AK1283" t="str" cm="1">
        <f t="array" ref="AK1283">_xlfn.IFS(Table1[[#This Row],[MonthlyIncome]]&lt;5000,"Low",Table1[[#This Row],[MonthlyIncome]]&lt;10000,"Medium",Table1[[#This Row],[MonthlyIncome]]&gt;10000,"High")</f>
        <v>Medium</v>
      </c>
      <c r="AL1283" t="str" cm="1">
        <f t="array" ref="AL1283">_xlfn.IFS(Table1[[#This Row],[Attrition]]="Yes","Resigned",Table1[[#This Row],[Attrition]]="No","Active")</f>
        <v>Resigned</v>
      </c>
      <c r="AM1283" t="str" cm="1">
        <f t="array" ref="AM1283">_xlfn.IFS(Table1[[#This Row],[YearsAtCompany]]&lt;=1,"0-1 Year",Table1[[#This Row],[YearsAtCompany]]&lt;=2,"1-2 Years",Table1[[#This Row],[YearsAtCompany]]&lt;=3,"2-3 Years",Table1[[#This Row],[YearsAtCompany]]&lt;=4,"3-4 Years",Table1[[#This Row],[YearsAtCompany]]&lt;=5,"4-5 Years",Table1[[#This Row],[YearsAtCompany]]&gt;5,"&gt;5 Years")</f>
        <v>&gt;5 Years</v>
      </c>
    </row>
    <row r="1284" spans="1:39" hidden="1" x14ac:dyDescent="0.45">
      <c r="A1284">
        <v>33</v>
      </c>
      <c r="B1284" t="s">
        <v>43</v>
      </c>
      <c r="C1284" t="s">
        <v>64</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_xlfn.IFS(Table1[[#This Row],[Age]]&lt;30,"Young",Table1[[#This Row],[Age]]&lt;=40,"Adult",Table1[[#This Row],[Age]]&gt;40,"Senior")</f>
        <v>Adult</v>
      </c>
      <c r="AK1284" t="str" cm="1">
        <f t="array" ref="AK1284">_xlfn.IFS(Table1[[#This Row],[MonthlyIncome]]&lt;5000,"Low",Table1[[#This Row],[MonthlyIncome]]&lt;10000,"Medium",Table1[[#This Row],[MonthlyIncome]]&gt;10000,"High")</f>
        <v>Low</v>
      </c>
      <c r="AL1284" t="str" cm="1">
        <f t="array" ref="AL1284">_xlfn.IFS(Table1[[#This Row],[Attrition]]="Yes","Resigned",Table1[[#This Row],[Attrition]]="No","Active")</f>
        <v>Active</v>
      </c>
      <c r="AM1284" t="str" cm="1">
        <f t="array" ref="AM1284">_xlfn.IFS(Table1[[#This Row],[YearsAtCompany]]&lt;=1,"0-1 Year",Table1[[#This Row],[YearsAtCompany]]&lt;=2,"1-2 Years",Table1[[#This Row],[YearsAtCompany]]&lt;=3,"2-3 Years",Table1[[#This Row],[YearsAtCompany]]&lt;=4,"3-4 Years",Table1[[#This Row],[YearsAtCompany]]&lt;=5,"4-5 Years",Table1[[#This Row],[YearsAtCompany]]&gt;5,"&gt;5 Years")</f>
        <v>&gt;5 Years</v>
      </c>
    </row>
    <row r="1285" spans="1:39" hidden="1" x14ac:dyDescent="0.45">
      <c r="A1285">
        <v>28</v>
      </c>
      <c r="B1285" t="s">
        <v>43</v>
      </c>
      <c r="C1285" t="s">
        <v>64</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_xlfn.IFS(Table1[[#This Row],[Age]]&lt;30,"Young",Table1[[#This Row],[Age]]&lt;=40,"Adult",Table1[[#This Row],[Age]]&gt;40,"Senior")</f>
        <v>Young</v>
      </c>
      <c r="AK1285" t="str" cm="1">
        <f t="array" ref="AK1285">_xlfn.IFS(Table1[[#This Row],[MonthlyIncome]]&lt;5000,"Low",Table1[[#This Row],[MonthlyIncome]]&lt;10000,"Medium",Table1[[#This Row],[MonthlyIncome]]&gt;10000,"High")</f>
        <v>Low</v>
      </c>
      <c r="AL1285" t="str" cm="1">
        <f t="array" ref="AL1285">_xlfn.IFS(Table1[[#This Row],[Attrition]]="Yes","Resigned",Table1[[#This Row],[Attrition]]="No","Active")</f>
        <v>Active</v>
      </c>
      <c r="AM1285" t="str" cm="1">
        <f t="array" ref="AM1285">_xlfn.IFS(Table1[[#This Row],[YearsAtCompany]]&lt;=1,"0-1 Year",Table1[[#This Row],[YearsAtCompany]]&lt;=2,"1-2 Years",Table1[[#This Row],[YearsAtCompany]]&lt;=3,"2-3 Years",Table1[[#This Row],[YearsAtCompany]]&lt;=4,"3-4 Years",Table1[[#This Row],[YearsAtCompany]]&lt;=5,"4-5 Years",Table1[[#This Row],[YearsAtCompany]]&gt;5,"&gt;5 Years")</f>
        <v>4-5 Years</v>
      </c>
    </row>
    <row r="1286" spans="1:39" hidden="1" x14ac:dyDescent="0.45">
      <c r="A1286">
        <v>39</v>
      </c>
      <c r="B1286" t="s">
        <v>43</v>
      </c>
      <c r="C1286" t="s">
        <v>64</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_xlfn.IFS(Table1[[#This Row],[Age]]&lt;30,"Young",Table1[[#This Row],[Age]]&lt;=40,"Adult",Table1[[#This Row],[Age]]&gt;40,"Senior")</f>
        <v>Adult</v>
      </c>
      <c r="AK1286" t="str" cm="1">
        <f t="array" ref="AK1286">_xlfn.IFS(Table1[[#This Row],[MonthlyIncome]]&lt;5000,"Low",Table1[[#This Row],[MonthlyIncome]]&lt;10000,"Medium",Table1[[#This Row],[MonthlyIncome]]&gt;10000,"High")</f>
        <v>High</v>
      </c>
      <c r="AL1286" t="str" cm="1">
        <f t="array" ref="AL1286">_xlfn.IFS(Table1[[#This Row],[Attrition]]="Yes","Resigned",Table1[[#This Row],[Attrition]]="No","Active")</f>
        <v>Active</v>
      </c>
      <c r="AM1286" t="str" cm="1">
        <f t="array" ref="AM1286">_xlfn.IFS(Table1[[#This Row],[YearsAtCompany]]&lt;=1,"0-1 Year",Table1[[#This Row],[YearsAtCompany]]&lt;=2,"1-2 Years",Table1[[#This Row],[YearsAtCompany]]&lt;=3,"2-3 Years",Table1[[#This Row],[YearsAtCompany]]&lt;=4,"3-4 Years",Table1[[#This Row],[YearsAtCompany]]&lt;=5,"4-5 Years",Table1[[#This Row],[YearsAtCompany]]&gt;5,"&gt;5 Years")</f>
        <v>3-4 Years</v>
      </c>
    </row>
    <row r="1287" spans="1:39" x14ac:dyDescent="0.45">
      <c r="A1287">
        <v>46</v>
      </c>
      <c r="B1287" t="s">
        <v>43</v>
      </c>
      <c r="C1287" t="s">
        <v>62</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_xlfn.IFS(Table1[[#This Row],[Age]]&lt;30,"Young",Table1[[#This Row],[Age]]&lt;=40,"Adult",Table1[[#This Row],[Age]]&gt;40,"Senior")</f>
        <v>Senior</v>
      </c>
      <c r="AK1287" t="str" cm="1">
        <f t="array" ref="AK1287">_xlfn.IFS(Table1[[#This Row],[MonthlyIncome]]&lt;5000,"Low",Table1[[#This Row],[MonthlyIncome]]&lt;10000,"Medium",Table1[[#This Row],[MonthlyIncome]]&gt;10000,"High")</f>
        <v>Medium</v>
      </c>
      <c r="AL1287" t="str" cm="1">
        <f t="array" ref="AL1287">_xlfn.IFS(Table1[[#This Row],[Attrition]]="Yes","Resigned",Table1[[#This Row],[Attrition]]="No","Active")</f>
        <v>Active</v>
      </c>
      <c r="AM1287" t="str" cm="1">
        <f t="array" ref="AM1287">_xlfn.IFS(Table1[[#This Row],[YearsAtCompany]]&lt;=1,"0-1 Year",Table1[[#This Row],[YearsAtCompany]]&lt;=2,"1-2 Years",Table1[[#This Row],[YearsAtCompany]]&lt;=3,"2-3 Years",Table1[[#This Row],[YearsAtCompany]]&lt;=4,"3-4 Years",Table1[[#This Row],[YearsAtCompany]]&lt;=5,"4-5 Years",Table1[[#This Row],[YearsAtCompany]]&gt;5,"&gt;5 Years")</f>
        <v>1-2 Years</v>
      </c>
    </row>
    <row r="1288" spans="1:39" hidden="1" x14ac:dyDescent="0.45">
      <c r="A1288">
        <v>40</v>
      </c>
      <c r="B1288" t="s">
        <v>43</v>
      </c>
      <c r="C1288" t="s">
        <v>64</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_xlfn.IFS(Table1[[#This Row],[Age]]&lt;30,"Young",Table1[[#This Row],[Age]]&lt;=40,"Adult",Table1[[#This Row],[Age]]&gt;40,"Senior")</f>
        <v>Adult</v>
      </c>
      <c r="AK1288" t="str" cm="1">
        <f t="array" ref="AK1288">_xlfn.IFS(Table1[[#This Row],[MonthlyIncome]]&lt;5000,"Low",Table1[[#This Row],[MonthlyIncome]]&lt;10000,"Medium",Table1[[#This Row],[MonthlyIncome]]&gt;10000,"High")</f>
        <v>Low</v>
      </c>
      <c r="AL1288" t="str" cm="1">
        <f t="array" ref="AL1288">_xlfn.IFS(Table1[[#This Row],[Attrition]]="Yes","Resigned",Table1[[#This Row],[Attrition]]="No","Active")</f>
        <v>Active</v>
      </c>
      <c r="AM1288" t="str" cm="1">
        <f t="array" ref="AM1288">_xlfn.IFS(Table1[[#This Row],[YearsAtCompany]]&lt;=1,"0-1 Year",Table1[[#This Row],[YearsAtCompany]]&lt;=2,"1-2 Years",Table1[[#This Row],[YearsAtCompany]]&lt;=3,"2-3 Years",Table1[[#This Row],[YearsAtCompany]]&lt;=4,"3-4 Years",Table1[[#This Row],[YearsAtCompany]]&lt;=5,"4-5 Years",Table1[[#This Row],[YearsAtCompany]]&gt;5,"&gt;5 Years")</f>
        <v>3-4 Years</v>
      </c>
    </row>
    <row r="1289" spans="1:39" hidden="1" x14ac:dyDescent="0.45">
      <c r="A1289">
        <v>42</v>
      </c>
      <c r="B1289" t="s">
        <v>43</v>
      </c>
      <c r="C1289" t="s">
        <v>64</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_xlfn.IFS(Table1[[#This Row],[Age]]&lt;30,"Young",Table1[[#This Row],[Age]]&lt;=40,"Adult",Table1[[#This Row],[Age]]&gt;40,"Senior")</f>
        <v>Senior</v>
      </c>
      <c r="AK1289" t="str" cm="1">
        <f t="array" ref="AK1289">_xlfn.IFS(Table1[[#This Row],[MonthlyIncome]]&lt;5000,"Low",Table1[[#This Row],[MonthlyIncome]]&lt;10000,"Medium",Table1[[#This Row],[MonthlyIncome]]&gt;10000,"High")</f>
        <v>Medium</v>
      </c>
      <c r="AL1289" t="str" cm="1">
        <f t="array" ref="AL1289">_xlfn.IFS(Table1[[#This Row],[Attrition]]="Yes","Resigned",Table1[[#This Row],[Attrition]]="No","Active")</f>
        <v>Active</v>
      </c>
      <c r="AM1289" t="str" cm="1">
        <f t="array" ref="AM1289">_xlfn.IFS(Table1[[#This Row],[YearsAtCompany]]&lt;=1,"0-1 Year",Table1[[#This Row],[YearsAtCompany]]&lt;=2,"1-2 Years",Table1[[#This Row],[YearsAtCompany]]&lt;=3,"2-3 Years",Table1[[#This Row],[YearsAtCompany]]&lt;=4,"3-4 Years",Table1[[#This Row],[YearsAtCompany]]&lt;=5,"4-5 Years",Table1[[#This Row],[YearsAtCompany]]&gt;5,"&gt;5 Years")</f>
        <v>0-1 Year</v>
      </c>
    </row>
    <row r="1290" spans="1:39" hidden="1" x14ac:dyDescent="0.45">
      <c r="A1290">
        <v>35</v>
      </c>
      <c r="B1290" t="s">
        <v>43</v>
      </c>
      <c r="C1290" t="s">
        <v>62</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_xlfn.IFS(Table1[[#This Row],[Age]]&lt;30,"Young",Table1[[#This Row],[Age]]&lt;=40,"Adult",Table1[[#This Row],[Age]]&gt;40,"Senior")</f>
        <v>Adult</v>
      </c>
      <c r="AK1290" t="str" cm="1">
        <f t="array" ref="AK1290">_xlfn.IFS(Table1[[#This Row],[MonthlyIncome]]&lt;5000,"Low",Table1[[#This Row],[MonthlyIncome]]&lt;10000,"Medium",Table1[[#This Row],[MonthlyIncome]]&gt;10000,"High")</f>
        <v>Medium</v>
      </c>
      <c r="AL1290" t="str" cm="1">
        <f t="array" ref="AL1290">_xlfn.IFS(Table1[[#This Row],[Attrition]]="Yes","Resigned",Table1[[#This Row],[Attrition]]="No","Active")</f>
        <v>Active</v>
      </c>
      <c r="AM1290" t="str" cm="1">
        <f t="array" ref="AM1290">_xlfn.IFS(Table1[[#This Row],[YearsAtCompany]]&lt;=1,"0-1 Year",Table1[[#This Row],[YearsAtCompany]]&lt;=2,"1-2 Years",Table1[[#This Row],[YearsAtCompany]]&lt;=3,"2-3 Years",Table1[[#This Row],[YearsAtCompany]]&lt;=4,"3-4 Years",Table1[[#This Row],[YearsAtCompany]]&lt;=5,"4-5 Years",Table1[[#This Row],[YearsAtCompany]]&gt;5,"&gt;5 Years")</f>
        <v>&gt;5 Years</v>
      </c>
    </row>
    <row r="1291" spans="1:39" hidden="1" x14ac:dyDescent="0.45">
      <c r="A1291">
        <v>38</v>
      </c>
      <c r="B1291" t="s">
        <v>43</v>
      </c>
      <c r="C1291" t="s">
        <v>62</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_xlfn.IFS(Table1[[#This Row],[Age]]&lt;30,"Young",Table1[[#This Row],[Age]]&lt;=40,"Adult",Table1[[#This Row],[Age]]&gt;40,"Senior")</f>
        <v>Adult</v>
      </c>
      <c r="AK1291" t="str" cm="1">
        <f t="array" ref="AK1291">_xlfn.IFS(Table1[[#This Row],[MonthlyIncome]]&lt;5000,"Low",Table1[[#This Row],[MonthlyIncome]]&lt;10000,"Medium",Table1[[#This Row],[MonthlyIncome]]&gt;10000,"High")</f>
        <v>Low</v>
      </c>
      <c r="AL1291" t="str" cm="1">
        <f t="array" ref="AL1291">_xlfn.IFS(Table1[[#This Row],[Attrition]]="Yes","Resigned",Table1[[#This Row],[Attrition]]="No","Active")</f>
        <v>Active</v>
      </c>
      <c r="AM1291" t="str" cm="1">
        <f t="array" ref="AM1291">_xlfn.IFS(Table1[[#This Row],[YearsAtCompany]]&lt;=1,"0-1 Year",Table1[[#This Row],[YearsAtCompany]]&lt;=2,"1-2 Years",Table1[[#This Row],[YearsAtCompany]]&lt;=3,"2-3 Years",Table1[[#This Row],[YearsAtCompany]]&lt;=4,"3-4 Years",Table1[[#This Row],[YearsAtCompany]]&lt;=5,"4-5 Years",Table1[[#This Row],[YearsAtCompany]]&gt;5,"&gt;5 Years")</f>
        <v>&gt;5 Years</v>
      </c>
    </row>
    <row r="1292" spans="1:39" hidden="1" x14ac:dyDescent="0.45">
      <c r="A1292">
        <v>34</v>
      </c>
      <c r="B1292" t="s">
        <v>35</v>
      </c>
      <c r="C1292" t="s">
        <v>63</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_xlfn.IFS(Table1[[#This Row],[Age]]&lt;30,"Young",Table1[[#This Row],[Age]]&lt;=40,"Adult",Table1[[#This Row],[Age]]&gt;40,"Senior")</f>
        <v>Adult</v>
      </c>
      <c r="AK1292" t="str" cm="1">
        <f t="array" ref="AK1292">_xlfn.IFS(Table1[[#This Row],[MonthlyIncome]]&lt;5000,"Low",Table1[[#This Row],[MonthlyIncome]]&lt;10000,"Medium",Table1[[#This Row],[MonthlyIncome]]&gt;10000,"High")</f>
        <v>Medium</v>
      </c>
      <c r="AL1292" t="str" cm="1">
        <f t="array" ref="AL1292">_xlfn.IFS(Table1[[#This Row],[Attrition]]="Yes","Resigned",Table1[[#This Row],[Attrition]]="No","Active")</f>
        <v>Resigned</v>
      </c>
      <c r="AM1292" t="str" cm="1">
        <f t="array" ref="AM1292">_xlfn.IFS(Table1[[#This Row],[YearsAtCompany]]&lt;=1,"0-1 Year",Table1[[#This Row],[YearsAtCompany]]&lt;=2,"1-2 Years",Table1[[#This Row],[YearsAtCompany]]&lt;=3,"2-3 Years",Table1[[#This Row],[YearsAtCompany]]&lt;=4,"3-4 Years",Table1[[#This Row],[YearsAtCompany]]&lt;=5,"4-5 Years",Table1[[#This Row],[YearsAtCompany]]&gt;5,"&gt;5 Years")</f>
        <v>&gt;5 Years</v>
      </c>
    </row>
    <row r="1293" spans="1:39" hidden="1" x14ac:dyDescent="0.45">
      <c r="A1293">
        <v>37</v>
      </c>
      <c r="B1293" t="s">
        <v>35</v>
      </c>
      <c r="C1293" t="s">
        <v>64</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_xlfn.IFS(Table1[[#This Row],[Age]]&lt;30,"Young",Table1[[#This Row],[Age]]&lt;=40,"Adult",Table1[[#This Row],[Age]]&gt;40,"Senior")</f>
        <v>Adult</v>
      </c>
      <c r="AK1293" t="str" cm="1">
        <f t="array" ref="AK1293">_xlfn.IFS(Table1[[#This Row],[MonthlyIncome]]&lt;5000,"Low",Table1[[#This Row],[MonthlyIncome]]&lt;10000,"Medium",Table1[[#This Row],[MonthlyIncome]]&gt;10000,"High")</f>
        <v>Low</v>
      </c>
      <c r="AL1293" t="str" cm="1">
        <f t="array" ref="AL1293">_xlfn.IFS(Table1[[#This Row],[Attrition]]="Yes","Resigned",Table1[[#This Row],[Attrition]]="No","Active")</f>
        <v>Resigned</v>
      </c>
      <c r="AM1293" t="str" cm="1">
        <f t="array" ref="AM1293">_xlfn.IFS(Table1[[#This Row],[YearsAtCompany]]&lt;=1,"0-1 Year",Table1[[#This Row],[YearsAtCompany]]&lt;=2,"1-2 Years",Table1[[#This Row],[YearsAtCompany]]&lt;=3,"2-3 Years",Table1[[#This Row],[YearsAtCompany]]&lt;=4,"3-4 Years",Table1[[#This Row],[YearsAtCompany]]&lt;=5,"4-5 Years",Table1[[#This Row],[YearsAtCompany]]&gt;5,"&gt;5 Years")</f>
        <v>&gt;5 Years</v>
      </c>
    </row>
    <row r="1294" spans="1:39" x14ac:dyDescent="0.45">
      <c r="A1294">
        <v>39</v>
      </c>
      <c r="B1294" t="s">
        <v>43</v>
      </c>
      <c r="C1294" t="s">
        <v>63</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_xlfn.IFS(Table1[[#This Row],[Age]]&lt;30,"Young",Table1[[#This Row],[Age]]&lt;=40,"Adult",Table1[[#This Row],[Age]]&gt;40,"Senior")</f>
        <v>Adult</v>
      </c>
      <c r="AK1294" t="str" cm="1">
        <f t="array" ref="AK1294">_xlfn.IFS(Table1[[#This Row],[MonthlyIncome]]&lt;5000,"Low",Table1[[#This Row],[MonthlyIncome]]&lt;10000,"Medium",Table1[[#This Row],[MonthlyIncome]]&gt;10000,"High")</f>
        <v>Low</v>
      </c>
      <c r="AL1294" t="str" cm="1">
        <f t="array" ref="AL1294">_xlfn.IFS(Table1[[#This Row],[Attrition]]="Yes","Resigned",Table1[[#This Row],[Attrition]]="No","Active")</f>
        <v>Active</v>
      </c>
      <c r="AM1294" t="str" cm="1">
        <f t="array" ref="AM1294">_xlfn.IFS(Table1[[#This Row],[YearsAtCompany]]&lt;=1,"0-1 Year",Table1[[#This Row],[YearsAtCompany]]&lt;=2,"1-2 Years",Table1[[#This Row],[YearsAtCompany]]&lt;=3,"2-3 Years",Table1[[#This Row],[YearsAtCompany]]&lt;=4,"3-4 Years",Table1[[#This Row],[YearsAtCompany]]&lt;=5,"4-5 Years",Table1[[#This Row],[YearsAtCompany]]&gt;5,"&gt;5 Years")</f>
        <v>1-2 Years</v>
      </c>
    </row>
    <row r="1295" spans="1:39" hidden="1" x14ac:dyDescent="0.45">
      <c r="A1295">
        <v>43</v>
      </c>
      <c r="B1295" t="s">
        <v>43</v>
      </c>
      <c r="C1295" t="s">
        <v>62</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_xlfn.IFS(Table1[[#This Row],[Age]]&lt;30,"Young",Table1[[#This Row],[Age]]&lt;=40,"Adult",Table1[[#This Row],[Age]]&gt;40,"Senior")</f>
        <v>Senior</v>
      </c>
      <c r="AK1295" t="str" cm="1">
        <f t="array" ref="AK1295">_xlfn.IFS(Table1[[#This Row],[MonthlyIncome]]&lt;5000,"Low",Table1[[#This Row],[MonthlyIncome]]&lt;10000,"Medium",Table1[[#This Row],[MonthlyIncome]]&gt;10000,"High")</f>
        <v>Low</v>
      </c>
      <c r="AL1295" t="str" cm="1">
        <f t="array" ref="AL1295">_xlfn.IFS(Table1[[#This Row],[Attrition]]="Yes","Resigned",Table1[[#This Row],[Attrition]]="No","Active")</f>
        <v>Active</v>
      </c>
      <c r="AM1295" t="str" cm="1">
        <f t="array" ref="AM1295">_xlfn.IFS(Table1[[#This Row],[YearsAtCompany]]&lt;=1,"0-1 Year",Table1[[#This Row],[YearsAtCompany]]&lt;=2,"1-2 Years",Table1[[#This Row],[YearsAtCompany]]&lt;=3,"2-3 Years",Table1[[#This Row],[YearsAtCompany]]&lt;=4,"3-4 Years",Table1[[#This Row],[YearsAtCompany]]&lt;=5,"4-5 Years",Table1[[#This Row],[YearsAtCompany]]&gt;5,"&gt;5 Years")</f>
        <v>2-3 Years</v>
      </c>
    </row>
    <row r="1296" spans="1:39" hidden="1" x14ac:dyDescent="0.45">
      <c r="A1296">
        <v>41</v>
      </c>
      <c r="B1296" t="s">
        <v>43</v>
      </c>
      <c r="C1296" t="s">
        <v>64</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_xlfn.IFS(Table1[[#This Row],[Age]]&lt;30,"Young",Table1[[#This Row],[Age]]&lt;=40,"Adult",Table1[[#This Row],[Age]]&gt;40,"Senior")</f>
        <v>Senior</v>
      </c>
      <c r="AK1296" t="str" cm="1">
        <f t="array" ref="AK1296">_xlfn.IFS(Table1[[#This Row],[MonthlyIncome]]&lt;5000,"Low",Table1[[#This Row],[MonthlyIncome]]&lt;10000,"Medium",Table1[[#This Row],[MonthlyIncome]]&gt;10000,"High")</f>
        <v>Medium</v>
      </c>
      <c r="AL1296" t="str" cm="1">
        <f t="array" ref="AL1296">_xlfn.IFS(Table1[[#This Row],[Attrition]]="Yes","Resigned",Table1[[#This Row],[Attrition]]="No","Active")</f>
        <v>Active</v>
      </c>
      <c r="AM1296" t="str" cm="1">
        <f t="array" ref="AM1296">_xlfn.IFS(Table1[[#This Row],[YearsAtCompany]]&lt;=1,"0-1 Year",Table1[[#This Row],[YearsAtCompany]]&lt;=2,"1-2 Years",Table1[[#This Row],[YearsAtCompany]]&lt;=3,"2-3 Years",Table1[[#This Row],[YearsAtCompany]]&lt;=4,"3-4 Years",Table1[[#This Row],[YearsAtCompany]]&lt;=5,"4-5 Years",Table1[[#This Row],[YearsAtCompany]]&gt;5,"&gt;5 Years")</f>
        <v>2-3 Years</v>
      </c>
    </row>
    <row r="1297" spans="1:39" x14ac:dyDescent="0.45">
      <c r="A1297">
        <v>41</v>
      </c>
      <c r="B1297" t="s">
        <v>43</v>
      </c>
      <c r="C1297" t="s">
        <v>64</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_xlfn.IFS(Table1[[#This Row],[Age]]&lt;30,"Young",Table1[[#This Row],[Age]]&lt;=40,"Adult",Table1[[#This Row],[Age]]&gt;40,"Senior")</f>
        <v>Senior</v>
      </c>
      <c r="AK1297" t="str" cm="1">
        <f t="array" ref="AK1297">_xlfn.IFS(Table1[[#This Row],[MonthlyIncome]]&lt;5000,"Low",Table1[[#This Row],[MonthlyIncome]]&lt;10000,"Medium",Table1[[#This Row],[MonthlyIncome]]&gt;10000,"High")</f>
        <v>High</v>
      </c>
      <c r="AL1297" t="str" cm="1">
        <f t="array" ref="AL1297">_xlfn.IFS(Table1[[#This Row],[Attrition]]="Yes","Resigned",Table1[[#This Row],[Attrition]]="No","Active")</f>
        <v>Active</v>
      </c>
      <c r="AM1297" t="str" cm="1">
        <f t="array" ref="AM1297">_xlfn.IFS(Table1[[#This Row],[YearsAtCompany]]&lt;=1,"0-1 Year",Table1[[#This Row],[YearsAtCompany]]&lt;=2,"1-2 Years",Table1[[#This Row],[YearsAtCompany]]&lt;=3,"2-3 Years",Table1[[#This Row],[YearsAtCompany]]&lt;=4,"3-4 Years",Table1[[#This Row],[YearsAtCompany]]&lt;=5,"4-5 Years",Table1[[#This Row],[YearsAtCompany]]&gt;5,"&gt;5 Years")</f>
        <v>&gt;5 Years</v>
      </c>
    </row>
    <row r="1298" spans="1:39" hidden="1" x14ac:dyDescent="0.45">
      <c r="A1298">
        <v>30</v>
      </c>
      <c r="B1298" t="s">
        <v>43</v>
      </c>
      <c r="C1298" t="s">
        <v>64</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_xlfn.IFS(Table1[[#This Row],[Age]]&lt;30,"Young",Table1[[#This Row],[Age]]&lt;=40,"Adult",Table1[[#This Row],[Age]]&gt;40,"Senior")</f>
        <v>Adult</v>
      </c>
      <c r="AK1298" t="str" cm="1">
        <f t="array" ref="AK1298">_xlfn.IFS(Table1[[#This Row],[MonthlyIncome]]&lt;5000,"Low",Table1[[#This Row],[MonthlyIncome]]&lt;10000,"Medium",Table1[[#This Row],[MonthlyIncome]]&gt;10000,"High")</f>
        <v>Medium</v>
      </c>
      <c r="AL1298" t="str" cm="1">
        <f t="array" ref="AL1298">_xlfn.IFS(Table1[[#This Row],[Attrition]]="Yes","Resigned",Table1[[#This Row],[Attrition]]="No","Active")</f>
        <v>Active</v>
      </c>
      <c r="AM1298" t="str" cm="1">
        <f t="array" ref="AM1298">_xlfn.IFS(Table1[[#This Row],[YearsAtCompany]]&lt;=1,"0-1 Year",Table1[[#This Row],[YearsAtCompany]]&lt;=2,"1-2 Years",Table1[[#This Row],[YearsAtCompany]]&lt;=3,"2-3 Years",Table1[[#This Row],[YearsAtCompany]]&lt;=4,"3-4 Years",Table1[[#This Row],[YearsAtCompany]]&lt;=5,"4-5 Years",Table1[[#This Row],[YearsAtCompany]]&gt;5,"&gt;5 Years")</f>
        <v>&gt;5 Years</v>
      </c>
    </row>
    <row r="1299" spans="1:39" hidden="1" x14ac:dyDescent="0.45">
      <c r="A1299">
        <v>26</v>
      </c>
      <c r="B1299" t="s">
        <v>35</v>
      </c>
      <c r="C1299" t="s">
        <v>64</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_xlfn.IFS(Table1[[#This Row],[Age]]&lt;30,"Young",Table1[[#This Row],[Age]]&lt;=40,"Adult",Table1[[#This Row],[Age]]&gt;40,"Senior")</f>
        <v>Young</v>
      </c>
      <c r="AK1299" t="str" cm="1">
        <f t="array" ref="AK1299">_xlfn.IFS(Table1[[#This Row],[MonthlyIncome]]&lt;5000,"Low",Table1[[#This Row],[MonthlyIncome]]&lt;10000,"Medium",Table1[[#This Row],[MonthlyIncome]]&gt;10000,"High")</f>
        <v>Low</v>
      </c>
      <c r="AL1299" t="str" cm="1">
        <f t="array" ref="AL1299">_xlfn.IFS(Table1[[#This Row],[Attrition]]="Yes","Resigned",Table1[[#This Row],[Attrition]]="No","Active")</f>
        <v>Resigned</v>
      </c>
      <c r="AM1299" t="str" cm="1">
        <f t="array" ref="AM1299">_xlfn.IFS(Table1[[#This Row],[YearsAtCompany]]&lt;=1,"0-1 Year",Table1[[#This Row],[YearsAtCompany]]&lt;=2,"1-2 Years",Table1[[#This Row],[YearsAtCompany]]&lt;=3,"2-3 Years",Table1[[#This Row],[YearsAtCompany]]&lt;=4,"3-4 Years",Table1[[#This Row],[YearsAtCompany]]&lt;=5,"4-5 Years",Table1[[#This Row],[YearsAtCompany]]&gt;5,"&gt;5 Years")</f>
        <v>4-5 Years</v>
      </c>
    </row>
    <row r="1300" spans="1:39" hidden="1" x14ac:dyDescent="0.45">
      <c r="A1300">
        <v>46</v>
      </c>
      <c r="B1300" t="s">
        <v>35</v>
      </c>
      <c r="C1300" t="s">
        <v>64</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_xlfn.IFS(Table1[[#This Row],[Age]]&lt;30,"Young",Table1[[#This Row],[Age]]&lt;=40,"Adult",Table1[[#This Row],[Age]]&gt;40,"Senior")</f>
        <v>Senior</v>
      </c>
      <c r="AK1300" t="str" cm="1">
        <f t="array" ref="AK1300">_xlfn.IFS(Table1[[#This Row],[MonthlyIncome]]&lt;5000,"Low",Table1[[#This Row],[MonthlyIncome]]&lt;10000,"Medium",Table1[[#This Row],[MonthlyIncome]]&gt;10000,"High")</f>
        <v>Medium</v>
      </c>
      <c r="AL1300" t="str" cm="1">
        <f t="array" ref="AL1300">_xlfn.IFS(Table1[[#This Row],[Attrition]]="Yes","Resigned",Table1[[#This Row],[Attrition]]="No","Active")</f>
        <v>Resigned</v>
      </c>
      <c r="AM1300" t="str" cm="1">
        <f t="array" ref="AM1300">_xlfn.IFS(Table1[[#This Row],[YearsAtCompany]]&lt;=1,"0-1 Year",Table1[[#This Row],[YearsAtCompany]]&lt;=2,"1-2 Years",Table1[[#This Row],[YearsAtCompany]]&lt;=3,"2-3 Years",Table1[[#This Row],[YearsAtCompany]]&lt;=4,"3-4 Years",Table1[[#This Row],[YearsAtCompany]]&lt;=5,"4-5 Years",Table1[[#This Row],[YearsAtCompany]]&gt;5,"&gt;5 Years")</f>
        <v>&gt;5 Years</v>
      </c>
    </row>
    <row r="1301" spans="1:39" hidden="1" x14ac:dyDescent="0.45">
      <c r="A1301">
        <v>40</v>
      </c>
      <c r="B1301" t="s">
        <v>43</v>
      </c>
      <c r="C1301" t="s">
        <v>64</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_xlfn.IFS(Table1[[#This Row],[Age]]&lt;30,"Young",Table1[[#This Row],[Age]]&lt;=40,"Adult",Table1[[#This Row],[Age]]&gt;40,"Senior")</f>
        <v>Adult</v>
      </c>
      <c r="AK1301" t="str" cm="1">
        <f t="array" ref="AK1301">_xlfn.IFS(Table1[[#This Row],[MonthlyIncome]]&lt;5000,"Low",Table1[[#This Row],[MonthlyIncome]]&lt;10000,"Medium",Table1[[#This Row],[MonthlyIncome]]&gt;10000,"High")</f>
        <v>Medium</v>
      </c>
      <c r="AL1301" t="str" cm="1">
        <f t="array" ref="AL1301">_xlfn.IFS(Table1[[#This Row],[Attrition]]="Yes","Resigned",Table1[[#This Row],[Attrition]]="No","Active")</f>
        <v>Active</v>
      </c>
      <c r="AM1301" t="str" cm="1">
        <f t="array" ref="AM1301">_xlfn.IFS(Table1[[#This Row],[YearsAtCompany]]&lt;=1,"0-1 Year",Table1[[#This Row],[YearsAtCompany]]&lt;=2,"1-2 Years",Table1[[#This Row],[YearsAtCompany]]&lt;=3,"2-3 Years",Table1[[#This Row],[YearsAtCompany]]&lt;=4,"3-4 Years",Table1[[#This Row],[YearsAtCompany]]&lt;=5,"4-5 Years",Table1[[#This Row],[YearsAtCompany]]&gt;5,"&gt;5 Years")</f>
        <v>4-5 Years</v>
      </c>
    </row>
    <row r="1302" spans="1:39" x14ac:dyDescent="0.45">
      <c r="A1302">
        <v>34</v>
      </c>
      <c r="B1302" t="s">
        <v>43</v>
      </c>
      <c r="C1302" t="s">
        <v>64</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_xlfn.IFS(Table1[[#This Row],[Age]]&lt;30,"Young",Table1[[#This Row],[Age]]&lt;=40,"Adult",Table1[[#This Row],[Age]]&gt;40,"Senior")</f>
        <v>Adult</v>
      </c>
      <c r="AK1302" t="str" cm="1">
        <f t="array" ref="AK1302">_xlfn.IFS(Table1[[#This Row],[MonthlyIncome]]&lt;5000,"Low",Table1[[#This Row],[MonthlyIncome]]&lt;10000,"Medium",Table1[[#This Row],[MonthlyIncome]]&gt;10000,"High")</f>
        <v>Medium</v>
      </c>
      <c r="AL1302" t="str" cm="1">
        <f t="array" ref="AL1302">_xlfn.IFS(Table1[[#This Row],[Attrition]]="Yes","Resigned",Table1[[#This Row],[Attrition]]="No","Active")</f>
        <v>Active</v>
      </c>
      <c r="AM1302" t="str" cm="1">
        <f t="array" ref="AM1302">_xlfn.IFS(Table1[[#This Row],[YearsAtCompany]]&lt;=1,"0-1 Year",Table1[[#This Row],[YearsAtCompany]]&lt;=2,"1-2 Years",Table1[[#This Row],[YearsAtCompany]]&lt;=3,"2-3 Years",Table1[[#This Row],[YearsAtCompany]]&lt;=4,"3-4 Years",Table1[[#This Row],[YearsAtCompany]]&lt;=5,"4-5 Years",Table1[[#This Row],[YearsAtCompany]]&gt;5,"&gt;5 Years")</f>
        <v>&gt;5 Years</v>
      </c>
    </row>
    <row r="1303" spans="1:39" x14ac:dyDescent="0.45">
      <c r="A1303">
        <v>58</v>
      </c>
      <c r="B1303" t="s">
        <v>43</v>
      </c>
      <c r="C1303" t="s">
        <v>62</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_xlfn.IFS(Table1[[#This Row],[Age]]&lt;30,"Young",Table1[[#This Row],[Age]]&lt;=40,"Adult",Table1[[#This Row],[Age]]&gt;40,"Senior")</f>
        <v>Senior</v>
      </c>
      <c r="AK1303" t="str" cm="1">
        <f t="array" ref="AK1303">_xlfn.IFS(Table1[[#This Row],[MonthlyIncome]]&lt;5000,"Low",Table1[[#This Row],[MonthlyIncome]]&lt;10000,"Medium",Table1[[#This Row],[MonthlyIncome]]&gt;10000,"High")</f>
        <v>High</v>
      </c>
      <c r="AL1303" t="str" cm="1">
        <f t="array" ref="AL1303">_xlfn.IFS(Table1[[#This Row],[Attrition]]="Yes","Resigned",Table1[[#This Row],[Attrition]]="No","Active")</f>
        <v>Active</v>
      </c>
      <c r="AM1303" t="str" cm="1">
        <f t="array" ref="AM1303">_xlfn.IFS(Table1[[#This Row],[YearsAtCompany]]&lt;=1,"0-1 Year",Table1[[#This Row],[YearsAtCompany]]&lt;=2,"1-2 Years",Table1[[#This Row],[YearsAtCompany]]&lt;=3,"2-3 Years",Table1[[#This Row],[YearsAtCompany]]&lt;=4,"3-4 Years",Table1[[#This Row],[YearsAtCompany]]&lt;=5,"4-5 Years",Table1[[#This Row],[YearsAtCompany]]&gt;5,"&gt;5 Years")</f>
        <v>&gt;5 Years</v>
      </c>
    </row>
    <row r="1304" spans="1:39" hidden="1" x14ac:dyDescent="0.45">
      <c r="A1304">
        <v>35</v>
      </c>
      <c r="B1304" t="s">
        <v>43</v>
      </c>
      <c r="C1304" t="s">
        <v>64</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_xlfn.IFS(Table1[[#This Row],[Age]]&lt;30,"Young",Table1[[#This Row],[Age]]&lt;=40,"Adult",Table1[[#This Row],[Age]]&gt;40,"Senior")</f>
        <v>Adult</v>
      </c>
      <c r="AK1304" t="str" cm="1">
        <f t="array" ref="AK1304">_xlfn.IFS(Table1[[#This Row],[MonthlyIncome]]&lt;5000,"Low",Table1[[#This Row],[MonthlyIncome]]&lt;10000,"Medium",Table1[[#This Row],[MonthlyIncome]]&gt;10000,"High")</f>
        <v>Low</v>
      </c>
      <c r="AL1304" t="str" cm="1">
        <f t="array" ref="AL1304">_xlfn.IFS(Table1[[#This Row],[Attrition]]="Yes","Resigned",Table1[[#This Row],[Attrition]]="No","Active")</f>
        <v>Active</v>
      </c>
      <c r="AM1304" t="str" cm="1">
        <f t="array" ref="AM1304">_xlfn.IFS(Table1[[#This Row],[YearsAtCompany]]&lt;=1,"0-1 Year",Table1[[#This Row],[YearsAtCompany]]&lt;=2,"1-2 Years",Table1[[#This Row],[YearsAtCompany]]&lt;=3,"2-3 Years",Table1[[#This Row],[YearsAtCompany]]&lt;=4,"3-4 Years",Table1[[#This Row],[YearsAtCompany]]&lt;=5,"4-5 Years",Table1[[#This Row],[YearsAtCompany]]&gt;5,"&gt;5 Years")</f>
        <v>4-5 Years</v>
      </c>
    </row>
    <row r="1305" spans="1:39" hidden="1" x14ac:dyDescent="0.45">
      <c r="A1305">
        <v>47</v>
      </c>
      <c r="B1305" t="s">
        <v>43</v>
      </c>
      <c r="C1305" t="s">
        <v>64</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_xlfn.IFS(Table1[[#This Row],[Age]]&lt;30,"Young",Table1[[#This Row],[Age]]&lt;=40,"Adult",Table1[[#This Row],[Age]]&gt;40,"Senior")</f>
        <v>Senior</v>
      </c>
      <c r="AK1305" t="str" cm="1">
        <f t="array" ref="AK1305">_xlfn.IFS(Table1[[#This Row],[MonthlyIncome]]&lt;5000,"Low",Table1[[#This Row],[MonthlyIncome]]&lt;10000,"Medium",Table1[[#This Row],[MonthlyIncome]]&gt;10000,"High")</f>
        <v>High</v>
      </c>
      <c r="AL1305" t="str" cm="1">
        <f t="array" ref="AL1305">_xlfn.IFS(Table1[[#This Row],[Attrition]]="Yes","Resigned",Table1[[#This Row],[Attrition]]="No","Active")</f>
        <v>Active</v>
      </c>
      <c r="AM1305" t="str" cm="1">
        <f t="array" ref="AM1305">_xlfn.IFS(Table1[[#This Row],[YearsAtCompany]]&lt;=1,"0-1 Year",Table1[[#This Row],[YearsAtCompany]]&lt;=2,"1-2 Years",Table1[[#This Row],[YearsAtCompany]]&lt;=3,"2-3 Years",Table1[[#This Row],[YearsAtCompany]]&lt;=4,"3-4 Years",Table1[[#This Row],[YearsAtCompany]]&lt;=5,"4-5 Years",Table1[[#This Row],[YearsAtCompany]]&gt;5,"&gt;5 Years")</f>
        <v>&gt;5 Years</v>
      </c>
    </row>
    <row r="1306" spans="1:39" hidden="1" x14ac:dyDescent="0.45">
      <c r="A1306">
        <v>40</v>
      </c>
      <c r="B1306" t="s">
        <v>43</v>
      </c>
      <c r="C1306" t="s">
        <v>64</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_xlfn.IFS(Table1[[#This Row],[Age]]&lt;30,"Young",Table1[[#This Row],[Age]]&lt;=40,"Adult",Table1[[#This Row],[Age]]&gt;40,"Senior")</f>
        <v>Adult</v>
      </c>
      <c r="AK1306" t="str" cm="1">
        <f t="array" ref="AK1306">_xlfn.IFS(Table1[[#This Row],[MonthlyIncome]]&lt;5000,"Low",Table1[[#This Row],[MonthlyIncome]]&lt;10000,"Medium",Table1[[#This Row],[MonthlyIncome]]&gt;10000,"High")</f>
        <v>Low</v>
      </c>
      <c r="AL1306" t="str" cm="1">
        <f t="array" ref="AL1306">_xlfn.IFS(Table1[[#This Row],[Attrition]]="Yes","Resigned",Table1[[#This Row],[Attrition]]="No","Active")</f>
        <v>Active</v>
      </c>
      <c r="AM1306" t="str" cm="1">
        <f t="array" ref="AM1306">_xlfn.IFS(Table1[[#This Row],[YearsAtCompany]]&lt;=1,"0-1 Year",Table1[[#This Row],[YearsAtCompany]]&lt;=2,"1-2 Years",Table1[[#This Row],[YearsAtCompany]]&lt;=3,"2-3 Years",Table1[[#This Row],[YearsAtCompany]]&lt;=4,"3-4 Years",Table1[[#This Row],[YearsAtCompany]]&lt;=5,"4-5 Years",Table1[[#This Row],[YearsAtCompany]]&gt;5,"&gt;5 Years")</f>
        <v>&gt;5 Years</v>
      </c>
    </row>
    <row r="1307" spans="1:39" hidden="1" x14ac:dyDescent="0.45">
      <c r="A1307">
        <v>54</v>
      </c>
      <c r="B1307" t="s">
        <v>43</v>
      </c>
      <c r="C1307" t="s">
        <v>64</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_xlfn.IFS(Table1[[#This Row],[Age]]&lt;30,"Young",Table1[[#This Row],[Age]]&lt;=40,"Adult",Table1[[#This Row],[Age]]&gt;40,"Senior")</f>
        <v>Senior</v>
      </c>
      <c r="AK1307" t="str" cm="1">
        <f t="array" ref="AK1307">_xlfn.IFS(Table1[[#This Row],[MonthlyIncome]]&lt;5000,"Low",Table1[[#This Row],[MonthlyIncome]]&lt;10000,"Medium",Table1[[#This Row],[MonthlyIncome]]&gt;10000,"High")</f>
        <v>Medium</v>
      </c>
      <c r="AL1307" t="str" cm="1">
        <f t="array" ref="AL1307">_xlfn.IFS(Table1[[#This Row],[Attrition]]="Yes","Resigned",Table1[[#This Row],[Attrition]]="No","Active")</f>
        <v>Active</v>
      </c>
      <c r="AM1307" t="str" cm="1">
        <f t="array" ref="AM1307">_xlfn.IFS(Table1[[#This Row],[YearsAtCompany]]&lt;=1,"0-1 Year",Table1[[#This Row],[YearsAtCompany]]&lt;=2,"1-2 Years",Table1[[#This Row],[YearsAtCompany]]&lt;=3,"2-3 Years",Table1[[#This Row],[YearsAtCompany]]&lt;=4,"3-4 Years",Table1[[#This Row],[YearsAtCompany]]&lt;=5,"4-5 Years",Table1[[#This Row],[YearsAtCompany]]&gt;5,"&gt;5 Years")</f>
        <v>&gt;5 Years</v>
      </c>
    </row>
    <row r="1308" spans="1:39" x14ac:dyDescent="0.45">
      <c r="A1308">
        <v>31</v>
      </c>
      <c r="B1308" t="s">
        <v>43</v>
      </c>
      <c r="C1308" t="s">
        <v>63</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_xlfn.IFS(Table1[[#This Row],[Age]]&lt;30,"Young",Table1[[#This Row],[Age]]&lt;=40,"Adult",Table1[[#This Row],[Age]]&gt;40,"Senior")</f>
        <v>Adult</v>
      </c>
      <c r="AK1308" t="str" cm="1">
        <f t="array" ref="AK1308">_xlfn.IFS(Table1[[#This Row],[MonthlyIncome]]&lt;5000,"Low",Table1[[#This Row],[MonthlyIncome]]&lt;10000,"Medium",Table1[[#This Row],[MonthlyIncome]]&gt;10000,"High")</f>
        <v>Medium</v>
      </c>
      <c r="AL1308" t="str" cm="1">
        <f t="array" ref="AL1308">_xlfn.IFS(Table1[[#This Row],[Attrition]]="Yes","Resigned",Table1[[#This Row],[Attrition]]="No","Active")</f>
        <v>Active</v>
      </c>
      <c r="AM1308" t="str" cm="1">
        <f t="array" ref="AM1308">_xlfn.IFS(Table1[[#This Row],[YearsAtCompany]]&lt;=1,"0-1 Year",Table1[[#This Row],[YearsAtCompany]]&lt;=2,"1-2 Years",Table1[[#This Row],[YearsAtCompany]]&lt;=3,"2-3 Years",Table1[[#This Row],[YearsAtCompany]]&lt;=4,"3-4 Years",Table1[[#This Row],[YearsAtCompany]]&lt;=5,"4-5 Years",Table1[[#This Row],[YearsAtCompany]]&gt;5,"&gt;5 Years")</f>
        <v>2-3 Years</v>
      </c>
    </row>
    <row r="1309" spans="1:39" hidden="1" x14ac:dyDescent="0.45">
      <c r="A1309">
        <v>28</v>
      </c>
      <c r="B1309" t="s">
        <v>43</v>
      </c>
      <c r="C1309" t="s">
        <v>64</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_xlfn.IFS(Table1[[#This Row],[Age]]&lt;30,"Young",Table1[[#This Row],[Age]]&lt;=40,"Adult",Table1[[#This Row],[Age]]&gt;40,"Senior")</f>
        <v>Young</v>
      </c>
      <c r="AK1309" t="str" cm="1">
        <f t="array" ref="AK1309">_xlfn.IFS(Table1[[#This Row],[MonthlyIncome]]&lt;5000,"Low",Table1[[#This Row],[MonthlyIncome]]&lt;10000,"Medium",Table1[[#This Row],[MonthlyIncome]]&gt;10000,"High")</f>
        <v>Low</v>
      </c>
      <c r="AL1309" t="str" cm="1">
        <f t="array" ref="AL1309">_xlfn.IFS(Table1[[#This Row],[Attrition]]="Yes","Resigned",Table1[[#This Row],[Attrition]]="No","Active")</f>
        <v>Active</v>
      </c>
      <c r="AM1309" t="str" cm="1">
        <f t="array" ref="AM1309">_xlfn.IFS(Table1[[#This Row],[YearsAtCompany]]&lt;=1,"0-1 Year",Table1[[#This Row],[YearsAtCompany]]&lt;=2,"1-2 Years",Table1[[#This Row],[YearsAtCompany]]&lt;=3,"2-3 Years",Table1[[#This Row],[YearsAtCompany]]&lt;=4,"3-4 Years",Table1[[#This Row],[YearsAtCompany]]&lt;=5,"4-5 Years",Table1[[#This Row],[YearsAtCompany]]&gt;5,"&gt;5 Years")</f>
        <v>2-3 Years</v>
      </c>
    </row>
    <row r="1310" spans="1:39" x14ac:dyDescent="0.45">
      <c r="A1310">
        <v>38</v>
      </c>
      <c r="B1310" t="s">
        <v>43</v>
      </c>
      <c r="C1310" t="s">
        <v>64</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_xlfn.IFS(Table1[[#This Row],[Age]]&lt;30,"Young",Table1[[#This Row],[Age]]&lt;=40,"Adult",Table1[[#This Row],[Age]]&gt;40,"Senior")</f>
        <v>Adult</v>
      </c>
      <c r="AK1310" t="str" cm="1">
        <f t="array" ref="AK1310">_xlfn.IFS(Table1[[#This Row],[MonthlyIncome]]&lt;5000,"Low",Table1[[#This Row],[MonthlyIncome]]&lt;10000,"Medium",Table1[[#This Row],[MonthlyIncome]]&gt;10000,"High")</f>
        <v>Medium</v>
      </c>
      <c r="AL1310" t="str" cm="1">
        <f t="array" ref="AL1310">_xlfn.IFS(Table1[[#This Row],[Attrition]]="Yes","Resigned",Table1[[#This Row],[Attrition]]="No","Active")</f>
        <v>Active</v>
      </c>
      <c r="AM1310" t="str" cm="1">
        <f t="array" ref="AM1310">_xlfn.IFS(Table1[[#This Row],[YearsAtCompany]]&lt;=1,"0-1 Year",Table1[[#This Row],[YearsAtCompany]]&lt;=2,"1-2 Years",Table1[[#This Row],[YearsAtCompany]]&lt;=3,"2-3 Years",Table1[[#This Row],[YearsAtCompany]]&lt;=4,"3-4 Years",Table1[[#This Row],[YearsAtCompany]]&lt;=5,"4-5 Years",Table1[[#This Row],[YearsAtCompany]]&gt;5,"&gt;5 Years")</f>
        <v>3-4 Years</v>
      </c>
    </row>
    <row r="1311" spans="1:39" x14ac:dyDescent="0.45">
      <c r="A1311">
        <v>26</v>
      </c>
      <c r="B1311" t="s">
        <v>43</v>
      </c>
      <c r="C1311" t="s">
        <v>64</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_xlfn.IFS(Table1[[#This Row],[Age]]&lt;30,"Young",Table1[[#This Row],[Age]]&lt;=40,"Adult",Table1[[#This Row],[Age]]&gt;40,"Senior")</f>
        <v>Young</v>
      </c>
      <c r="AK1311" t="str" cm="1">
        <f t="array" ref="AK1311">_xlfn.IFS(Table1[[#This Row],[MonthlyIncome]]&lt;5000,"Low",Table1[[#This Row],[MonthlyIncome]]&lt;10000,"Medium",Table1[[#This Row],[MonthlyIncome]]&gt;10000,"High")</f>
        <v>Low</v>
      </c>
      <c r="AL1311" t="str" cm="1">
        <f t="array" ref="AL1311">_xlfn.IFS(Table1[[#This Row],[Attrition]]="Yes","Resigned",Table1[[#This Row],[Attrition]]="No","Active")</f>
        <v>Active</v>
      </c>
      <c r="AM1311" t="str" cm="1">
        <f t="array" ref="AM1311">_xlfn.IFS(Table1[[#This Row],[YearsAtCompany]]&lt;=1,"0-1 Year",Table1[[#This Row],[YearsAtCompany]]&lt;=2,"1-2 Years",Table1[[#This Row],[YearsAtCompany]]&lt;=3,"2-3 Years",Table1[[#This Row],[YearsAtCompany]]&lt;=4,"3-4 Years",Table1[[#This Row],[YearsAtCompany]]&lt;=5,"4-5 Years",Table1[[#This Row],[YearsAtCompany]]&gt;5,"&gt;5 Years")</f>
        <v>4-5 Years</v>
      </c>
    </row>
    <row r="1312" spans="1:39" hidden="1" x14ac:dyDescent="0.45">
      <c r="A1312">
        <v>58</v>
      </c>
      <c r="B1312" t="s">
        <v>43</v>
      </c>
      <c r="C1312" t="s">
        <v>63</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_xlfn.IFS(Table1[[#This Row],[Age]]&lt;30,"Young",Table1[[#This Row],[Age]]&lt;=40,"Adult",Table1[[#This Row],[Age]]&gt;40,"Senior")</f>
        <v>Senior</v>
      </c>
      <c r="AK1312" t="str" cm="1">
        <f t="array" ref="AK1312">_xlfn.IFS(Table1[[#This Row],[MonthlyIncome]]&lt;5000,"Low",Table1[[#This Row],[MonthlyIncome]]&lt;10000,"Medium",Table1[[#This Row],[MonthlyIncome]]&gt;10000,"High")</f>
        <v>High</v>
      </c>
      <c r="AL1312" t="str" cm="1">
        <f t="array" ref="AL1312">_xlfn.IFS(Table1[[#This Row],[Attrition]]="Yes","Resigned",Table1[[#This Row],[Attrition]]="No","Active")</f>
        <v>Active</v>
      </c>
      <c r="AM1312" t="str" cm="1">
        <f t="array" ref="AM1312">_xlfn.IFS(Table1[[#This Row],[YearsAtCompany]]&lt;=1,"0-1 Year",Table1[[#This Row],[YearsAtCompany]]&lt;=2,"1-2 Years",Table1[[#This Row],[YearsAtCompany]]&lt;=3,"2-3 Years",Table1[[#This Row],[YearsAtCompany]]&lt;=4,"3-4 Years",Table1[[#This Row],[YearsAtCompany]]&lt;=5,"4-5 Years",Table1[[#This Row],[YearsAtCompany]]&gt;5,"&gt;5 Years")</f>
        <v>1-2 Years</v>
      </c>
    </row>
    <row r="1313" spans="1:39" hidden="1" x14ac:dyDescent="0.45">
      <c r="A1313">
        <v>18</v>
      </c>
      <c r="B1313" t="s">
        <v>43</v>
      </c>
      <c r="C1313" t="s">
        <v>62</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_xlfn.IFS(Table1[[#This Row],[Age]]&lt;30,"Young",Table1[[#This Row],[Age]]&lt;=40,"Adult",Table1[[#This Row],[Age]]&gt;40,"Senior")</f>
        <v>Young</v>
      </c>
      <c r="AK1313" t="str" cm="1">
        <f t="array" ref="AK1313">_xlfn.IFS(Table1[[#This Row],[MonthlyIncome]]&lt;5000,"Low",Table1[[#This Row],[MonthlyIncome]]&lt;10000,"Medium",Table1[[#This Row],[MonthlyIncome]]&gt;10000,"High")</f>
        <v>Low</v>
      </c>
      <c r="AL1313" t="str" cm="1">
        <f t="array" ref="AL1313">_xlfn.IFS(Table1[[#This Row],[Attrition]]="Yes","Resigned",Table1[[#This Row],[Attrition]]="No","Active")</f>
        <v>Active</v>
      </c>
      <c r="AM1313" t="str" cm="1">
        <f t="array" ref="AM1313">_xlfn.IFS(Table1[[#This Row],[YearsAtCompany]]&lt;=1,"0-1 Year",Table1[[#This Row],[YearsAtCompany]]&lt;=2,"1-2 Years",Table1[[#This Row],[YearsAtCompany]]&lt;=3,"2-3 Years",Table1[[#This Row],[YearsAtCompany]]&lt;=4,"3-4 Years",Table1[[#This Row],[YearsAtCompany]]&lt;=5,"4-5 Years",Table1[[#This Row],[YearsAtCompany]]&gt;5,"&gt;5 Years")</f>
        <v>0-1 Year</v>
      </c>
    </row>
    <row r="1314" spans="1:39" hidden="1" x14ac:dyDescent="0.45">
      <c r="A1314">
        <v>31</v>
      </c>
      <c r="B1314" t="s">
        <v>35</v>
      </c>
      <c r="C1314" t="s">
        <v>64</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_xlfn.IFS(Table1[[#This Row],[Age]]&lt;30,"Young",Table1[[#This Row],[Age]]&lt;=40,"Adult",Table1[[#This Row],[Age]]&gt;40,"Senior")</f>
        <v>Adult</v>
      </c>
      <c r="AK1314" t="str" cm="1">
        <f t="array" ref="AK1314">_xlfn.IFS(Table1[[#This Row],[MonthlyIncome]]&lt;5000,"Low",Table1[[#This Row],[MonthlyIncome]]&lt;10000,"Medium",Table1[[#This Row],[MonthlyIncome]]&gt;10000,"High")</f>
        <v>Low</v>
      </c>
      <c r="AL1314" t="str" cm="1">
        <f t="array" ref="AL1314">_xlfn.IFS(Table1[[#This Row],[Attrition]]="Yes","Resigned",Table1[[#This Row],[Attrition]]="No","Active")</f>
        <v>Resigned</v>
      </c>
      <c r="AM1314" t="str" cm="1">
        <f t="array" ref="AM1314">_xlfn.IFS(Table1[[#This Row],[YearsAtCompany]]&lt;=1,"0-1 Year",Table1[[#This Row],[YearsAtCompany]]&lt;=2,"1-2 Years",Table1[[#This Row],[YearsAtCompany]]&lt;=3,"2-3 Years",Table1[[#This Row],[YearsAtCompany]]&lt;=4,"3-4 Years",Table1[[#This Row],[YearsAtCompany]]&lt;=5,"4-5 Years",Table1[[#This Row],[YearsAtCompany]]&gt;5,"&gt;5 Years")</f>
        <v>0-1 Year</v>
      </c>
    </row>
    <row r="1315" spans="1:39" hidden="1" x14ac:dyDescent="0.45">
      <c r="A1315">
        <v>29</v>
      </c>
      <c r="B1315" t="s">
        <v>35</v>
      </c>
      <c r="C1315" t="s">
        <v>64</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_xlfn.IFS(Table1[[#This Row],[Age]]&lt;30,"Young",Table1[[#This Row],[Age]]&lt;=40,"Adult",Table1[[#This Row],[Age]]&gt;40,"Senior")</f>
        <v>Young</v>
      </c>
      <c r="AK1315" t="str" cm="1">
        <f t="array" ref="AK1315">_xlfn.IFS(Table1[[#This Row],[MonthlyIncome]]&lt;5000,"Low",Table1[[#This Row],[MonthlyIncome]]&lt;10000,"Medium",Table1[[#This Row],[MonthlyIncome]]&gt;10000,"High")</f>
        <v>Low</v>
      </c>
      <c r="AL1315" t="str" cm="1">
        <f t="array" ref="AL1315">_xlfn.IFS(Table1[[#This Row],[Attrition]]="Yes","Resigned",Table1[[#This Row],[Attrition]]="No","Active")</f>
        <v>Resigned</v>
      </c>
      <c r="AM1315" t="str" cm="1">
        <f t="array" ref="AM1315">_xlfn.IFS(Table1[[#This Row],[YearsAtCompany]]&lt;=1,"0-1 Year",Table1[[#This Row],[YearsAtCompany]]&lt;=2,"1-2 Years",Table1[[#This Row],[YearsAtCompany]]&lt;=3,"2-3 Years",Table1[[#This Row],[YearsAtCompany]]&lt;=4,"3-4 Years",Table1[[#This Row],[YearsAtCompany]]&lt;=5,"4-5 Years",Table1[[#This Row],[YearsAtCompany]]&gt;5,"&gt;5 Years")</f>
        <v>1-2 Years</v>
      </c>
    </row>
    <row r="1316" spans="1:39" x14ac:dyDescent="0.45">
      <c r="A1316">
        <v>45</v>
      </c>
      <c r="B1316" t="s">
        <v>43</v>
      </c>
      <c r="C1316" t="s">
        <v>62</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_xlfn.IFS(Table1[[#This Row],[Age]]&lt;30,"Young",Table1[[#This Row],[Age]]&lt;=40,"Adult",Table1[[#This Row],[Age]]&gt;40,"Senior")</f>
        <v>Senior</v>
      </c>
      <c r="AK1316" t="str" cm="1">
        <f t="array" ref="AK1316">_xlfn.IFS(Table1[[#This Row],[MonthlyIncome]]&lt;5000,"Low",Table1[[#This Row],[MonthlyIncome]]&lt;10000,"Medium",Table1[[#This Row],[MonthlyIncome]]&gt;10000,"High")</f>
        <v>Medium</v>
      </c>
      <c r="AL1316" t="str" cm="1">
        <f t="array" ref="AL1316">_xlfn.IFS(Table1[[#This Row],[Attrition]]="Yes","Resigned",Table1[[#This Row],[Attrition]]="No","Active")</f>
        <v>Active</v>
      </c>
      <c r="AM1316" t="str" cm="1">
        <f t="array" ref="AM1316">_xlfn.IFS(Table1[[#This Row],[YearsAtCompany]]&lt;=1,"0-1 Year",Table1[[#This Row],[YearsAtCompany]]&lt;=2,"1-2 Years",Table1[[#This Row],[YearsAtCompany]]&lt;=3,"2-3 Years",Table1[[#This Row],[YearsAtCompany]]&lt;=4,"3-4 Years",Table1[[#This Row],[YearsAtCompany]]&lt;=5,"4-5 Years",Table1[[#This Row],[YearsAtCompany]]&gt;5,"&gt;5 Years")</f>
        <v>&gt;5 Years</v>
      </c>
    </row>
    <row r="1317" spans="1:39" hidden="1" x14ac:dyDescent="0.45">
      <c r="A1317">
        <v>36</v>
      </c>
      <c r="B1317" t="s">
        <v>43</v>
      </c>
      <c r="C1317" t="s">
        <v>64</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_xlfn.IFS(Table1[[#This Row],[Age]]&lt;30,"Young",Table1[[#This Row],[Age]]&lt;=40,"Adult",Table1[[#This Row],[Age]]&gt;40,"Senior")</f>
        <v>Adult</v>
      </c>
      <c r="AK1317" t="str" cm="1">
        <f t="array" ref="AK1317">_xlfn.IFS(Table1[[#This Row],[MonthlyIncome]]&lt;5000,"Low",Table1[[#This Row],[MonthlyIncome]]&lt;10000,"Medium",Table1[[#This Row],[MonthlyIncome]]&gt;10000,"High")</f>
        <v>Medium</v>
      </c>
      <c r="AL1317" t="str" cm="1">
        <f t="array" ref="AL1317">_xlfn.IFS(Table1[[#This Row],[Attrition]]="Yes","Resigned",Table1[[#This Row],[Attrition]]="No","Active")</f>
        <v>Active</v>
      </c>
      <c r="AM1317" t="str" cm="1">
        <f t="array" ref="AM1317">_xlfn.IFS(Table1[[#This Row],[YearsAtCompany]]&lt;=1,"0-1 Year",Table1[[#This Row],[YearsAtCompany]]&lt;=2,"1-2 Years",Table1[[#This Row],[YearsAtCompany]]&lt;=3,"2-3 Years",Table1[[#This Row],[YearsAtCompany]]&lt;=4,"3-4 Years",Table1[[#This Row],[YearsAtCompany]]&lt;=5,"4-5 Years",Table1[[#This Row],[YearsAtCompany]]&gt;5,"&gt;5 Years")</f>
        <v>0-1 Year</v>
      </c>
    </row>
    <row r="1318" spans="1:39" x14ac:dyDescent="0.45">
      <c r="A1318">
        <v>43</v>
      </c>
      <c r="B1318" t="s">
        <v>43</v>
      </c>
      <c r="C1318" t="s">
        <v>63</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_xlfn.IFS(Table1[[#This Row],[Age]]&lt;30,"Young",Table1[[#This Row],[Age]]&lt;=40,"Adult",Table1[[#This Row],[Age]]&gt;40,"Senior")</f>
        <v>Senior</v>
      </c>
      <c r="AK1318" t="str" cm="1">
        <f t="array" ref="AK1318">_xlfn.IFS(Table1[[#This Row],[MonthlyIncome]]&lt;5000,"Low",Table1[[#This Row],[MonthlyIncome]]&lt;10000,"Medium",Table1[[#This Row],[MonthlyIncome]]&gt;10000,"High")</f>
        <v>Medium</v>
      </c>
      <c r="AL1318" t="str" cm="1">
        <f t="array" ref="AL1318">_xlfn.IFS(Table1[[#This Row],[Attrition]]="Yes","Resigned",Table1[[#This Row],[Attrition]]="No","Active")</f>
        <v>Active</v>
      </c>
      <c r="AM1318" t="str" cm="1">
        <f t="array" ref="AM1318">_xlfn.IFS(Table1[[#This Row],[YearsAtCompany]]&lt;=1,"0-1 Year",Table1[[#This Row],[YearsAtCompany]]&lt;=2,"1-2 Years",Table1[[#This Row],[YearsAtCompany]]&lt;=3,"2-3 Years",Table1[[#This Row],[YearsAtCompany]]&lt;=4,"3-4 Years",Table1[[#This Row],[YearsAtCompany]]&lt;=5,"4-5 Years",Table1[[#This Row],[YearsAtCompany]]&gt;5,"&gt;5 Years")</f>
        <v>&gt;5 Years</v>
      </c>
    </row>
    <row r="1319" spans="1:39" hidden="1" x14ac:dyDescent="0.45">
      <c r="A1319">
        <v>27</v>
      </c>
      <c r="B1319" t="s">
        <v>43</v>
      </c>
      <c r="C1319" t="s">
        <v>63</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_xlfn.IFS(Table1[[#This Row],[Age]]&lt;30,"Young",Table1[[#This Row],[Age]]&lt;=40,"Adult",Table1[[#This Row],[Age]]&gt;40,"Senior")</f>
        <v>Young</v>
      </c>
      <c r="AK1319" t="str" cm="1">
        <f t="array" ref="AK1319">_xlfn.IFS(Table1[[#This Row],[MonthlyIncome]]&lt;5000,"Low",Table1[[#This Row],[MonthlyIncome]]&lt;10000,"Medium",Table1[[#This Row],[MonthlyIncome]]&gt;10000,"High")</f>
        <v>Low</v>
      </c>
      <c r="AL1319" t="str" cm="1">
        <f t="array" ref="AL1319">_xlfn.IFS(Table1[[#This Row],[Attrition]]="Yes","Resigned",Table1[[#This Row],[Attrition]]="No","Active")</f>
        <v>Active</v>
      </c>
      <c r="AM1319" t="str" cm="1">
        <f t="array" ref="AM1319">_xlfn.IFS(Table1[[#This Row],[YearsAtCompany]]&lt;=1,"0-1 Year",Table1[[#This Row],[YearsAtCompany]]&lt;=2,"1-2 Years",Table1[[#This Row],[YearsAtCompany]]&lt;=3,"2-3 Years",Table1[[#This Row],[YearsAtCompany]]&lt;=4,"3-4 Years",Table1[[#This Row],[YearsAtCompany]]&lt;=5,"4-5 Years",Table1[[#This Row],[YearsAtCompany]]&gt;5,"&gt;5 Years")</f>
        <v>4-5 Years</v>
      </c>
    </row>
    <row r="1320" spans="1:39" hidden="1" x14ac:dyDescent="0.45">
      <c r="A1320">
        <v>29</v>
      </c>
      <c r="B1320" t="s">
        <v>43</v>
      </c>
      <c r="C1320" t="s">
        <v>63</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_xlfn.IFS(Table1[[#This Row],[Age]]&lt;30,"Young",Table1[[#This Row],[Age]]&lt;=40,"Adult",Table1[[#This Row],[Age]]&gt;40,"Senior")</f>
        <v>Young</v>
      </c>
      <c r="AK1320" t="str" cm="1">
        <f t="array" ref="AK1320">_xlfn.IFS(Table1[[#This Row],[MonthlyIncome]]&lt;5000,"Low",Table1[[#This Row],[MonthlyIncome]]&lt;10000,"Medium",Table1[[#This Row],[MonthlyIncome]]&gt;10000,"High")</f>
        <v>Low</v>
      </c>
      <c r="AL1320" t="str" cm="1">
        <f t="array" ref="AL1320">_xlfn.IFS(Table1[[#This Row],[Attrition]]="Yes","Resigned",Table1[[#This Row],[Attrition]]="No","Active")</f>
        <v>Active</v>
      </c>
      <c r="AM1320" t="str" cm="1">
        <f t="array" ref="AM1320">_xlfn.IFS(Table1[[#This Row],[YearsAtCompany]]&lt;=1,"0-1 Year",Table1[[#This Row],[YearsAtCompany]]&lt;=2,"1-2 Years",Table1[[#This Row],[YearsAtCompany]]&lt;=3,"2-3 Years",Table1[[#This Row],[YearsAtCompany]]&lt;=4,"3-4 Years",Table1[[#This Row],[YearsAtCompany]]&lt;=5,"4-5 Years",Table1[[#This Row],[YearsAtCompany]]&gt;5,"&gt;5 Years")</f>
        <v>&gt;5 Years</v>
      </c>
    </row>
    <row r="1321" spans="1:39" x14ac:dyDescent="0.45">
      <c r="A1321">
        <v>32</v>
      </c>
      <c r="B1321" t="s">
        <v>43</v>
      </c>
      <c r="C1321" t="s">
        <v>63</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_xlfn.IFS(Table1[[#This Row],[Age]]&lt;30,"Young",Table1[[#This Row],[Age]]&lt;=40,"Adult",Table1[[#This Row],[Age]]&gt;40,"Senior")</f>
        <v>Adult</v>
      </c>
      <c r="AK1321" t="str" cm="1">
        <f t="array" ref="AK1321">_xlfn.IFS(Table1[[#This Row],[MonthlyIncome]]&lt;5000,"Low",Table1[[#This Row],[MonthlyIncome]]&lt;10000,"Medium",Table1[[#This Row],[MonthlyIncome]]&gt;10000,"High")</f>
        <v>Low</v>
      </c>
      <c r="AL1321" t="str" cm="1">
        <f t="array" ref="AL1321">_xlfn.IFS(Table1[[#This Row],[Attrition]]="Yes","Resigned",Table1[[#This Row],[Attrition]]="No","Active")</f>
        <v>Active</v>
      </c>
      <c r="AM1321" t="str" cm="1">
        <f t="array" ref="AM1321">_xlfn.IFS(Table1[[#This Row],[YearsAtCompany]]&lt;=1,"0-1 Year",Table1[[#This Row],[YearsAtCompany]]&lt;=2,"1-2 Years",Table1[[#This Row],[YearsAtCompany]]&lt;=3,"2-3 Years",Table1[[#This Row],[YearsAtCompany]]&lt;=4,"3-4 Years",Table1[[#This Row],[YearsAtCompany]]&lt;=5,"4-5 Years",Table1[[#This Row],[YearsAtCompany]]&gt;5,"&gt;5 Years")</f>
        <v>0-1 Year</v>
      </c>
    </row>
    <row r="1322" spans="1:39" hidden="1" x14ac:dyDescent="0.45">
      <c r="A1322">
        <v>42</v>
      </c>
      <c r="B1322" t="s">
        <v>43</v>
      </c>
      <c r="C1322" t="s">
        <v>62</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_xlfn.IFS(Table1[[#This Row],[Age]]&lt;30,"Young",Table1[[#This Row],[Age]]&lt;=40,"Adult",Table1[[#This Row],[Age]]&gt;40,"Senior")</f>
        <v>Senior</v>
      </c>
      <c r="AK1322" t="str" cm="1">
        <f t="array" ref="AK1322">_xlfn.IFS(Table1[[#This Row],[MonthlyIncome]]&lt;5000,"Low",Table1[[#This Row],[MonthlyIncome]]&lt;10000,"Medium",Table1[[#This Row],[MonthlyIncome]]&gt;10000,"High")</f>
        <v>Low</v>
      </c>
      <c r="AL1322" t="str" cm="1">
        <f t="array" ref="AL1322">_xlfn.IFS(Table1[[#This Row],[Attrition]]="Yes","Resigned",Table1[[#This Row],[Attrition]]="No","Active")</f>
        <v>Active</v>
      </c>
      <c r="AM1322" t="str" cm="1">
        <f t="array" ref="AM1322">_xlfn.IFS(Table1[[#This Row],[YearsAtCompany]]&lt;=1,"0-1 Year",Table1[[#This Row],[YearsAtCompany]]&lt;=2,"1-2 Years",Table1[[#This Row],[YearsAtCompany]]&lt;=3,"2-3 Years",Table1[[#This Row],[YearsAtCompany]]&lt;=4,"3-4 Years",Table1[[#This Row],[YearsAtCompany]]&lt;=5,"4-5 Years",Table1[[#This Row],[YearsAtCompany]]&gt;5,"&gt;5 Years")</f>
        <v>&gt;5 Years</v>
      </c>
    </row>
    <row r="1323" spans="1:39" hidden="1" x14ac:dyDescent="0.45">
      <c r="A1323">
        <v>47</v>
      </c>
      <c r="B1323" t="s">
        <v>43</v>
      </c>
      <c r="C1323" t="s">
        <v>64</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_xlfn.IFS(Table1[[#This Row],[Age]]&lt;30,"Young",Table1[[#This Row],[Age]]&lt;=40,"Adult",Table1[[#This Row],[Age]]&gt;40,"Senior")</f>
        <v>Senior</v>
      </c>
      <c r="AK1323" t="str" cm="1">
        <f t="array" ref="AK1323">_xlfn.IFS(Table1[[#This Row],[MonthlyIncome]]&lt;5000,"Low",Table1[[#This Row],[MonthlyIncome]]&lt;10000,"Medium",Table1[[#This Row],[MonthlyIncome]]&gt;10000,"High")</f>
        <v>Low</v>
      </c>
      <c r="AL1323" t="str" cm="1">
        <f t="array" ref="AL1323">_xlfn.IFS(Table1[[#This Row],[Attrition]]="Yes","Resigned",Table1[[#This Row],[Attrition]]="No","Active")</f>
        <v>Active</v>
      </c>
      <c r="AM1323" t="str" cm="1">
        <f t="array" ref="AM1323">_xlfn.IFS(Table1[[#This Row],[YearsAtCompany]]&lt;=1,"0-1 Year",Table1[[#This Row],[YearsAtCompany]]&lt;=2,"1-2 Years",Table1[[#This Row],[YearsAtCompany]]&lt;=3,"2-3 Years",Table1[[#This Row],[YearsAtCompany]]&lt;=4,"3-4 Years",Table1[[#This Row],[YearsAtCompany]]&lt;=5,"4-5 Years",Table1[[#This Row],[YearsAtCompany]]&gt;5,"&gt;5 Years")</f>
        <v>1-2 Years</v>
      </c>
    </row>
    <row r="1324" spans="1:39" hidden="1" x14ac:dyDescent="0.45">
      <c r="A1324">
        <v>46</v>
      </c>
      <c r="B1324" t="s">
        <v>43</v>
      </c>
      <c r="C1324" t="s">
        <v>64</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_xlfn.IFS(Table1[[#This Row],[Age]]&lt;30,"Young",Table1[[#This Row],[Age]]&lt;=40,"Adult",Table1[[#This Row],[Age]]&gt;40,"Senior")</f>
        <v>Senior</v>
      </c>
      <c r="AK1324" t="str" cm="1">
        <f t="array" ref="AK1324">_xlfn.IFS(Table1[[#This Row],[MonthlyIncome]]&lt;5000,"Low",Table1[[#This Row],[MonthlyIncome]]&lt;10000,"Medium",Table1[[#This Row],[MonthlyIncome]]&gt;10000,"High")</f>
        <v>Medium</v>
      </c>
      <c r="AL1324" t="str" cm="1">
        <f t="array" ref="AL1324">_xlfn.IFS(Table1[[#This Row],[Attrition]]="Yes","Resigned",Table1[[#This Row],[Attrition]]="No","Active")</f>
        <v>Active</v>
      </c>
      <c r="AM1324" t="str" cm="1">
        <f t="array" ref="AM1324">_xlfn.IFS(Table1[[#This Row],[YearsAtCompany]]&lt;=1,"0-1 Year",Table1[[#This Row],[YearsAtCompany]]&lt;=2,"1-2 Years",Table1[[#This Row],[YearsAtCompany]]&lt;=3,"2-3 Years",Table1[[#This Row],[YearsAtCompany]]&lt;=4,"3-4 Years",Table1[[#This Row],[YearsAtCompany]]&lt;=5,"4-5 Years",Table1[[#This Row],[YearsAtCompany]]&gt;5,"&gt;5 Years")</f>
        <v>&gt;5 Years</v>
      </c>
    </row>
    <row r="1325" spans="1:39" hidden="1" x14ac:dyDescent="0.45">
      <c r="A1325">
        <v>28</v>
      </c>
      <c r="B1325" t="s">
        <v>43</v>
      </c>
      <c r="C1325" t="s">
        <v>62</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_xlfn.IFS(Table1[[#This Row],[Age]]&lt;30,"Young",Table1[[#This Row],[Age]]&lt;=40,"Adult",Table1[[#This Row],[Age]]&gt;40,"Senior")</f>
        <v>Young</v>
      </c>
      <c r="AK1325" t="str" cm="1">
        <f t="array" ref="AK1325">_xlfn.IFS(Table1[[#This Row],[MonthlyIncome]]&lt;5000,"Low",Table1[[#This Row],[MonthlyIncome]]&lt;10000,"Medium",Table1[[#This Row],[MonthlyIncome]]&gt;10000,"High")</f>
        <v>Low</v>
      </c>
      <c r="AL1325" t="str" cm="1">
        <f t="array" ref="AL1325">_xlfn.IFS(Table1[[#This Row],[Attrition]]="Yes","Resigned",Table1[[#This Row],[Attrition]]="No","Active")</f>
        <v>Active</v>
      </c>
      <c r="AM1325" t="str" cm="1">
        <f t="array" ref="AM1325">_xlfn.IFS(Table1[[#This Row],[YearsAtCompany]]&lt;=1,"0-1 Year",Table1[[#This Row],[YearsAtCompany]]&lt;=2,"1-2 Years",Table1[[#This Row],[YearsAtCompany]]&lt;=3,"2-3 Years",Table1[[#This Row],[YearsAtCompany]]&lt;=4,"3-4 Years",Table1[[#This Row],[YearsAtCompany]]&lt;=5,"4-5 Years",Table1[[#This Row],[YearsAtCompany]]&gt;5,"&gt;5 Years")</f>
        <v>2-3 Years</v>
      </c>
    </row>
    <row r="1326" spans="1:39" hidden="1" x14ac:dyDescent="0.45">
      <c r="A1326">
        <v>29</v>
      </c>
      <c r="B1326" t="s">
        <v>43</v>
      </c>
      <c r="C1326" t="s">
        <v>64</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_xlfn.IFS(Table1[[#This Row],[Age]]&lt;30,"Young",Table1[[#This Row],[Age]]&lt;=40,"Adult",Table1[[#This Row],[Age]]&gt;40,"Senior")</f>
        <v>Young</v>
      </c>
      <c r="AK1326" t="str" cm="1">
        <f t="array" ref="AK1326">_xlfn.IFS(Table1[[#This Row],[MonthlyIncome]]&lt;5000,"Low",Table1[[#This Row],[MonthlyIncome]]&lt;10000,"Medium",Table1[[#This Row],[MonthlyIncome]]&gt;10000,"High")</f>
        <v>Medium</v>
      </c>
      <c r="AL1326" t="str" cm="1">
        <f t="array" ref="AL1326">_xlfn.IFS(Table1[[#This Row],[Attrition]]="Yes","Resigned",Table1[[#This Row],[Attrition]]="No","Active")</f>
        <v>Active</v>
      </c>
      <c r="AM1326" t="str" cm="1">
        <f t="array" ref="AM1326">_xlfn.IFS(Table1[[#This Row],[YearsAtCompany]]&lt;=1,"0-1 Year",Table1[[#This Row],[YearsAtCompany]]&lt;=2,"1-2 Years",Table1[[#This Row],[YearsAtCompany]]&lt;=3,"2-3 Years",Table1[[#This Row],[YearsAtCompany]]&lt;=4,"3-4 Years",Table1[[#This Row],[YearsAtCompany]]&lt;=5,"4-5 Years",Table1[[#This Row],[YearsAtCompany]]&gt;5,"&gt;5 Years")</f>
        <v>&gt;5 Years</v>
      </c>
    </row>
    <row r="1327" spans="1:39" hidden="1" x14ac:dyDescent="0.45">
      <c r="A1327">
        <v>42</v>
      </c>
      <c r="B1327" t="s">
        <v>43</v>
      </c>
      <c r="C1327" t="s">
        <v>64</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_xlfn.IFS(Table1[[#This Row],[Age]]&lt;30,"Young",Table1[[#This Row],[Age]]&lt;=40,"Adult",Table1[[#This Row],[Age]]&gt;40,"Senior")</f>
        <v>Senior</v>
      </c>
      <c r="AK1327" t="str" cm="1">
        <f t="array" ref="AK1327">_xlfn.IFS(Table1[[#This Row],[MonthlyIncome]]&lt;5000,"Low",Table1[[#This Row],[MonthlyIncome]]&lt;10000,"Medium",Table1[[#This Row],[MonthlyIncome]]&gt;10000,"High")</f>
        <v>Low</v>
      </c>
      <c r="AL1327" t="str" cm="1">
        <f t="array" ref="AL1327">_xlfn.IFS(Table1[[#This Row],[Attrition]]="Yes","Resigned",Table1[[#This Row],[Attrition]]="No","Active")</f>
        <v>Active</v>
      </c>
      <c r="AM1327" t="str" cm="1">
        <f t="array" ref="AM1327">_xlfn.IFS(Table1[[#This Row],[YearsAtCompany]]&lt;=1,"0-1 Year",Table1[[#This Row],[YearsAtCompany]]&lt;=2,"1-2 Years",Table1[[#This Row],[YearsAtCompany]]&lt;=3,"2-3 Years",Table1[[#This Row],[YearsAtCompany]]&lt;=4,"3-4 Years",Table1[[#This Row],[YearsAtCompany]]&lt;=5,"4-5 Years",Table1[[#This Row],[YearsAtCompany]]&gt;5,"&gt;5 Years")</f>
        <v>0-1 Year</v>
      </c>
    </row>
    <row r="1328" spans="1:39" x14ac:dyDescent="0.45">
      <c r="A1328">
        <v>32</v>
      </c>
      <c r="B1328" t="s">
        <v>35</v>
      </c>
      <c r="C1328" t="s">
        <v>64</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_xlfn.IFS(Table1[[#This Row],[Age]]&lt;30,"Young",Table1[[#This Row],[Age]]&lt;=40,"Adult",Table1[[#This Row],[Age]]&gt;40,"Senior")</f>
        <v>Adult</v>
      </c>
      <c r="AK1328" t="str" cm="1">
        <f t="array" ref="AK1328">_xlfn.IFS(Table1[[#This Row],[MonthlyIncome]]&lt;5000,"Low",Table1[[#This Row],[MonthlyIncome]]&lt;10000,"Medium",Table1[[#This Row],[MonthlyIncome]]&gt;10000,"High")</f>
        <v>Medium</v>
      </c>
      <c r="AL1328" t="str" cm="1">
        <f t="array" ref="AL1328">_xlfn.IFS(Table1[[#This Row],[Attrition]]="Yes","Resigned",Table1[[#This Row],[Attrition]]="No","Active")</f>
        <v>Resigned</v>
      </c>
      <c r="AM1328" t="str" cm="1">
        <f t="array" ref="AM1328">_xlfn.IFS(Table1[[#This Row],[YearsAtCompany]]&lt;=1,"0-1 Year",Table1[[#This Row],[YearsAtCompany]]&lt;=2,"1-2 Years",Table1[[#This Row],[YearsAtCompany]]&lt;=3,"2-3 Years",Table1[[#This Row],[YearsAtCompany]]&lt;=4,"3-4 Years",Table1[[#This Row],[YearsAtCompany]]&lt;=5,"4-5 Years",Table1[[#This Row],[YearsAtCompany]]&gt;5,"&gt;5 Years")</f>
        <v>1-2 Years</v>
      </c>
    </row>
    <row r="1329" spans="1:39" x14ac:dyDescent="0.45">
      <c r="A1329">
        <v>46</v>
      </c>
      <c r="B1329" t="s">
        <v>43</v>
      </c>
      <c r="C1329" t="s">
        <v>64</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_xlfn.IFS(Table1[[#This Row],[Age]]&lt;30,"Young",Table1[[#This Row],[Age]]&lt;=40,"Adult",Table1[[#This Row],[Age]]&gt;40,"Senior")</f>
        <v>Senior</v>
      </c>
      <c r="AK1329" t="str" cm="1">
        <f t="array" ref="AK1329">_xlfn.IFS(Table1[[#This Row],[MonthlyIncome]]&lt;5000,"Low",Table1[[#This Row],[MonthlyIncome]]&lt;10000,"Medium",Table1[[#This Row],[MonthlyIncome]]&gt;10000,"High")</f>
        <v>High</v>
      </c>
      <c r="AL1329" t="str" cm="1">
        <f t="array" ref="AL1329">_xlfn.IFS(Table1[[#This Row],[Attrition]]="Yes","Resigned",Table1[[#This Row],[Attrition]]="No","Active")</f>
        <v>Active</v>
      </c>
      <c r="AM1329" t="str" cm="1">
        <f t="array" ref="AM1329">_xlfn.IFS(Table1[[#This Row],[YearsAtCompany]]&lt;=1,"0-1 Year",Table1[[#This Row],[YearsAtCompany]]&lt;=2,"1-2 Years",Table1[[#This Row],[YearsAtCompany]]&lt;=3,"2-3 Years",Table1[[#This Row],[YearsAtCompany]]&lt;=4,"3-4 Years",Table1[[#This Row],[YearsAtCompany]]&lt;=5,"4-5 Years",Table1[[#This Row],[YearsAtCompany]]&gt;5,"&gt;5 Years")</f>
        <v>&gt;5 Years</v>
      </c>
    </row>
    <row r="1330" spans="1:39" x14ac:dyDescent="0.45">
      <c r="A1330">
        <v>27</v>
      </c>
      <c r="B1330" t="s">
        <v>43</v>
      </c>
      <c r="C1330" t="s">
        <v>64</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_xlfn.IFS(Table1[[#This Row],[Age]]&lt;30,"Young",Table1[[#This Row],[Age]]&lt;=40,"Adult",Table1[[#This Row],[Age]]&gt;40,"Senior")</f>
        <v>Young</v>
      </c>
      <c r="AK1330" t="str" cm="1">
        <f t="array" ref="AK1330">_xlfn.IFS(Table1[[#This Row],[MonthlyIncome]]&lt;5000,"Low",Table1[[#This Row],[MonthlyIncome]]&lt;10000,"Medium",Table1[[#This Row],[MonthlyIncome]]&gt;10000,"High")</f>
        <v>Low</v>
      </c>
      <c r="AL1330" t="str" cm="1">
        <f t="array" ref="AL1330">_xlfn.IFS(Table1[[#This Row],[Attrition]]="Yes","Resigned",Table1[[#This Row],[Attrition]]="No","Active")</f>
        <v>Active</v>
      </c>
      <c r="AM1330" t="str" cm="1">
        <f t="array" ref="AM1330">_xlfn.IFS(Table1[[#This Row],[YearsAtCompany]]&lt;=1,"0-1 Year",Table1[[#This Row],[YearsAtCompany]]&lt;=2,"1-2 Years",Table1[[#This Row],[YearsAtCompany]]&lt;=3,"2-3 Years",Table1[[#This Row],[YearsAtCompany]]&lt;=4,"3-4 Years",Table1[[#This Row],[YearsAtCompany]]&lt;=5,"4-5 Years",Table1[[#This Row],[YearsAtCompany]]&gt;5,"&gt;5 Years")</f>
        <v>&gt;5 Years</v>
      </c>
    </row>
    <row r="1331" spans="1:39" hidden="1" x14ac:dyDescent="0.45">
      <c r="A1331">
        <v>29</v>
      </c>
      <c r="B1331" t="s">
        <v>43</v>
      </c>
      <c r="C1331" t="s">
        <v>64</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_xlfn.IFS(Table1[[#This Row],[Age]]&lt;30,"Young",Table1[[#This Row],[Age]]&lt;=40,"Adult",Table1[[#This Row],[Age]]&gt;40,"Senior")</f>
        <v>Young</v>
      </c>
      <c r="AK1331" t="str" cm="1">
        <f t="array" ref="AK1331">_xlfn.IFS(Table1[[#This Row],[MonthlyIncome]]&lt;5000,"Low",Table1[[#This Row],[MonthlyIncome]]&lt;10000,"Medium",Table1[[#This Row],[MonthlyIncome]]&gt;10000,"High")</f>
        <v>Low</v>
      </c>
      <c r="AL1331" t="str" cm="1">
        <f t="array" ref="AL1331">_xlfn.IFS(Table1[[#This Row],[Attrition]]="Yes","Resigned",Table1[[#This Row],[Attrition]]="No","Active")</f>
        <v>Active</v>
      </c>
      <c r="AM1331" t="str" cm="1">
        <f t="array" ref="AM1331">_xlfn.IFS(Table1[[#This Row],[YearsAtCompany]]&lt;=1,"0-1 Year",Table1[[#This Row],[YearsAtCompany]]&lt;=2,"1-2 Years",Table1[[#This Row],[YearsAtCompany]]&lt;=3,"2-3 Years",Table1[[#This Row],[YearsAtCompany]]&lt;=4,"3-4 Years",Table1[[#This Row],[YearsAtCompany]]&lt;=5,"4-5 Years",Table1[[#This Row],[YearsAtCompany]]&gt;5,"&gt;5 Years")</f>
        <v>0-1 Year</v>
      </c>
    </row>
    <row r="1332" spans="1:39" hidden="1" x14ac:dyDescent="0.45">
      <c r="A1332">
        <v>43</v>
      </c>
      <c r="B1332" t="s">
        <v>43</v>
      </c>
      <c r="C1332" t="s">
        <v>64</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_xlfn.IFS(Table1[[#This Row],[Age]]&lt;30,"Young",Table1[[#This Row],[Age]]&lt;=40,"Adult",Table1[[#This Row],[Age]]&gt;40,"Senior")</f>
        <v>Senior</v>
      </c>
      <c r="AK1332" t="str" cm="1">
        <f t="array" ref="AK1332">_xlfn.IFS(Table1[[#This Row],[MonthlyIncome]]&lt;5000,"Low",Table1[[#This Row],[MonthlyIncome]]&lt;10000,"Medium",Table1[[#This Row],[MonthlyIncome]]&gt;10000,"High")</f>
        <v>High</v>
      </c>
      <c r="AL1332" t="str" cm="1">
        <f t="array" ref="AL1332">_xlfn.IFS(Table1[[#This Row],[Attrition]]="Yes","Resigned",Table1[[#This Row],[Attrition]]="No","Active")</f>
        <v>Active</v>
      </c>
      <c r="AM1332" t="str" cm="1">
        <f t="array" ref="AM1332">_xlfn.IFS(Table1[[#This Row],[YearsAtCompany]]&lt;=1,"0-1 Year",Table1[[#This Row],[YearsAtCompany]]&lt;=2,"1-2 Years",Table1[[#This Row],[YearsAtCompany]]&lt;=3,"2-3 Years",Table1[[#This Row],[YearsAtCompany]]&lt;=4,"3-4 Years",Table1[[#This Row],[YearsAtCompany]]&lt;=5,"4-5 Years",Table1[[#This Row],[YearsAtCompany]]&gt;5,"&gt;5 Years")</f>
        <v>&gt;5 Years</v>
      </c>
    </row>
    <row r="1333" spans="1:39" hidden="1" x14ac:dyDescent="0.45">
      <c r="A1333">
        <v>48</v>
      </c>
      <c r="B1333" t="s">
        <v>43</v>
      </c>
      <c r="C1333" t="s">
        <v>64</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_xlfn.IFS(Table1[[#This Row],[Age]]&lt;30,"Young",Table1[[#This Row],[Age]]&lt;=40,"Adult",Table1[[#This Row],[Age]]&gt;40,"Senior")</f>
        <v>Senior</v>
      </c>
      <c r="AK1333" t="str" cm="1">
        <f t="array" ref="AK1333">_xlfn.IFS(Table1[[#This Row],[MonthlyIncome]]&lt;5000,"Low",Table1[[#This Row],[MonthlyIncome]]&lt;10000,"Medium",Table1[[#This Row],[MonthlyIncome]]&gt;10000,"High")</f>
        <v>High</v>
      </c>
      <c r="AL1333" t="str" cm="1">
        <f t="array" ref="AL1333">_xlfn.IFS(Table1[[#This Row],[Attrition]]="Yes","Resigned",Table1[[#This Row],[Attrition]]="No","Active")</f>
        <v>Active</v>
      </c>
      <c r="AM1333" t="str" cm="1">
        <f t="array" ref="AM1333">_xlfn.IFS(Table1[[#This Row],[YearsAtCompany]]&lt;=1,"0-1 Year",Table1[[#This Row],[YearsAtCompany]]&lt;=2,"1-2 Years",Table1[[#This Row],[YearsAtCompany]]&lt;=3,"2-3 Years",Table1[[#This Row],[YearsAtCompany]]&lt;=4,"3-4 Years",Table1[[#This Row],[YearsAtCompany]]&lt;=5,"4-5 Years",Table1[[#This Row],[YearsAtCompany]]&gt;5,"&gt;5 Years")</f>
        <v>&gt;5 Years</v>
      </c>
    </row>
    <row r="1334" spans="1:39" hidden="1" x14ac:dyDescent="0.45">
      <c r="A1334">
        <v>29</v>
      </c>
      <c r="B1334" t="s">
        <v>35</v>
      </c>
      <c r="C1334" t="s">
        <v>63</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_xlfn.IFS(Table1[[#This Row],[Age]]&lt;30,"Young",Table1[[#This Row],[Age]]&lt;=40,"Adult",Table1[[#This Row],[Age]]&gt;40,"Senior")</f>
        <v>Young</v>
      </c>
      <c r="AK1334" t="str" cm="1">
        <f t="array" ref="AK1334">_xlfn.IFS(Table1[[#This Row],[MonthlyIncome]]&lt;5000,"Low",Table1[[#This Row],[MonthlyIncome]]&lt;10000,"Medium",Table1[[#This Row],[MonthlyIncome]]&gt;10000,"High")</f>
        <v>Low</v>
      </c>
      <c r="AL1334" t="str" cm="1">
        <f t="array" ref="AL1334">_xlfn.IFS(Table1[[#This Row],[Attrition]]="Yes","Resigned",Table1[[#This Row],[Attrition]]="No","Active")</f>
        <v>Resigned</v>
      </c>
      <c r="AM1334" t="str" cm="1">
        <f t="array" ref="AM1334">_xlfn.IFS(Table1[[#This Row],[YearsAtCompany]]&lt;=1,"0-1 Year",Table1[[#This Row],[YearsAtCompany]]&lt;=2,"1-2 Years",Table1[[#This Row],[YearsAtCompany]]&lt;=3,"2-3 Years",Table1[[#This Row],[YearsAtCompany]]&lt;=4,"3-4 Years",Table1[[#This Row],[YearsAtCompany]]&lt;=5,"4-5 Years",Table1[[#This Row],[YearsAtCompany]]&gt;5,"&gt;5 Years")</f>
        <v>0-1 Year</v>
      </c>
    </row>
    <row r="1335" spans="1:39" x14ac:dyDescent="0.45">
      <c r="A1335">
        <v>46</v>
      </c>
      <c r="B1335" t="s">
        <v>35</v>
      </c>
      <c r="C1335" t="s">
        <v>64</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_xlfn.IFS(Table1[[#This Row],[Age]]&lt;30,"Young",Table1[[#This Row],[Age]]&lt;=40,"Adult",Table1[[#This Row],[Age]]&gt;40,"Senior")</f>
        <v>Senior</v>
      </c>
      <c r="AK1335" t="str" cm="1">
        <f t="array" ref="AK1335">_xlfn.IFS(Table1[[#This Row],[MonthlyIncome]]&lt;5000,"Low",Table1[[#This Row],[MonthlyIncome]]&lt;10000,"Medium",Table1[[#This Row],[MonthlyIncome]]&gt;10000,"High")</f>
        <v>Medium</v>
      </c>
      <c r="AL1335" t="str" cm="1">
        <f t="array" ref="AL1335">_xlfn.IFS(Table1[[#This Row],[Attrition]]="Yes","Resigned",Table1[[#This Row],[Attrition]]="No","Active")</f>
        <v>Resigned</v>
      </c>
      <c r="AM1335" t="str" cm="1">
        <f t="array" ref="AM1335">_xlfn.IFS(Table1[[#This Row],[YearsAtCompany]]&lt;=1,"0-1 Year",Table1[[#This Row],[YearsAtCompany]]&lt;=2,"1-2 Years",Table1[[#This Row],[YearsAtCompany]]&lt;=3,"2-3 Years",Table1[[#This Row],[YearsAtCompany]]&lt;=4,"3-4 Years",Table1[[#This Row],[YearsAtCompany]]&lt;=5,"4-5 Years",Table1[[#This Row],[YearsAtCompany]]&gt;5,"&gt;5 Years")</f>
        <v>&gt;5 Years</v>
      </c>
    </row>
    <row r="1336" spans="1:39" hidden="1" x14ac:dyDescent="0.45">
      <c r="A1336">
        <v>27</v>
      </c>
      <c r="B1336" t="s">
        <v>43</v>
      </c>
      <c r="C1336" t="s">
        <v>63</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_xlfn.IFS(Table1[[#This Row],[Age]]&lt;30,"Young",Table1[[#This Row],[Age]]&lt;=40,"Adult",Table1[[#This Row],[Age]]&gt;40,"Senior")</f>
        <v>Young</v>
      </c>
      <c r="AK1336" t="str" cm="1">
        <f t="array" ref="AK1336">_xlfn.IFS(Table1[[#This Row],[MonthlyIncome]]&lt;5000,"Low",Table1[[#This Row],[MonthlyIncome]]&lt;10000,"Medium",Table1[[#This Row],[MonthlyIncome]]&gt;10000,"High")</f>
        <v>Low</v>
      </c>
      <c r="AL1336" t="str" cm="1">
        <f t="array" ref="AL1336">_xlfn.IFS(Table1[[#This Row],[Attrition]]="Yes","Resigned",Table1[[#This Row],[Attrition]]="No","Active")</f>
        <v>Active</v>
      </c>
      <c r="AM1336" t="str" cm="1">
        <f t="array" ref="AM1336">_xlfn.IFS(Table1[[#This Row],[YearsAtCompany]]&lt;=1,"0-1 Year",Table1[[#This Row],[YearsAtCompany]]&lt;=2,"1-2 Years",Table1[[#This Row],[YearsAtCompany]]&lt;=3,"2-3 Years",Table1[[#This Row],[YearsAtCompany]]&lt;=4,"3-4 Years",Table1[[#This Row],[YearsAtCompany]]&lt;=5,"4-5 Years",Table1[[#This Row],[YearsAtCompany]]&gt;5,"&gt;5 Years")</f>
        <v>&gt;5 Years</v>
      </c>
    </row>
    <row r="1337" spans="1:39" hidden="1" x14ac:dyDescent="0.45">
      <c r="A1337">
        <v>39</v>
      </c>
      <c r="B1337" t="s">
        <v>43</v>
      </c>
      <c r="C1337" t="s">
        <v>64</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_xlfn.IFS(Table1[[#This Row],[Age]]&lt;30,"Young",Table1[[#This Row],[Age]]&lt;=40,"Adult",Table1[[#This Row],[Age]]&gt;40,"Senior")</f>
        <v>Adult</v>
      </c>
      <c r="AK1337" t="str" cm="1">
        <f t="array" ref="AK1337">_xlfn.IFS(Table1[[#This Row],[MonthlyIncome]]&lt;5000,"Low",Table1[[#This Row],[MonthlyIncome]]&lt;10000,"Medium",Table1[[#This Row],[MonthlyIncome]]&gt;10000,"High")</f>
        <v>Low</v>
      </c>
      <c r="AL1337" t="str" cm="1">
        <f t="array" ref="AL1337">_xlfn.IFS(Table1[[#This Row],[Attrition]]="Yes","Resigned",Table1[[#This Row],[Attrition]]="No","Active")</f>
        <v>Active</v>
      </c>
      <c r="AM1337" t="str" cm="1">
        <f t="array" ref="AM1337">_xlfn.IFS(Table1[[#This Row],[YearsAtCompany]]&lt;=1,"0-1 Year",Table1[[#This Row],[YearsAtCompany]]&lt;=2,"1-2 Years",Table1[[#This Row],[YearsAtCompany]]&lt;=3,"2-3 Years",Table1[[#This Row],[YearsAtCompany]]&lt;=4,"3-4 Years",Table1[[#This Row],[YearsAtCompany]]&lt;=5,"4-5 Years",Table1[[#This Row],[YearsAtCompany]]&gt;5,"&gt;5 Years")</f>
        <v>1-2 Years</v>
      </c>
    </row>
    <row r="1338" spans="1:39" hidden="1" x14ac:dyDescent="0.45">
      <c r="A1338">
        <v>55</v>
      </c>
      <c r="B1338" t="s">
        <v>43</v>
      </c>
      <c r="C1338" t="s">
        <v>64</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_xlfn.IFS(Table1[[#This Row],[Age]]&lt;30,"Young",Table1[[#This Row],[Age]]&lt;=40,"Adult",Table1[[#This Row],[Age]]&gt;40,"Senior")</f>
        <v>Senior</v>
      </c>
      <c r="AK1338" t="str" cm="1">
        <f t="array" ref="AK1338">_xlfn.IFS(Table1[[#This Row],[MonthlyIncome]]&lt;5000,"Low",Table1[[#This Row],[MonthlyIncome]]&lt;10000,"Medium",Table1[[#This Row],[MonthlyIncome]]&gt;10000,"High")</f>
        <v>Low</v>
      </c>
      <c r="AL1338" t="str" cm="1">
        <f t="array" ref="AL1338">_xlfn.IFS(Table1[[#This Row],[Attrition]]="Yes","Resigned",Table1[[#This Row],[Attrition]]="No","Active")</f>
        <v>Active</v>
      </c>
      <c r="AM1338" t="str" cm="1">
        <f t="array" ref="AM1338">_xlfn.IFS(Table1[[#This Row],[YearsAtCompany]]&lt;=1,"0-1 Year",Table1[[#This Row],[YearsAtCompany]]&lt;=2,"1-2 Years",Table1[[#This Row],[YearsAtCompany]]&lt;=3,"2-3 Years",Table1[[#This Row],[YearsAtCompany]]&lt;=4,"3-4 Years",Table1[[#This Row],[YearsAtCompany]]&lt;=5,"4-5 Years",Table1[[#This Row],[YearsAtCompany]]&gt;5,"&gt;5 Years")</f>
        <v>4-5 Years</v>
      </c>
    </row>
    <row r="1339" spans="1:39" x14ac:dyDescent="0.45">
      <c r="A1339">
        <v>28</v>
      </c>
      <c r="B1339" t="s">
        <v>43</v>
      </c>
      <c r="C1339" t="s">
        <v>64</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_xlfn.IFS(Table1[[#This Row],[Age]]&lt;30,"Young",Table1[[#This Row],[Age]]&lt;=40,"Adult",Table1[[#This Row],[Age]]&gt;40,"Senior")</f>
        <v>Young</v>
      </c>
      <c r="AK1339" t="str" cm="1">
        <f t="array" ref="AK1339">_xlfn.IFS(Table1[[#This Row],[MonthlyIncome]]&lt;5000,"Low",Table1[[#This Row],[MonthlyIncome]]&lt;10000,"Medium",Table1[[#This Row],[MonthlyIncome]]&gt;10000,"High")</f>
        <v>Low</v>
      </c>
      <c r="AL1339" t="str" cm="1">
        <f t="array" ref="AL1339">_xlfn.IFS(Table1[[#This Row],[Attrition]]="Yes","Resigned",Table1[[#This Row],[Attrition]]="No","Active")</f>
        <v>Active</v>
      </c>
      <c r="AM1339" t="str" cm="1">
        <f t="array" ref="AM1339">_xlfn.IFS(Table1[[#This Row],[YearsAtCompany]]&lt;=1,"0-1 Year",Table1[[#This Row],[YearsAtCompany]]&lt;=2,"1-2 Years",Table1[[#This Row],[YearsAtCompany]]&lt;=3,"2-3 Years",Table1[[#This Row],[YearsAtCompany]]&lt;=4,"3-4 Years",Table1[[#This Row],[YearsAtCompany]]&lt;=5,"4-5 Years",Table1[[#This Row],[YearsAtCompany]]&gt;5,"&gt;5 Years")</f>
        <v>0-1 Year</v>
      </c>
    </row>
    <row r="1340" spans="1:39" x14ac:dyDescent="0.45">
      <c r="A1340">
        <v>30</v>
      </c>
      <c r="B1340" t="s">
        <v>35</v>
      </c>
      <c r="C1340" t="s">
        <v>64</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_xlfn.IFS(Table1[[#This Row],[Age]]&lt;30,"Young",Table1[[#This Row],[Age]]&lt;=40,"Adult",Table1[[#This Row],[Age]]&gt;40,"Senior")</f>
        <v>Adult</v>
      </c>
      <c r="AK1340" t="str" cm="1">
        <f t="array" ref="AK1340">_xlfn.IFS(Table1[[#This Row],[MonthlyIncome]]&lt;5000,"Low",Table1[[#This Row],[MonthlyIncome]]&lt;10000,"Medium",Table1[[#This Row],[MonthlyIncome]]&gt;10000,"High")</f>
        <v>Low</v>
      </c>
      <c r="AL1340" t="str" cm="1">
        <f t="array" ref="AL1340">_xlfn.IFS(Table1[[#This Row],[Attrition]]="Yes","Resigned",Table1[[#This Row],[Attrition]]="No","Active")</f>
        <v>Resigned</v>
      </c>
      <c r="AM1340" t="str" cm="1">
        <f t="array" ref="AM1340">_xlfn.IFS(Table1[[#This Row],[YearsAtCompany]]&lt;=1,"0-1 Year",Table1[[#This Row],[YearsAtCompany]]&lt;=2,"1-2 Years",Table1[[#This Row],[YearsAtCompany]]&lt;=3,"2-3 Years",Table1[[#This Row],[YearsAtCompany]]&lt;=4,"3-4 Years",Table1[[#This Row],[YearsAtCompany]]&lt;=5,"4-5 Years",Table1[[#This Row],[YearsAtCompany]]&gt;5,"&gt;5 Years")</f>
        <v>0-1 Year</v>
      </c>
    </row>
    <row r="1341" spans="1:39" hidden="1" x14ac:dyDescent="0.45">
      <c r="A1341">
        <v>22</v>
      </c>
      <c r="B1341" t="s">
        <v>35</v>
      </c>
      <c r="C1341" t="s">
        <v>64</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_xlfn.IFS(Table1[[#This Row],[Age]]&lt;30,"Young",Table1[[#This Row],[Age]]&lt;=40,"Adult",Table1[[#This Row],[Age]]&gt;40,"Senior")</f>
        <v>Young</v>
      </c>
      <c r="AK1341" t="str" cm="1">
        <f t="array" ref="AK1341">_xlfn.IFS(Table1[[#This Row],[MonthlyIncome]]&lt;5000,"Low",Table1[[#This Row],[MonthlyIncome]]&lt;10000,"Medium",Table1[[#This Row],[MonthlyIncome]]&gt;10000,"High")</f>
        <v>Low</v>
      </c>
      <c r="AL1341" t="str" cm="1">
        <f t="array" ref="AL1341">_xlfn.IFS(Table1[[#This Row],[Attrition]]="Yes","Resigned",Table1[[#This Row],[Attrition]]="No","Active")</f>
        <v>Resigned</v>
      </c>
      <c r="AM1341" t="str" cm="1">
        <f t="array" ref="AM1341">_xlfn.IFS(Table1[[#This Row],[YearsAtCompany]]&lt;=1,"0-1 Year",Table1[[#This Row],[YearsAtCompany]]&lt;=2,"1-2 Years",Table1[[#This Row],[YearsAtCompany]]&lt;=3,"2-3 Years",Table1[[#This Row],[YearsAtCompany]]&lt;=4,"3-4 Years",Table1[[#This Row],[YearsAtCompany]]&lt;=5,"4-5 Years",Table1[[#This Row],[YearsAtCompany]]&gt;5,"&gt;5 Years")</f>
        <v>0-1 Year</v>
      </c>
    </row>
    <row r="1342" spans="1:39" x14ac:dyDescent="0.45">
      <c r="A1342">
        <v>36</v>
      </c>
      <c r="B1342" t="s">
        <v>43</v>
      </c>
      <c r="C1342" t="s">
        <v>64</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_xlfn.IFS(Table1[[#This Row],[Age]]&lt;30,"Young",Table1[[#This Row],[Age]]&lt;=40,"Adult",Table1[[#This Row],[Age]]&gt;40,"Senior")</f>
        <v>Adult</v>
      </c>
      <c r="AK1342" t="str" cm="1">
        <f t="array" ref="AK1342">_xlfn.IFS(Table1[[#This Row],[MonthlyIncome]]&lt;5000,"Low",Table1[[#This Row],[MonthlyIncome]]&lt;10000,"Medium",Table1[[#This Row],[MonthlyIncome]]&gt;10000,"High")</f>
        <v>Medium</v>
      </c>
      <c r="AL1342" t="str" cm="1">
        <f t="array" ref="AL1342">_xlfn.IFS(Table1[[#This Row],[Attrition]]="Yes","Resigned",Table1[[#This Row],[Attrition]]="No","Active")</f>
        <v>Active</v>
      </c>
      <c r="AM1342" t="str" cm="1">
        <f t="array" ref="AM1342">_xlfn.IFS(Table1[[#This Row],[YearsAtCompany]]&lt;=1,"0-1 Year",Table1[[#This Row],[YearsAtCompany]]&lt;=2,"1-2 Years",Table1[[#This Row],[YearsAtCompany]]&lt;=3,"2-3 Years",Table1[[#This Row],[YearsAtCompany]]&lt;=4,"3-4 Years",Table1[[#This Row],[YearsAtCompany]]&lt;=5,"4-5 Years",Table1[[#This Row],[YearsAtCompany]]&gt;5,"&gt;5 Years")</f>
        <v>&gt;5 Years</v>
      </c>
    </row>
    <row r="1343" spans="1:39" hidden="1" x14ac:dyDescent="0.45">
      <c r="A1343">
        <v>31</v>
      </c>
      <c r="B1343" t="s">
        <v>43</v>
      </c>
      <c r="C1343" t="s">
        <v>64</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_xlfn.IFS(Table1[[#This Row],[Age]]&lt;30,"Young",Table1[[#This Row],[Age]]&lt;=40,"Adult",Table1[[#This Row],[Age]]&gt;40,"Senior")</f>
        <v>Adult</v>
      </c>
      <c r="AK1343" t="str" cm="1">
        <f t="array" ref="AK1343">_xlfn.IFS(Table1[[#This Row],[MonthlyIncome]]&lt;5000,"Low",Table1[[#This Row],[MonthlyIncome]]&lt;10000,"Medium",Table1[[#This Row],[MonthlyIncome]]&gt;10000,"High")</f>
        <v>Low</v>
      </c>
      <c r="AL1343" t="str" cm="1">
        <f t="array" ref="AL1343">_xlfn.IFS(Table1[[#This Row],[Attrition]]="Yes","Resigned",Table1[[#This Row],[Attrition]]="No","Active")</f>
        <v>Active</v>
      </c>
      <c r="AM1343" t="str" cm="1">
        <f t="array" ref="AM1343">_xlfn.IFS(Table1[[#This Row],[YearsAtCompany]]&lt;=1,"0-1 Year",Table1[[#This Row],[YearsAtCompany]]&lt;=2,"1-2 Years",Table1[[#This Row],[YearsAtCompany]]&lt;=3,"2-3 Years",Table1[[#This Row],[YearsAtCompany]]&lt;=4,"3-4 Years",Table1[[#This Row],[YearsAtCompany]]&lt;=5,"4-5 Years",Table1[[#This Row],[YearsAtCompany]]&gt;5,"&gt;5 Years")</f>
        <v>&gt;5 Years</v>
      </c>
    </row>
    <row r="1344" spans="1:39" x14ac:dyDescent="0.45">
      <c r="A1344">
        <v>34</v>
      </c>
      <c r="B1344" t="s">
        <v>43</v>
      </c>
      <c r="C1344" t="s">
        <v>64</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_xlfn.IFS(Table1[[#This Row],[Age]]&lt;30,"Young",Table1[[#This Row],[Age]]&lt;=40,"Adult",Table1[[#This Row],[Age]]&gt;40,"Senior")</f>
        <v>Adult</v>
      </c>
      <c r="AK1344" t="str" cm="1">
        <f t="array" ref="AK1344">_xlfn.IFS(Table1[[#This Row],[MonthlyIncome]]&lt;5000,"Low",Table1[[#This Row],[MonthlyIncome]]&lt;10000,"Medium",Table1[[#This Row],[MonthlyIncome]]&gt;10000,"High")</f>
        <v>Medium</v>
      </c>
      <c r="AL1344" t="str" cm="1">
        <f t="array" ref="AL1344">_xlfn.IFS(Table1[[#This Row],[Attrition]]="Yes","Resigned",Table1[[#This Row],[Attrition]]="No","Active")</f>
        <v>Active</v>
      </c>
      <c r="AM1344" t="str" cm="1">
        <f t="array" ref="AM1344">_xlfn.IFS(Table1[[#This Row],[YearsAtCompany]]&lt;=1,"0-1 Year",Table1[[#This Row],[YearsAtCompany]]&lt;=2,"1-2 Years",Table1[[#This Row],[YearsAtCompany]]&lt;=3,"2-3 Years",Table1[[#This Row],[YearsAtCompany]]&lt;=4,"3-4 Years",Table1[[#This Row],[YearsAtCompany]]&lt;=5,"4-5 Years",Table1[[#This Row],[YearsAtCompany]]&gt;5,"&gt;5 Years")</f>
        <v>4-5 Years</v>
      </c>
    </row>
    <row r="1345" spans="1:39" hidden="1" x14ac:dyDescent="0.45">
      <c r="A1345">
        <v>29</v>
      </c>
      <c r="B1345" t="s">
        <v>43</v>
      </c>
      <c r="C1345" t="s">
        <v>64</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_xlfn.IFS(Table1[[#This Row],[Age]]&lt;30,"Young",Table1[[#This Row],[Age]]&lt;=40,"Adult",Table1[[#This Row],[Age]]&gt;40,"Senior")</f>
        <v>Young</v>
      </c>
      <c r="AK1345" t="str" cm="1">
        <f t="array" ref="AK1345">_xlfn.IFS(Table1[[#This Row],[MonthlyIncome]]&lt;5000,"Low",Table1[[#This Row],[MonthlyIncome]]&lt;10000,"Medium",Table1[[#This Row],[MonthlyIncome]]&gt;10000,"High")</f>
        <v>Low</v>
      </c>
      <c r="AL1345" t="str" cm="1">
        <f t="array" ref="AL1345">_xlfn.IFS(Table1[[#This Row],[Attrition]]="Yes","Resigned",Table1[[#This Row],[Attrition]]="No","Active")</f>
        <v>Active</v>
      </c>
      <c r="AM1345" t="str" cm="1">
        <f t="array" ref="AM1345">_xlfn.IFS(Table1[[#This Row],[YearsAtCompany]]&lt;=1,"0-1 Year",Table1[[#This Row],[YearsAtCompany]]&lt;=2,"1-2 Years",Table1[[#This Row],[YearsAtCompany]]&lt;=3,"2-3 Years",Table1[[#This Row],[YearsAtCompany]]&lt;=4,"3-4 Years",Table1[[#This Row],[YearsAtCompany]]&lt;=5,"4-5 Years",Table1[[#This Row],[YearsAtCompany]]&gt;5,"&gt;5 Years")</f>
        <v>2-3 Years</v>
      </c>
    </row>
    <row r="1346" spans="1:39" hidden="1" x14ac:dyDescent="0.45">
      <c r="A1346">
        <v>37</v>
      </c>
      <c r="B1346" t="s">
        <v>43</v>
      </c>
      <c r="C1346" t="s">
        <v>64</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_xlfn.IFS(Table1[[#This Row],[Age]]&lt;30,"Young",Table1[[#This Row],[Age]]&lt;=40,"Adult",Table1[[#This Row],[Age]]&gt;40,"Senior")</f>
        <v>Adult</v>
      </c>
      <c r="AK1346" t="str" cm="1">
        <f t="array" ref="AK1346">_xlfn.IFS(Table1[[#This Row],[MonthlyIncome]]&lt;5000,"Low",Table1[[#This Row],[MonthlyIncome]]&lt;10000,"Medium",Table1[[#This Row],[MonthlyIncome]]&gt;10000,"High")</f>
        <v>Low</v>
      </c>
      <c r="AL1346" t="str" cm="1">
        <f t="array" ref="AL1346">_xlfn.IFS(Table1[[#This Row],[Attrition]]="Yes","Resigned",Table1[[#This Row],[Attrition]]="No","Active")</f>
        <v>Active</v>
      </c>
      <c r="AM1346" t="str" cm="1">
        <f t="array" ref="AM1346">_xlfn.IFS(Table1[[#This Row],[YearsAtCompany]]&lt;=1,"0-1 Year",Table1[[#This Row],[YearsAtCompany]]&lt;=2,"1-2 Years",Table1[[#This Row],[YearsAtCompany]]&lt;=3,"2-3 Years",Table1[[#This Row],[YearsAtCompany]]&lt;=4,"3-4 Years",Table1[[#This Row],[YearsAtCompany]]&lt;=5,"4-5 Years",Table1[[#This Row],[YearsAtCompany]]&gt;5,"&gt;5 Years")</f>
        <v>4-5 Years</v>
      </c>
    </row>
    <row r="1347" spans="1:39" hidden="1" x14ac:dyDescent="0.45">
      <c r="A1347">
        <v>35</v>
      </c>
      <c r="B1347" t="s">
        <v>43</v>
      </c>
      <c r="C1347" t="s">
        <v>64</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_xlfn.IFS(Table1[[#This Row],[Age]]&lt;30,"Young",Table1[[#This Row],[Age]]&lt;=40,"Adult",Table1[[#This Row],[Age]]&gt;40,"Senior")</f>
        <v>Adult</v>
      </c>
      <c r="AK1347" t="str" cm="1">
        <f t="array" ref="AK1347">_xlfn.IFS(Table1[[#This Row],[MonthlyIncome]]&lt;5000,"Low",Table1[[#This Row],[MonthlyIncome]]&lt;10000,"Medium",Table1[[#This Row],[MonthlyIncome]]&gt;10000,"High")</f>
        <v>Low</v>
      </c>
      <c r="AL1347" t="str" cm="1">
        <f t="array" ref="AL1347">_xlfn.IFS(Table1[[#This Row],[Attrition]]="Yes","Resigned",Table1[[#This Row],[Attrition]]="No","Active")</f>
        <v>Active</v>
      </c>
      <c r="AM1347" t="str" cm="1">
        <f t="array" ref="AM1347">_xlfn.IFS(Table1[[#This Row],[YearsAtCompany]]&lt;=1,"0-1 Year",Table1[[#This Row],[YearsAtCompany]]&lt;=2,"1-2 Years",Table1[[#This Row],[YearsAtCompany]]&lt;=3,"2-3 Years",Table1[[#This Row],[YearsAtCompany]]&lt;=4,"3-4 Years",Table1[[#This Row],[YearsAtCompany]]&lt;=5,"4-5 Years",Table1[[#This Row],[YearsAtCompany]]&gt;5,"&gt;5 Years")</f>
        <v>2-3 Years</v>
      </c>
    </row>
    <row r="1348" spans="1:39" hidden="1" x14ac:dyDescent="0.45">
      <c r="A1348">
        <v>45</v>
      </c>
      <c r="B1348" t="s">
        <v>43</v>
      </c>
      <c r="C1348" t="s">
        <v>64</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_xlfn.IFS(Table1[[#This Row],[Age]]&lt;30,"Young",Table1[[#This Row],[Age]]&lt;=40,"Adult",Table1[[#This Row],[Age]]&gt;40,"Senior")</f>
        <v>Senior</v>
      </c>
      <c r="AK1348" t="str" cm="1">
        <f t="array" ref="AK1348">_xlfn.IFS(Table1[[#This Row],[MonthlyIncome]]&lt;5000,"Low",Table1[[#This Row],[MonthlyIncome]]&lt;10000,"Medium",Table1[[#This Row],[MonthlyIncome]]&gt;10000,"High")</f>
        <v>Medium</v>
      </c>
      <c r="AL1348" t="str" cm="1">
        <f t="array" ref="AL1348">_xlfn.IFS(Table1[[#This Row],[Attrition]]="Yes","Resigned",Table1[[#This Row],[Attrition]]="No","Active")</f>
        <v>Active</v>
      </c>
      <c r="AM1348" t="str" cm="1">
        <f t="array" ref="AM1348">_xlfn.IFS(Table1[[#This Row],[YearsAtCompany]]&lt;=1,"0-1 Year",Table1[[#This Row],[YearsAtCompany]]&lt;=2,"1-2 Years",Table1[[#This Row],[YearsAtCompany]]&lt;=3,"2-3 Years",Table1[[#This Row],[YearsAtCompany]]&lt;=4,"3-4 Years",Table1[[#This Row],[YearsAtCompany]]&lt;=5,"4-5 Years",Table1[[#This Row],[YearsAtCompany]]&gt;5,"&gt;5 Years")</f>
        <v>&gt;5 Years</v>
      </c>
    </row>
    <row r="1349" spans="1:39" hidden="1" x14ac:dyDescent="0.45">
      <c r="A1349">
        <v>36</v>
      </c>
      <c r="B1349" t="s">
        <v>43</v>
      </c>
      <c r="C1349" t="s">
        <v>63</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_xlfn.IFS(Table1[[#This Row],[Age]]&lt;30,"Young",Table1[[#This Row],[Age]]&lt;=40,"Adult",Table1[[#This Row],[Age]]&gt;40,"Senior")</f>
        <v>Adult</v>
      </c>
      <c r="AK1349" t="str" cm="1">
        <f t="array" ref="AK1349">_xlfn.IFS(Table1[[#This Row],[MonthlyIncome]]&lt;5000,"Low",Table1[[#This Row],[MonthlyIncome]]&lt;10000,"Medium",Table1[[#This Row],[MonthlyIncome]]&gt;10000,"High")</f>
        <v>Low</v>
      </c>
      <c r="AL1349" t="str" cm="1">
        <f t="array" ref="AL1349">_xlfn.IFS(Table1[[#This Row],[Attrition]]="Yes","Resigned",Table1[[#This Row],[Attrition]]="No","Active")</f>
        <v>Active</v>
      </c>
      <c r="AM1349" t="str" cm="1">
        <f t="array" ref="AM1349">_xlfn.IFS(Table1[[#This Row],[YearsAtCompany]]&lt;=1,"0-1 Year",Table1[[#This Row],[YearsAtCompany]]&lt;=2,"1-2 Years",Table1[[#This Row],[YearsAtCompany]]&lt;=3,"2-3 Years",Table1[[#This Row],[YearsAtCompany]]&lt;=4,"3-4 Years",Table1[[#This Row],[YearsAtCompany]]&lt;=5,"4-5 Years",Table1[[#This Row],[YearsAtCompany]]&gt;5,"&gt;5 Years")</f>
        <v>&gt;5 Years</v>
      </c>
    </row>
    <row r="1350" spans="1:39" hidden="1" x14ac:dyDescent="0.45">
      <c r="A1350">
        <v>40</v>
      </c>
      <c r="B1350" t="s">
        <v>43</v>
      </c>
      <c r="C1350" t="s">
        <v>64</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_xlfn.IFS(Table1[[#This Row],[Age]]&lt;30,"Young",Table1[[#This Row],[Age]]&lt;=40,"Adult",Table1[[#This Row],[Age]]&gt;40,"Senior")</f>
        <v>Adult</v>
      </c>
      <c r="AK1350" t="str" cm="1">
        <f t="array" ref="AK1350">_xlfn.IFS(Table1[[#This Row],[MonthlyIncome]]&lt;5000,"Low",Table1[[#This Row],[MonthlyIncome]]&lt;10000,"Medium",Table1[[#This Row],[MonthlyIncome]]&gt;10000,"High")</f>
        <v>High</v>
      </c>
      <c r="AL1350" t="str" cm="1">
        <f t="array" ref="AL1350">_xlfn.IFS(Table1[[#This Row],[Attrition]]="Yes","Resigned",Table1[[#This Row],[Attrition]]="No","Active")</f>
        <v>Active</v>
      </c>
      <c r="AM1350" t="str" cm="1">
        <f t="array" ref="AM1350">_xlfn.IFS(Table1[[#This Row],[YearsAtCompany]]&lt;=1,"0-1 Year",Table1[[#This Row],[YearsAtCompany]]&lt;=2,"1-2 Years",Table1[[#This Row],[YearsAtCompany]]&lt;=3,"2-3 Years",Table1[[#This Row],[YearsAtCompany]]&lt;=4,"3-4 Years",Table1[[#This Row],[YearsAtCompany]]&lt;=5,"4-5 Years",Table1[[#This Row],[YearsAtCompany]]&gt;5,"&gt;5 Years")</f>
        <v>&gt;5 Years</v>
      </c>
    </row>
    <row r="1351" spans="1:39" hidden="1" x14ac:dyDescent="0.45">
      <c r="A1351">
        <v>26</v>
      </c>
      <c r="B1351" t="s">
        <v>43</v>
      </c>
      <c r="C1351" t="s">
        <v>64</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_xlfn.IFS(Table1[[#This Row],[Age]]&lt;30,"Young",Table1[[#This Row],[Age]]&lt;=40,"Adult",Table1[[#This Row],[Age]]&gt;40,"Senior")</f>
        <v>Young</v>
      </c>
      <c r="AK1351" t="str" cm="1">
        <f t="array" ref="AK1351">_xlfn.IFS(Table1[[#This Row],[MonthlyIncome]]&lt;5000,"Low",Table1[[#This Row],[MonthlyIncome]]&lt;10000,"Medium",Table1[[#This Row],[MonthlyIncome]]&gt;10000,"High")</f>
        <v>Low</v>
      </c>
      <c r="AL1351" t="str" cm="1">
        <f t="array" ref="AL1351">_xlfn.IFS(Table1[[#This Row],[Attrition]]="Yes","Resigned",Table1[[#This Row],[Attrition]]="No","Active")</f>
        <v>Active</v>
      </c>
      <c r="AM1351" t="str" cm="1">
        <f t="array" ref="AM1351">_xlfn.IFS(Table1[[#This Row],[YearsAtCompany]]&lt;=1,"0-1 Year",Table1[[#This Row],[YearsAtCompany]]&lt;=2,"1-2 Years",Table1[[#This Row],[YearsAtCompany]]&lt;=3,"2-3 Years",Table1[[#This Row],[YearsAtCompany]]&lt;=4,"3-4 Years",Table1[[#This Row],[YearsAtCompany]]&lt;=5,"4-5 Years",Table1[[#This Row],[YearsAtCompany]]&gt;5,"&gt;5 Years")</f>
        <v>0-1 Year</v>
      </c>
    </row>
    <row r="1352" spans="1:39" x14ac:dyDescent="0.45">
      <c r="A1352">
        <v>27</v>
      </c>
      <c r="B1352" t="s">
        <v>43</v>
      </c>
      <c r="C1352" t="s">
        <v>64</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_xlfn.IFS(Table1[[#This Row],[Age]]&lt;30,"Young",Table1[[#This Row],[Age]]&lt;=40,"Adult",Table1[[#This Row],[Age]]&gt;40,"Senior")</f>
        <v>Young</v>
      </c>
      <c r="AK1352" t="str" cm="1">
        <f t="array" ref="AK1352">_xlfn.IFS(Table1[[#This Row],[MonthlyIncome]]&lt;5000,"Low",Table1[[#This Row],[MonthlyIncome]]&lt;10000,"Medium",Table1[[#This Row],[MonthlyIncome]]&gt;10000,"High")</f>
        <v>Medium</v>
      </c>
      <c r="AL1352" t="str" cm="1">
        <f t="array" ref="AL1352">_xlfn.IFS(Table1[[#This Row],[Attrition]]="Yes","Resigned",Table1[[#This Row],[Attrition]]="No","Active")</f>
        <v>Active</v>
      </c>
      <c r="AM1352" t="str" cm="1">
        <f t="array" ref="AM1352">_xlfn.IFS(Table1[[#This Row],[YearsAtCompany]]&lt;=1,"0-1 Year",Table1[[#This Row],[YearsAtCompany]]&lt;=2,"1-2 Years",Table1[[#This Row],[YearsAtCompany]]&lt;=3,"2-3 Years",Table1[[#This Row],[YearsAtCompany]]&lt;=4,"3-4 Years",Table1[[#This Row],[YearsAtCompany]]&lt;=5,"4-5 Years",Table1[[#This Row],[YearsAtCompany]]&gt;5,"&gt;5 Years")</f>
        <v>&gt;5 Years</v>
      </c>
    </row>
    <row r="1353" spans="1:39" hidden="1" x14ac:dyDescent="0.45">
      <c r="A1353">
        <v>48</v>
      </c>
      <c r="B1353" t="s">
        <v>43</v>
      </c>
      <c r="C1353" t="s">
        <v>63</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_xlfn.IFS(Table1[[#This Row],[Age]]&lt;30,"Young",Table1[[#This Row],[Age]]&lt;=40,"Adult",Table1[[#This Row],[Age]]&gt;40,"Senior")</f>
        <v>Senior</v>
      </c>
      <c r="AK1353" t="str" cm="1">
        <f t="array" ref="AK1353">_xlfn.IFS(Table1[[#This Row],[MonthlyIncome]]&lt;5000,"Low",Table1[[#This Row],[MonthlyIncome]]&lt;10000,"Medium",Table1[[#This Row],[MonthlyIncome]]&gt;10000,"High")</f>
        <v>High</v>
      </c>
      <c r="AL1353" t="str" cm="1">
        <f t="array" ref="AL1353">_xlfn.IFS(Table1[[#This Row],[Attrition]]="Yes","Resigned",Table1[[#This Row],[Attrition]]="No","Active")</f>
        <v>Active</v>
      </c>
      <c r="AM1353" t="str" cm="1">
        <f t="array" ref="AM1353">_xlfn.IFS(Table1[[#This Row],[YearsAtCompany]]&lt;=1,"0-1 Year",Table1[[#This Row],[YearsAtCompany]]&lt;=2,"1-2 Years",Table1[[#This Row],[YearsAtCompany]]&lt;=3,"2-3 Years",Table1[[#This Row],[YearsAtCompany]]&lt;=4,"3-4 Years",Table1[[#This Row],[YearsAtCompany]]&lt;=5,"4-5 Years",Table1[[#This Row],[YearsAtCompany]]&gt;5,"&gt;5 Years")</f>
        <v>&gt;5 Years</v>
      </c>
    </row>
    <row r="1354" spans="1:39" hidden="1" x14ac:dyDescent="0.45">
      <c r="A1354">
        <v>44</v>
      </c>
      <c r="B1354" t="s">
        <v>43</v>
      </c>
      <c r="C1354" t="s">
        <v>64</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_xlfn.IFS(Table1[[#This Row],[Age]]&lt;30,"Young",Table1[[#This Row],[Age]]&lt;=40,"Adult",Table1[[#This Row],[Age]]&gt;40,"Senior")</f>
        <v>Senior</v>
      </c>
      <c r="AK1354" t="str" cm="1">
        <f t="array" ref="AK1354">_xlfn.IFS(Table1[[#This Row],[MonthlyIncome]]&lt;5000,"Low",Table1[[#This Row],[MonthlyIncome]]&lt;10000,"Medium",Table1[[#This Row],[MonthlyIncome]]&gt;10000,"High")</f>
        <v>Medium</v>
      </c>
      <c r="AL1354" t="str" cm="1">
        <f t="array" ref="AL1354">_xlfn.IFS(Table1[[#This Row],[Attrition]]="Yes","Resigned",Table1[[#This Row],[Attrition]]="No","Active")</f>
        <v>Active</v>
      </c>
      <c r="AM1354" t="str" cm="1">
        <f t="array" ref="AM1354">_xlfn.IFS(Table1[[#This Row],[YearsAtCompany]]&lt;=1,"0-1 Year",Table1[[#This Row],[YearsAtCompany]]&lt;=2,"1-2 Years",Table1[[#This Row],[YearsAtCompany]]&lt;=3,"2-3 Years",Table1[[#This Row],[YearsAtCompany]]&lt;=4,"3-4 Years",Table1[[#This Row],[YearsAtCompany]]&lt;=5,"4-5 Years",Table1[[#This Row],[YearsAtCompany]]&gt;5,"&gt;5 Years")</f>
        <v>1-2 Years</v>
      </c>
    </row>
    <row r="1355" spans="1:39" hidden="1" x14ac:dyDescent="0.45">
      <c r="A1355">
        <v>34</v>
      </c>
      <c r="B1355" t="s">
        <v>35</v>
      </c>
      <c r="C1355" t="s">
        <v>62</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_xlfn.IFS(Table1[[#This Row],[Age]]&lt;30,"Young",Table1[[#This Row],[Age]]&lt;=40,"Adult",Table1[[#This Row],[Age]]&gt;40,"Senior")</f>
        <v>Adult</v>
      </c>
      <c r="AK1355" t="str" cm="1">
        <f t="array" ref="AK1355">_xlfn.IFS(Table1[[#This Row],[MonthlyIncome]]&lt;5000,"Low",Table1[[#This Row],[MonthlyIncome]]&lt;10000,"Medium",Table1[[#This Row],[MonthlyIncome]]&gt;10000,"High")</f>
        <v>Low</v>
      </c>
      <c r="AL1355" t="str" cm="1">
        <f t="array" ref="AL1355">_xlfn.IFS(Table1[[#This Row],[Attrition]]="Yes","Resigned",Table1[[#This Row],[Attrition]]="No","Active")</f>
        <v>Resigned</v>
      </c>
      <c r="AM1355" t="str" cm="1">
        <f t="array" ref="AM1355">_xlfn.IFS(Table1[[#This Row],[YearsAtCompany]]&lt;=1,"0-1 Year",Table1[[#This Row],[YearsAtCompany]]&lt;=2,"1-2 Years",Table1[[#This Row],[YearsAtCompany]]&lt;=3,"2-3 Years",Table1[[#This Row],[YearsAtCompany]]&lt;=4,"3-4 Years",Table1[[#This Row],[YearsAtCompany]]&lt;=5,"4-5 Years",Table1[[#This Row],[YearsAtCompany]]&gt;5,"&gt;5 Years")</f>
        <v>4-5 Years</v>
      </c>
    </row>
    <row r="1356" spans="1:39" hidden="1" x14ac:dyDescent="0.45">
      <c r="A1356">
        <v>56</v>
      </c>
      <c r="B1356" t="s">
        <v>35</v>
      </c>
      <c r="C1356" t="s">
        <v>64</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_xlfn.IFS(Table1[[#This Row],[Age]]&lt;30,"Young",Table1[[#This Row],[Age]]&lt;=40,"Adult",Table1[[#This Row],[Age]]&gt;40,"Senior")</f>
        <v>Senior</v>
      </c>
      <c r="AK1356" t="str" cm="1">
        <f t="array" ref="AK1356">_xlfn.IFS(Table1[[#This Row],[MonthlyIncome]]&lt;5000,"Low",Table1[[#This Row],[MonthlyIncome]]&lt;10000,"Medium",Table1[[#This Row],[MonthlyIncome]]&gt;10000,"High")</f>
        <v>Low</v>
      </c>
      <c r="AL1356" t="str" cm="1">
        <f t="array" ref="AL1356">_xlfn.IFS(Table1[[#This Row],[Attrition]]="Yes","Resigned",Table1[[#This Row],[Attrition]]="No","Active")</f>
        <v>Resigned</v>
      </c>
      <c r="AM1356" t="str" cm="1">
        <f t="array" ref="AM1356">_xlfn.IFS(Table1[[#This Row],[YearsAtCompany]]&lt;=1,"0-1 Year",Table1[[#This Row],[YearsAtCompany]]&lt;=2,"1-2 Years",Table1[[#This Row],[YearsAtCompany]]&lt;=3,"2-3 Years",Table1[[#This Row],[YearsAtCompany]]&lt;=4,"3-4 Years",Table1[[#This Row],[YearsAtCompany]]&lt;=5,"4-5 Years",Table1[[#This Row],[YearsAtCompany]]&gt;5,"&gt;5 Years")</f>
        <v>3-4 Years</v>
      </c>
    </row>
    <row r="1357" spans="1:39" x14ac:dyDescent="0.45">
      <c r="A1357">
        <v>36</v>
      </c>
      <c r="B1357" t="s">
        <v>43</v>
      </c>
      <c r="C1357" t="s">
        <v>64</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_xlfn.IFS(Table1[[#This Row],[Age]]&lt;30,"Young",Table1[[#This Row],[Age]]&lt;=40,"Adult",Table1[[#This Row],[Age]]&gt;40,"Senior")</f>
        <v>Adult</v>
      </c>
      <c r="AK1357" t="str" cm="1">
        <f t="array" ref="AK1357">_xlfn.IFS(Table1[[#This Row],[MonthlyIncome]]&lt;5000,"Low",Table1[[#This Row],[MonthlyIncome]]&lt;10000,"Medium",Table1[[#This Row],[MonthlyIncome]]&gt;10000,"High")</f>
        <v>Medium</v>
      </c>
      <c r="AL1357" t="str" cm="1">
        <f t="array" ref="AL1357">_xlfn.IFS(Table1[[#This Row],[Attrition]]="Yes","Resigned",Table1[[#This Row],[Attrition]]="No","Active")</f>
        <v>Active</v>
      </c>
      <c r="AM1357" t="str" cm="1">
        <f t="array" ref="AM1357">_xlfn.IFS(Table1[[#This Row],[YearsAtCompany]]&lt;=1,"0-1 Year",Table1[[#This Row],[YearsAtCompany]]&lt;=2,"1-2 Years",Table1[[#This Row],[YearsAtCompany]]&lt;=3,"2-3 Years",Table1[[#This Row],[YearsAtCompany]]&lt;=4,"3-4 Years",Table1[[#This Row],[YearsAtCompany]]&lt;=5,"4-5 Years",Table1[[#This Row],[YearsAtCompany]]&gt;5,"&gt;5 Years")</f>
        <v>3-4 Years</v>
      </c>
    </row>
    <row r="1358" spans="1:39" x14ac:dyDescent="0.45">
      <c r="A1358">
        <v>41</v>
      </c>
      <c r="B1358" t="s">
        <v>43</v>
      </c>
      <c r="C1358" t="s">
        <v>64</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_xlfn.IFS(Table1[[#This Row],[Age]]&lt;30,"Young",Table1[[#This Row],[Age]]&lt;=40,"Adult",Table1[[#This Row],[Age]]&gt;40,"Senior")</f>
        <v>Senior</v>
      </c>
      <c r="AK1358" t="str" cm="1">
        <f t="array" ref="AK1358">_xlfn.IFS(Table1[[#This Row],[MonthlyIncome]]&lt;5000,"Low",Table1[[#This Row],[MonthlyIncome]]&lt;10000,"Medium",Table1[[#This Row],[MonthlyIncome]]&gt;10000,"High")</f>
        <v>Low</v>
      </c>
      <c r="AL1358" t="str" cm="1">
        <f t="array" ref="AL1358">_xlfn.IFS(Table1[[#This Row],[Attrition]]="Yes","Resigned",Table1[[#This Row],[Attrition]]="No","Active")</f>
        <v>Active</v>
      </c>
      <c r="AM1358" t="str" cm="1">
        <f t="array" ref="AM1358">_xlfn.IFS(Table1[[#This Row],[YearsAtCompany]]&lt;=1,"0-1 Year",Table1[[#This Row],[YearsAtCompany]]&lt;=2,"1-2 Years",Table1[[#This Row],[YearsAtCompany]]&lt;=3,"2-3 Years",Table1[[#This Row],[YearsAtCompany]]&lt;=4,"3-4 Years",Table1[[#This Row],[YearsAtCompany]]&lt;=5,"4-5 Years",Table1[[#This Row],[YearsAtCompany]]&gt;5,"&gt;5 Years")</f>
        <v>4-5 Years</v>
      </c>
    </row>
    <row r="1359" spans="1:39" hidden="1" x14ac:dyDescent="0.45">
      <c r="A1359">
        <v>42</v>
      </c>
      <c r="B1359" t="s">
        <v>43</v>
      </c>
      <c r="C1359" t="s">
        <v>64</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_xlfn.IFS(Table1[[#This Row],[Age]]&lt;30,"Young",Table1[[#This Row],[Age]]&lt;=40,"Adult",Table1[[#This Row],[Age]]&gt;40,"Senior")</f>
        <v>Senior</v>
      </c>
      <c r="AK1359" t="str" cm="1">
        <f t="array" ref="AK1359">_xlfn.IFS(Table1[[#This Row],[MonthlyIncome]]&lt;5000,"Low",Table1[[#This Row],[MonthlyIncome]]&lt;10000,"Medium",Table1[[#This Row],[MonthlyIncome]]&gt;10000,"High")</f>
        <v>High</v>
      </c>
      <c r="AL1359" t="str" cm="1">
        <f t="array" ref="AL1359">_xlfn.IFS(Table1[[#This Row],[Attrition]]="Yes","Resigned",Table1[[#This Row],[Attrition]]="No","Active")</f>
        <v>Active</v>
      </c>
      <c r="AM1359" t="str" cm="1">
        <f t="array" ref="AM1359">_xlfn.IFS(Table1[[#This Row],[YearsAtCompany]]&lt;=1,"0-1 Year",Table1[[#This Row],[YearsAtCompany]]&lt;=2,"1-2 Years",Table1[[#This Row],[YearsAtCompany]]&lt;=3,"2-3 Years",Table1[[#This Row],[YearsAtCompany]]&lt;=4,"3-4 Years",Table1[[#This Row],[YearsAtCompany]]&lt;=5,"4-5 Years",Table1[[#This Row],[YearsAtCompany]]&gt;5,"&gt;5 Years")</f>
        <v>&gt;5 Years</v>
      </c>
    </row>
    <row r="1360" spans="1:39" x14ac:dyDescent="0.45">
      <c r="A1360">
        <v>31</v>
      </c>
      <c r="B1360" t="s">
        <v>43</v>
      </c>
      <c r="C1360" t="s">
        <v>64</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_xlfn.IFS(Table1[[#This Row],[Age]]&lt;30,"Young",Table1[[#This Row],[Age]]&lt;=40,"Adult",Table1[[#This Row],[Age]]&gt;40,"Senior")</f>
        <v>Adult</v>
      </c>
      <c r="AK1360" t="str" cm="1">
        <f t="array" ref="AK1360">_xlfn.IFS(Table1[[#This Row],[MonthlyIncome]]&lt;5000,"Low",Table1[[#This Row],[MonthlyIncome]]&lt;10000,"Medium",Table1[[#This Row],[MonthlyIncome]]&gt;10000,"High")</f>
        <v>Medium</v>
      </c>
      <c r="AL1360" t="str" cm="1">
        <f t="array" ref="AL1360">_xlfn.IFS(Table1[[#This Row],[Attrition]]="Yes","Resigned",Table1[[#This Row],[Attrition]]="No","Active")</f>
        <v>Active</v>
      </c>
      <c r="AM1360" t="str" cm="1">
        <f t="array" ref="AM1360">_xlfn.IFS(Table1[[#This Row],[YearsAtCompany]]&lt;=1,"0-1 Year",Table1[[#This Row],[YearsAtCompany]]&lt;=2,"1-2 Years",Table1[[#This Row],[YearsAtCompany]]&lt;=3,"2-3 Years",Table1[[#This Row],[YearsAtCompany]]&lt;=4,"3-4 Years",Table1[[#This Row],[YearsAtCompany]]&lt;=5,"4-5 Years",Table1[[#This Row],[YearsAtCompany]]&gt;5,"&gt;5 Years")</f>
        <v>4-5 Years</v>
      </c>
    </row>
    <row r="1361" spans="1:39" x14ac:dyDescent="0.45">
      <c r="A1361">
        <v>34</v>
      </c>
      <c r="B1361" t="s">
        <v>43</v>
      </c>
      <c r="C1361" t="s">
        <v>64</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_xlfn.IFS(Table1[[#This Row],[Age]]&lt;30,"Young",Table1[[#This Row],[Age]]&lt;=40,"Adult",Table1[[#This Row],[Age]]&gt;40,"Senior")</f>
        <v>Adult</v>
      </c>
      <c r="AK1361" t="str" cm="1">
        <f t="array" ref="AK1361">_xlfn.IFS(Table1[[#This Row],[MonthlyIncome]]&lt;5000,"Low",Table1[[#This Row],[MonthlyIncome]]&lt;10000,"Medium",Table1[[#This Row],[MonthlyIncome]]&gt;10000,"High")</f>
        <v>Medium</v>
      </c>
      <c r="AL1361" t="str" cm="1">
        <f t="array" ref="AL1361">_xlfn.IFS(Table1[[#This Row],[Attrition]]="Yes","Resigned",Table1[[#This Row],[Attrition]]="No","Active")</f>
        <v>Active</v>
      </c>
      <c r="AM1361" t="str" cm="1">
        <f t="array" ref="AM1361">_xlfn.IFS(Table1[[#This Row],[YearsAtCompany]]&lt;=1,"0-1 Year",Table1[[#This Row],[YearsAtCompany]]&lt;=2,"1-2 Years",Table1[[#This Row],[YearsAtCompany]]&lt;=3,"2-3 Years",Table1[[#This Row],[YearsAtCompany]]&lt;=4,"3-4 Years",Table1[[#This Row],[YearsAtCompany]]&lt;=5,"4-5 Years",Table1[[#This Row],[YearsAtCompany]]&gt;5,"&gt;5 Years")</f>
        <v>3-4 Years</v>
      </c>
    </row>
    <row r="1362" spans="1:39" hidden="1" x14ac:dyDescent="0.45">
      <c r="A1362">
        <v>31</v>
      </c>
      <c r="B1362" t="s">
        <v>43</v>
      </c>
      <c r="C1362" t="s">
        <v>64</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_xlfn.IFS(Table1[[#This Row],[Age]]&lt;30,"Young",Table1[[#This Row],[Age]]&lt;=40,"Adult",Table1[[#This Row],[Age]]&gt;40,"Senior")</f>
        <v>Adult</v>
      </c>
      <c r="AK1362" t="str" cm="1">
        <f t="array" ref="AK1362">_xlfn.IFS(Table1[[#This Row],[MonthlyIncome]]&lt;5000,"Low",Table1[[#This Row],[MonthlyIncome]]&lt;10000,"Medium",Table1[[#This Row],[MonthlyIncome]]&gt;10000,"High")</f>
        <v>Low</v>
      </c>
      <c r="AL1362" t="str" cm="1">
        <f t="array" ref="AL1362">_xlfn.IFS(Table1[[#This Row],[Attrition]]="Yes","Resigned",Table1[[#This Row],[Attrition]]="No","Active")</f>
        <v>Active</v>
      </c>
      <c r="AM1362" t="str" cm="1">
        <f t="array" ref="AM1362">_xlfn.IFS(Table1[[#This Row],[YearsAtCompany]]&lt;=1,"0-1 Year",Table1[[#This Row],[YearsAtCompany]]&lt;=2,"1-2 Years",Table1[[#This Row],[YearsAtCompany]]&lt;=3,"2-3 Years",Table1[[#This Row],[YearsAtCompany]]&lt;=4,"3-4 Years",Table1[[#This Row],[YearsAtCompany]]&lt;=5,"4-5 Years",Table1[[#This Row],[YearsAtCompany]]&gt;5,"&gt;5 Years")</f>
        <v>1-2 Years</v>
      </c>
    </row>
    <row r="1363" spans="1:39" hidden="1" x14ac:dyDescent="0.45">
      <c r="A1363">
        <v>26</v>
      </c>
      <c r="B1363" t="s">
        <v>43</v>
      </c>
      <c r="C1363" t="s">
        <v>63</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_xlfn.IFS(Table1[[#This Row],[Age]]&lt;30,"Young",Table1[[#This Row],[Age]]&lt;=40,"Adult",Table1[[#This Row],[Age]]&gt;40,"Senior")</f>
        <v>Young</v>
      </c>
      <c r="AK1363" t="str" cm="1">
        <f t="array" ref="AK1363">_xlfn.IFS(Table1[[#This Row],[MonthlyIncome]]&lt;5000,"Low",Table1[[#This Row],[MonthlyIncome]]&lt;10000,"Medium",Table1[[#This Row],[MonthlyIncome]]&gt;10000,"High")</f>
        <v>Low</v>
      </c>
      <c r="AL1363" t="str" cm="1">
        <f t="array" ref="AL1363">_xlfn.IFS(Table1[[#This Row],[Attrition]]="Yes","Resigned",Table1[[#This Row],[Attrition]]="No","Active")</f>
        <v>Active</v>
      </c>
      <c r="AM1363" t="str" cm="1">
        <f t="array" ref="AM1363">_xlfn.IFS(Table1[[#This Row],[YearsAtCompany]]&lt;=1,"0-1 Year",Table1[[#This Row],[YearsAtCompany]]&lt;=2,"1-2 Years",Table1[[#This Row],[YearsAtCompany]]&lt;=3,"2-3 Years",Table1[[#This Row],[YearsAtCompany]]&lt;=4,"3-4 Years",Table1[[#This Row],[YearsAtCompany]]&lt;=5,"4-5 Years",Table1[[#This Row],[YearsAtCompany]]&gt;5,"&gt;5 Years")</f>
        <v>&gt;5 Years</v>
      </c>
    </row>
    <row r="1364" spans="1:39" hidden="1" x14ac:dyDescent="0.45">
      <c r="A1364">
        <v>45</v>
      </c>
      <c r="B1364" t="s">
        <v>43</v>
      </c>
      <c r="C1364" t="s">
        <v>63</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_xlfn.IFS(Table1[[#This Row],[Age]]&lt;30,"Young",Table1[[#This Row],[Age]]&lt;=40,"Adult",Table1[[#This Row],[Age]]&gt;40,"Senior")</f>
        <v>Senior</v>
      </c>
      <c r="AK1364" t="str" cm="1">
        <f t="array" ref="AK1364">_xlfn.IFS(Table1[[#This Row],[MonthlyIncome]]&lt;5000,"Low",Table1[[#This Row],[MonthlyIncome]]&lt;10000,"Medium",Table1[[#This Row],[MonthlyIncome]]&gt;10000,"High")</f>
        <v>Medium</v>
      </c>
      <c r="AL1364" t="str" cm="1">
        <f t="array" ref="AL1364">_xlfn.IFS(Table1[[#This Row],[Attrition]]="Yes","Resigned",Table1[[#This Row],[Attrition]]="No","Active")</f>
        <v>Active</v>
      </c>
      <c r="AM1364" t="str" cm="1">
        <f t="array" ref="AM1364">_xlfn.IFS(Table1[[#This Row],[YearsAtCompany]]&lt;=1,"0-1 Year",Table1[[#This Row],[YearsAtCompany]]&lt;=2,"1-2 Years",Table1[[#This Row],[YearsAtCompany]]&lt;=3,"2-3 Years",Table1[[#This Row],[YearsAtCompany]]&lt;=4,"3-4 Years",Table1[[#This Row],[YearsAtCompany]]&lt;=5,"4-5 Years",Table1[[#This Row],[YearsAtCompany]]&gt;5,"&gt;5 Years")</f>
        <v>3-4 Years</v>
      </c>
    </row>
    <row r="1365" spans="1:39" x14ac:dyDescent="0.45">
      <c r="A1365">
        <v>33</v>
      </c>
      <c r="B1365" t="s">
        <v>43</v>
      </c>
      <c r="C1365" t="s">
        <v>64</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_xlfn.IFS(Table1[[#This Row],[Age]]&lt;30,"Young",Table1[[#This Row],[Age]]&lt;=40,"Adult",Table1[[#This Row],[Age]]&gt;40,"Senior")</f>
        <v>Adult</v>
      </c>
      <c r="AK1365" t="str" cm="1">
        <f t="array" ref="AK1365">_xlfn.IFS(Table1[[#This Row],[MonthlyIncome]]&lt;5000,"Low",Table1[[#This Row],[MonthlyIncome]]&lt;10000,"Medium",Table1[[#This Row],[MonthlyIncome]]&gt;10000,"High")</f>
        <v>Medium</v>
      </c>
      <c r="AL1365" t="str" cm="1">
        <f t="array" ref="AL1365">_xlfn.IFS(Table1[[#This Row],[Attrition]]="Yes","Resigned",Table1[[#This Row],[Attrition]]="No","Active")</f>
        <v>Active</v>
      </c>
      <c r="AM1365" t="str" cm="1">
        <f t="array" ref="AM1365">_xlfn.IFS(Table1[[#This Row],[YearsAtCompany]]&lt;=1,"0-1 Year",Table1[[#This Row],[YearsAtCompany]]&lt;=2,"1-2 Years",Table1[[#This Row],[YearsAtCompany]]&lt;=3,"2-3 Years",Table1[[#This Row],[YearsAtCompany]]&lt;=4,"3-4 Years",Table1[[#This Row],[YearsAtCompany]]&lt;=5,"4-5 Years",Table1[[#This Row],[YearsAtCompany]]&gt;5,"&gt;5 Years")</f>
        <v>&gt;5 Years</v>
      </c>
    </row>
    <row r="1366" spans="1:39" x14ac:dyDescent="0.45">
      <c r="A1366">
        <v>28</v>
      </c>
      <c r="B1366" t="s">
        <v>43</v>
      </c>
      <c r="C1366" t="s">
        <v>63</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_xlfn.IFS(Table1[[#This Row],[Age]]&lt;30,"Young",Table1[[#This Row],[Age]]&lt;=40,"Adult",Table1[[#This Row],[Age]]&gt;40,"Senior")</f>
        <v>Young</v>
      </c>
      <c r="AK1366" t="str" cm="1">
        <f t="array" ref="AK1366">_xlfn.IFS(Table1[[#This Row],[MonthlyIncome]]&lt;5000,"Low",Table1[[#This Row],[MonthlyIncome]]&lt;10000,"Medium",Table1[[#This Row],[MonthlyIncome]]&gt;10000,"High")</f>
        <v>Medium</v>
      </c>
      <c r="AL1366" t="str" cm="1">
        <f t="array" ref="AL1366">_xlfn.IFS(Table1[[#This Row],[Attrition]]="Yes","Resigned",Table1[[#This Row],[Attrition]]="No","Active")</f>
        <v>Active</v>
      </c>
      <c r="AM1366" t="str" cm="1">
        <f t="array" ref="AM1366">_xlfn.IFS(Table1[[#This Row],[YearsAtCompany]]&lt;=1,"0-1 Year",Table1[[#This Row],[YearsAtCompany]]&lt;=2,"1-2 Years",Table1[[#This Row],[YearsAtCompany]]&lt;=3,"2-3 Years",Table1[[#This Row],[YearsAtCompany]]&lt;=4,"3-4 Years",Table1[[#This Row],[YearsAtCompany]]&lt;=5,"4-5 Years",Table1[[#This Row],[YearsAtCompany]]&gt;5,"&gt;5 Years")</f>
        <v>&gt;5 Years</v>
      </c>
    </row>
    <row r="1367" spans="1:39" x14ac:dyDescent="0.45">
      <c r="A1367">
        <v>29</v>
      </c>
      <c r="B1367" t="s">
        <v>35</v>
      </c>
      <c r="C1367" t="s">
        <v>63</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_xlfn.IFS(Table1[[#This Row],[Age]]&lt;30,"Young",Table1[[#This Row],[Age]]&lt;=40,"Adult",Table1[[#This Row],[Age]]&gt;40,"Senior")</f>
        <v>Young</v>
      </c>
      <c r="AK1367" t="str" cm="1">
        <f t="array" ref="AK1367">_xlfn.IFS(Table1[[#This Row],[MonthlyIncome]]&lt;5000,"Low",Table1[[#This Row],[MonthlyIncome]]&lt;10000,"Medium",Table1[[#This Row],[MonthlyIncome]]&gt;10000,"High")</f>
        <v>Low</v>
      </c>
      <c r="AL1367" t="str" cm="1">
        <f t="array" ref="AL1367">_xlfn.IFS(Table1[[#This Row],[Attrition]]="Yes","Resigned",Table1[[#This Row],[Attrition]]="No","Active")</f>
        <v>Resigned</v>
      </c>
      <c r="AM1367" t="str" cm="1">
        <f t="array" ref="AM1367">_xlfn.IFS(Table1[[#This Row],[YearsAtCompany]]&lt;=1,"0-1 Year",Table1[[#This Row],[YearsAtCompany]]&lt;=2,"1-2 Years",Table1[[#This Row],[YearsAtCompany]]&lt;=3,"2-3 Years",Table1[[#This Row],[YearsAtCompany]]&lt;=4,"3-4 Years",Table1[[#This Row],[YearsAtCompany]]&lt;=5,"4-5 Years",Table1[[#This Row],[YearsAtCompany]]&gt;5,"&gt;5 Years")</f>
        <v>0-1 Year</v>
      </c>
    </row>
    <row r="1368" spans="1:39" x14ac:dyDescent="0.45">
      <c r="A1368">
        <v>39</v>
      </c>
      <c r="B1368" t="s">
        <v>43</v>
      </c>
      <c r="C1368" t="s">
        <v>62</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_xlfn.IFS(Table1[[#This Row],[Age]]&lt;30,"Young",Table1[[#This Row],[Age]]&lt;=40,"Adult",Table1[[#This Row],[Age]]&gt;40,"Senior")</f>
        <v>Adult</v>
      </c>
      <c r="AK1368" t="str" cm="1">
        <f t="array" ref="AK1368">_xlfn.IFS(Table1[[#This Row],[MonthlyIncome]]&lt;5000,"Low",Table1[[#This Row],[MonthlyIncome]]&lt;10000,"Medium",Table1[[#This Row],[MonthlyIncome]]&gt;10000,"High")</f>
        <v>Medium</v>
      </c>
      <c r="AL1368" t="str" cm="1">
        <f t="array" ref="AL1368">_xlfn.IFS(Table1[[#This Row],[Attrition]]="Yes","Resigned",Table1[[#This Row],[Attrition]]="No","Active")</f>
        <v>Active</v>
      </c>
      <c r="AM1368" t="str" cm="1">
        <f t="array" ref="AM1368">_xlfn.IFS(Table1[[#This Row],[YearsAtCompany]]&lt;=1,"0-1 Year",Table1[[#This Row],[YearsAtCompany]]&lt;=2,"1-2 Years",Table1[[#This Row],[YearsAtCompany]]&lt;=3,"2-3 Years",Table1[[#This Row],[YearsAtCompany]]&lt;=4,"3-4 Years",Table1[[#This Row],[YearsAtCompany]]&lt;=5,"4-5 Years",Table1[[#This Row],[YearsAtCompany]]&gt;5,"&gt;5 Years")</f>
        <v>2-3 Years</v>
      </c>
    </row>
    <row r="1369" spans="1:39" hidden="1" x14ac:dyDescent="0.45">
      <c r="A1369">
        <v>27</v>
      </c>
      <c r="B1369" t="s">
        <v>43</v>
      </c>
      <c r="C1369" t="s">
        <v>64</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_xlfn.IFS(Table1[[#This Row],[Age]]&lt;30,"Young",Table1[[#This Row],[Age]]&lt;=40,"Adult",Table1[[#This Row],[Age]]&gt;40,"Senior")</f>
        <v>Young</v>
      </c>
      <c r="AK1369" t="str" cm="1">
        <f t="array" ref="AK1369">_xlfn.IFS(Table1[[#This Row],[MonthlyIncome]]&lt;5000,"Low",Table1[[#This Row],[MonthlyIncome]]&lt;10000,"Medium",Table1[[#This Row],[MonthlyIncome]]&gt;10000,"High")</f>
        <v>Low</v>
      </c>
      <c r="AL1369" t="str" cm="1">
        <f t="array" ref="AL1369">_xlfn.IFS(Table1[[#This Row],[Attrition]]="Yes","Resigned",Table1[[#This Row],[Attrition]]="No","Active")</f>
        <v>Active</v>
      </c>
      <c r="AM1369" t="str" cm="1">
        <f t="array" ref="AM1369">_xlfn.IFS(Table1[[#This Row],[YearsAtCompany]]&lt;=1,"0-1 Year",Table1[[#This Row],[YearsAtCompany]]&lt;=2,"1-2 Years",Table1[[#This Row],[YearsAtCompany]]&lt;=3,"2-3 Years",Table1[[#This Row],[YearsAtCompany]]&lt;=4,"3-4 Years",Table1[[#This Row],[YearsAtCompany]]&lt;=5,"4-5 Years",Table1[[#This Row],[YearsAtCompany]]&gt;5,"&gt;5 Years")</f>
        <v>4-5 Years</v>
      </c>
    </row>
    <row r="1370" spans="1:39" hidden="1" x14ac:dyDescent="0.45">
      <c r="A1370">
        <v>34</v>
      </c>
      <c r="B1370" t="s">
        <v>43</v>
      </c>
      <c r="C1370" t="s">
        <v>63</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_xlfn.IFS(Table1[[#This Row],[Age]]&lt;30,"Young",Table1[[#This Row],[Age]]&lt;=40,"Adult",Table1[[#This Row],[Age]]&gt;40,"Senior")</f>
        <v>Adult</v>
      </c>
      <c r="AK1370" t="str" cm="1">
        <f t="array" ref="AK1370">_xlfn.IFS(Table1[[#This Row],[MonthlyIncome]]&lt;5000,"Low",Table1[[#This Row],[MonthlyIncome]]&lt;10000,"Medium",Table1[[#This Row],[MonthlyIncome]]&gt;10000,"High")</f>
        <v>Medium</v>
      </c>
      <c r="AL1370" t="str" cm="1">
        <f t="array" ref="AL1370">_xlfn.IFS(Table1[[#This Row],[Attrition]]="Yes","Resigned",Table1[[#This Row],[Attrition]]="No","Active")</f>
        <v>Active</v>
      </c>
      <c r="AM1370" t="str" cm="1">
        <f t="array" ref="AM1370">_xlfn.IFS(Table1[[#This Row],[YearsAtCompany]]&lt;=1,"0-1 Year",Table1[[#This Row],[YearsAtCompany]]&lt;=2,"1-2 Years",Table1[[#This Row],[YearsAtCompany]]&lt;=3,"2-3 Years",Table1[[#This Row],[YearsAtCompany]]&lt;=4,"3-4 Years",Table1[[#This Row],[YearsAtCompany]]&lt;=5,"4-5 Years",Table1[[#This Row],[YearsAtCompany]]&gt;5,"&gt;5 Years")</f>
        <v>&gt;5 Years</v>
      </c>
    </row>
    <row r="1371" spans="1:39" x14ac:dyDescent="0.45">
      <c r="A1371">
        <v>28</v>
      </c>
      <c r="B1371" t="s">
        <v>35</v>
      </c>
      <c r="C1371" t="s">
        <v>64</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_xlfn.IFS(Table1[[#This Row],[Age]]&lt;30,"Young",Table1[[#This Row],[Age]]&lt;=40,"Adult",Table1[[#This Row],[Age]]&gt;40,"Senior")</f>
        <v>Young</v>
      </c>
      <c r="AK1371" t="str" cm="1">
        <f t="array" ref="AK1371">_xlfn.IFS(Table1[[#This Row],[MonthlyIncome]]&lt;5000,"Low",Table1[[#This Row],[MonthlyIncome]]&lt;10000,"Medium",Table1[[#This Row],[MonthlyIncome]]&gt;10000,"High")</f>
        <v>Medium</v>
      </c>
      <c r="AL1371" t="str" cm="1">
        <f t="array" ref="AL1371">_xlfn.IFS(Table1[[#This Row],[Attrition]]="Yes","Resigned",Table1[[#This Row],[Attrition]]="No","Active")</f>
        <v>Resigned</v>
      </c>
      <c r="AM1371" t="str" cm="1">
        <f t="array" ref="AM1371">_xlfn.IFS(Table1[[#This Row],[YearsAtCompany]]&lt;=1,"0-1 Year",Table1[[#This Row],[YearsAtCompany]]&lt;=2,"1-2 Years",Table1[[#This Row],[YearsAtCompany]]&lt;=3,"2-3 Years",Table1[[#This Row],[YearsAtCompany]]&lt;=4,"3-4 Years",Table1[[#This Row],[YearsAtCompany]]&lt;=5,"4-5 Years",Table1[[#This Row],[YearsAtCompany]]&gt;5,"&gt;5 Years")</f>
        <v>1-2 Years</v>
      </c>
    </row>
    <row r="1372" spans="1:39" hidden="1" x14ac:dyDescent="0.45">
      <c r="A1372">
        <v>47</v>
      </c>
      <c r="B1372" t="s">
        <v>43</v>
      </c>
      <c r="C1372" t="s">
        <v>62</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_xlfn.IFS(Table1[[#This Row],[Age]]&lt;30,"Young",Table1[[#This Row],[Age]]&lt;=40,"Adult",Table1[[#This Row],[Age]]&gt;40,"Senior")</f>
        <v>Senior</v>
      </c>
      <c r="AK1372" t="str" cm="1">
        <f t="array" ref="AK1372">_xlfn.IFS(Table1[[#This Row],[MonthlyIncome]]&lt;5000,"Low",Table1[[#This Row],[MonthlyIncome]]&lt;10000,"Medium",Table1[[#This Row],[MonthlyIncome]]&gt;10000,"High")</f>
        <v>Medium</v>
      </c>
      <c r="AL1372" t="str" cm="1">
        <f t="array" ref="AL1372">_xlfn.IFS(Table1[[#This Row],[Attrition]]="Yes","Resigned",Table1[[#This Row],[Attrition]]="No","Active")</f>
        <v>Active</v>
      </c>
      <c r="AM1372" t="str" cm="1">
        <f t="array" ref="AM1372">_xlfn.IFS(Table1[[#This Row],[YearsAtCompany]]&lt;=1,"0-1 Year",Table1[[#This Row],[YearsAtCompany]]&lt;=2,"1-2 Years",Table1[[#This Row],[YearsAtCompany]]&lt;=3,"2-3 Years",Table1[[#This Row],[YearsAtCompany]]&lt;=4,"3-4 Years",Table1[[#This Row],[YearsAtCompany]]&lt;=5,"4-5 Years",Table1[[#This Row],[YearsAtCompany]]&gt;5,"&gt;5 Years")</f>
        <v>&gt;5 Years</v>
      </c>
    </row>
    <row r="1373" spans="1:39" x14ac:dyDescent="0.45">
      <c r="A1373">
        <v>56</v>
      </c>
      <c r="B1373" t="s">
        <v>43</v>
      </c>
      <c r="C1373" t="s">
        <v>64</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_xlfn.IFS(Table1[[#This Row],[Age]]&lt;30,"Young",Table1[[#This Row],[Age]]&lt;=40,"Adult",Table1[[#This Row],[Age]]&gt;40,"Senior")</f>
        <v>Senior</v>
      </c>
      <c r="AK1373" t="str" cm="1">
        <f t="array" ref="AK1373">_xlfn.IFS(Table1[[#This Row],[MonthlyIncome]]&lt;5000,"Low",Table1[[#This Row],[MonthlyIncome]]&lt;10000,"Medium",Table1[[#This Row],[MonthlyIncome]]&gt;10000,"High")</f>
        <v>Medium</v>
      </c>
      <c r="AL1373" t="str" cm="1">
        <f t="array" ref="AL1373">_xlfn.IFS(Table1[[#This Row],[Attrition]]="Yes","Resigned",Table1[[#This Row],[Attrition]]="No","Active")</f>
        <v>Active</v>
      </c>
      <c r="AM1373" t="str" cm="1">
        <f t="array" ref="AM1373">_xlfn.IFS(Table1[[#This Row],[YearsAtCompany]]&lt;=1,"0-1 Year",Table1[[#This Row],[YearsAtCompany]]&lt;=2,"1-2 Years",Table1[[#This Row],[YearsAtCompany]]&lt;=3,"2-3 Years",Table1[[#This Row],[YearsAtCompany]]&lt;=4,"3-4 Years",Table1[[#This Row],[YearsAtCompany]]&lt;=5,"4-5 Years",Table1[[#This Row],[YearsAtCompany]]&gt;5,"&gt;5 Years")</f>
        <v>0-1 Year</v>
      </c>
    </row>
    <row r="1374" spans="1:39" hidden="1" x14ac:dyDescent="0.45">
      <c r="A1374">
        <v>39</v>
      </c>
      <c r="B1374" t="s">
        <v>43</v>
      </c>
      <c r="C1374" t="s">
        <v>64</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_xlfn.IFS(Table1[[#This Row],[Age]]&lt;30,"Young",Table1[[#This Row],[Age]]&lt;=40,"Adult",Table1[[#This Row],[Age]]&gt;40,"Senior")</f>
        <v>Adult</v>
      </c>
      <c r="AK1374" t="str" cm="1">
        <f t="array" ref="AK1374">_xlfn.IFS(Table1[[#This Row],[MonthlyIncome]]&lt;5000,"Low",Table1[[#This Row],[MonthlyIncome]]&lt;10000,"Medium",Table1[[#This Row],[MonthlyIncome]]&gt;10000,"High")</f>
        <v>Medium</v>
      </c>
      <c r="AL1374" t="str" cm="1">
        <f t="array" ref="AL1374">_xlfn.IFS(Table1[[#This Row],[Attrition]]="Yes","Resigned",Table1[[#This Row],[Attrition]]="No","Active")</f>
        <v>Active</v>
      </c>
      <c r="AM1374" t="str" cm="1">
        <f t="array" ref="AM1374">_xlfn.IFS(Table1[[#This Row],[YearsAtCompany]]&lt;=1,"0-1 Year",Table1[[#This Row],[YearsAtCompany]]&lt;=2,"1-2 Years",Table1[[#This Row],[YearsAtCompany]]&lt;=3,"2-3 Years",Table1[[#This Row],[YearsAtCompany]]&lt;=4,"3-4 Years",Table1[[#This Row],[YearsAtCompany]]&lt;=5,"4-5 Years",Table1[[#This Row],[YearsAtCompany]]&gt;5,"&gt;5 Years")</f>
        <v>&gt;5 Years</v>
      </c>
    </row>
    <row r="1375" spans="1:39" hidden="1" x14ac:dyDescent="0.45">
      <c r="A1375">
        <v>38</v>
      </c>
      <c r="B1375" t="s">
        <v>43</v>
      </c>
      <c r="C1375" t="s">
        <v>63</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_xlfn.IFS(Table1[[#This Row],[Age]]&lt;30,"Young",Table1[[#This Row],[Age]]&lt;=40,"Adult",Table1[[#This Row],[Age]]&gt;40,"Senior")</f>
        <v>Adult</v>
      </c>
      <c r="AK1375" t="str" cm="1">
        <f t="array" ref="AK1375">_xlfn.IFS(Table1[[#This Row],[MonthlyIncome]]&lt;5000,"Low",Table1[[#This Row],[MonthlyIncome]]&lt;10000,"Medium",Table1[[#This Row],[MonthlyIncome]]&gt;10000,"High")</f>
        <v>Low</v>
      </c>
      <c r="AL1375" t="str" cm="1">
        <f t="array" ref="AL1375">_xlfn.IFS(Table1[[#This Row],[Attrition]]="Yes","Resigned",Table1[[#This Row],[Attrition]]="No","Active")</f>
        <v>Active</v>
      </c>
      <c r="AM1375" t="str" cm="1">
        <f t="array" ref="AM1375">_xlfn.IFS(Table1[[#This Row],[YearsAtCompany]]&lt;=1,"0-1 Year",Table1[[#This Row],[YearsAtCompany]]&lt;=2,"1-2 Years",Table1[[#This Row],[YearsAtCompany]]&lt;=3,"2-3 Years",Table1[[#This Row],[YearsAtCompany]]&lt;=4,"3-4 Years",Table1[[#This Row],[YearsAtCompany]]&lt;=5,"4-5 Years",Table1[[#This Row],[YearsAtCompany]]&gt;5,"&gt;5 Years")</f>
        <v>&gt;5 Years</v>
      </c>
    </row>
    <row r="1376" spans="1:39" x14ac:dyDescent="0.45">
      <c r="A1376">
        <v>58</v>
      </c>
      <c r="B1376" t="s">
        <v>43</v>
      </c>
      <c r="C1376" t="s">
        <v>64</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_xlfn.IFS(Table1[[#This Row],[Age]]&lt;30,"Young",Table1[[#This Row],[Age]]&lt;=40,"Adult",Table1[[#This Row],[Age]]&gt;40,"Senior")</f>
        <v>Senior</v>
      </c>
      <c r="AK1376" t="str" cm="1">
        <f t="array" ref="AK1376">_xlfn.IFS(Table1[[#This Row],[MonthlyIncome]]&lt;5000,"Low",Table1[[#This Row],[MonthlyIncome]]&lt;10000,"Medium",Table1[[#This Row],[MonthlyIncome]]&gt;10000,"High")</f>
        <v>High</v>
      </c>
      <c r="AL1376" t="str" cm="1">
        <f t="array" ref="AL1376">_xlfn.IFS(Table1[[#This Row],[Attrition]]="Yes","Resigned",Table1[[#This Row],[Attrition]]="No","Active")</f>
        <v>Active</v>
      </c>
      <c r="AM1376" t="str" cm="1">
        <f t="array" ref="AM1376">_xlfn.IFS(Table1[[#This Row],[YearsAtCompany]]&lt;=1,"0-1 Year",Table1[[#This Row],[YearsAtCompany]]&lt;=2,"1-2 Years",Table1[[#This Row],[YearsAtCompany]]&lt;=3,"2-3 Years",Table1[[#This Row],[YearsAtCompany]]&lt;=4,"3-4 Years",Table1[[#This Row],[YearsAtCompany]]&lt;=5,"4-5 Years",Table1[[#This Row],[YearsAtCompany]]&gt;5,"&gt;5 Years")</f>
        <v>0-1 Year</v>
      </c>
    </row>
    <row r="1377" spans="1:39" hidden="1" x14ac:dyDescent="0.45">
      <c r="A1377">
        <v>32</v>
      </c>
      <c r="B1377" t="s">
        <v>35</v>
      </c>
      <c r="C1377" t="s">
        <v>63</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_xlfn.IFS(Table1[[#This Row],[Age]]&lt;30,"Young",Table1[[#This Row],[Age]]&lt;=40,"Adult",Table1[[#This Row],[Age]]&gt;40,"Senior")</f>
        <v>Adult</v>
      </c>
      <c r="AK1377" t="str" cm="1">
        <f t="array" ref="AK1377">_xlfn.IFS(Table1[[#This Row],[MonthlyIncome]]&lt;5000,"Low",Table1[[#This Row],[MonthlyIncome]]&lt;10000,"Medium",Table1[[#This Row],[MonthlyIncome]]&gt;10000,"High")</f>
        <v>Low</v>
      </c>
      <c r="AL1377" t="str" cm="1">
        <f t="array" ref="AL1377">_xlfn.IFS(Table1[[#This Row],[Attrition]]="Yes","Resigned",Table1[[#This Row],[Attrition]]="No","Active")</f>
        <v>Resigned</v>
      </c>
      <c r="AM1377" t="str" cm="1">
        <f t="array" ref="AM1377">_xlfn.IFS(Table1[[#This Row],[YearsAtCompany]]&lt;=1,"0-1 Year",Table1[[#This Row],[YearsAtCompany]]&lt;=2,"1-2 Years",Table1[[#This Row],[YearsAtCompany]]&lt;=3,"2-3 Years",Table1[[#This Row],[YearsAtCompany]]&lt;=4,"3-4 Years",Table1[[#This Row],[YearsAtCompany]]&lt;=5,"4-5 Years",Table1[[#This Row],[YearsAtCompany]]&gt;5,"&gt;5 Years")</f>
        <v>3-4 Years</v>
      </c>
    </row>
    <row r="1378" spans="1:39" hidden="1" x14ac:dyDescent="0.45">
      <c r="A1378">
        <v>38</v>
      </c>
      <c r="B1378" t="s">
        <v>43</v>
      </c>
      <c r="C1378" t="s">
        <v>64</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_xlfn.IFS(Table1[[#This Row],[Age]]&lt;30,"Young",Table1[[#This Row],[Age]]&lt;=40,"Adult",Table1[[#This Row],[Age]]&gt;40,"Senior")</f>
        <v>Adult</v>
      </c>
      <c r="AK1378" t="str" cm="1">
        <f t="array" ref="AK1378">_xlfn.IFS(Table1[[#This Row],[MonthlyIncome]]&lt;5000,"Low",Table1[[#This Row],[MonthlyIncome]]&lt;10000,"Medium",Table1[[#This Row],[MonthlyIncome]]&gt;10000,"High")</f>
        <v>Low</v>
      </c>
      <c r="AL1378" t="str" cm="1">
        <f t="array" ref="AL1378">_xlfn.IFS(Table1[[#This Row],[Attrition]]="Yes","Resigned",Table1[[#This Row],[Attrition]]="No","Active")</f>
        <v>Active</v>
      </c>
      <c r="AM1378" t="str" cm="1">
        <f t="array" ref="AM1378">_xlfn.IFS(Table1[[#This Row],[YearsAtCompany]]&lt;=1,"0-1 Year",Table1[[#This Row],[YearsAtCompany]]&lt;=2,"1-2 Years",Table1[[#This Row],[YearsAtCompany]]&lt;=3,"2-3 Years",Table1[[#This Row],[YearsAtCompany]]&lt;=4,"3-4 Years",Table1[[#This Row],[YearsAtCompany]]&lt;=5,"4-5 Years",Table1[[#This Row],[YearsAtCompany]]&gt;5,"&gt;5 Years")</f>
        <v>4-5 Years</v>
      </c>
    </row>
    <row r="1379" spans="1:39" hidden="1" x14ac:dyDescent="0.45">
      <c r="A1379">
        <v>49</v>
      </c>
      <c r="B1379" t="s">
        <v>43</v>
      </c>
      <c r="C1379" t="s">
        <v>63</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_xlfn.IFS(Table1[[#This Row],[Age]]&lt;30,"Young",Table1[[#This Row],[Age]]&lt;=40,"Adult",Table1[[#This Row],[Age]]&gt;40,"Senior")</f>
        <v>Senior</v>
      </c>
      <c r="AK1379" t="str" cm="1">
        <f t="array" ref="AK1379">_xlfn.IFS(Table1[[#This Row],[MonthlyIncome]]&lt;5000,"Low",Table1[[#This Row],[MonthlyIncome]]&lt;10000,"Medium",Table1[[#This Row],[MonthlyIncome]]&gt;10000,"High")</f>
        <v>High</v>
      </c>
      <c r="AL1379" t="str" cm="1">
        <f t="array" ref="AL1379">_xlfn.IFS(Table1[[#This Row],[Attrition]]="Yes","Resigned",Table1[[#This Row],[Attrition]]="No","Active")</f>
        <v>Active</v>
      </c>
      <c r="AM1379" t="str" cm="1">
        <f t="array" ref="AM1379">_xlfn.IFS(Table1[[#This Row],[YearsAtCompany]]&lt;=1,"0-1 Year",Table1[[#This Row],[YearsAtCompany]]&lt;=2,"1-2 Years",Table1[[#This Row],[YearsAtCompany]]&lt;=3,"2-3 Years",Table1[[#This Row],[YearsAtCompany]]&lt;=4,"3-4 Years",Table1[[#This Row],[YearsAtCompany]]&lt;=5,"4-5 Years",Table1[[#This Row],[YearsAtCompany]]&gt;5,"&gt;5 Years")</f>
        <v>4-5 Years</v>
      </c>
    </row>
    <row r="1380" spans="1:39" x14ac:dyDescent="0.45">
      <c r="A1380">
        <v>42</v>
      </c>
      <c r="B1380" t="s">
        <v>43</v>
      </c>
      <c r="C1380" t="s">
        <v>64</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_xlfn.IFS(Table1[[#This Row],[Age]]&lt;30,"Young",Table1[[#This Row],[Age]]&lt;=40,"Adult",Table1[[#This Row],[Age]]&gt;40,"Senior")</f>
        <v>Senior</v>
      </c>
      <c r="AK1380" t="str" cm="1">
        <f t="array" ref="AK1380">_xlfn.IFS(Table1[[#This Row],[MonthlyIncome]]&lt;5000,"Low",Table1[[#This Row],[MonthlyIncome]]&lt;10000,"Medium",Table1[[#This Row],[MonthlyIncome]]&gt;10000,"High")</f>
        <v>Medium</v>
      </c>
      <c r="AL1380" t="str" cm="1">
        <f t="array" ref="AL1380">_xlfn.IFS(Table1[[#This Row],[Attrition]]="Yes","Resigned",Table1[[#This Row],[Attrition]]="No","Active")</f>
        <v>Active</v>
      </c>
      <c r="AM1380" t="str" cm="1">
        <f t="array" ref="AM1380">_xlfn.IFS(Table1[[#This Row],[YearsAtCompany]]&lt;=1,"0-1 Year",Table1[[#This Row],[YearsAtCompany]]&lt;=2,"1-2 Years",Table1[[#This Row],[YearsAtCompany]]&lt;=3,"2-3 Years",Table1[[#This Row],[YearsAtCompany]]&lt;=4,"3-4 Years",Table1[[#This Row],[YearsAtCompany]]&lt;=5,"4-5 Years",Table1[[#This Row],[YearsAtCompany]]&gt;5,"&gt;5 Years")</f>
        <v>0-1 Year</v>
      </c>
    </row>
    <row r="1381" spans="1:39" hidden="1" x14ac:dyDescent="0.45">
      <c r="A1381">
        <v>27</v>
      </c>
      <c r="B1381" t="s">
        <v>35</v>
      </c>
      <c r="C1381" t="s">
        <v>63</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_xlfn.IFS(Table1[[#This Row],[Age]]&lt;30,"Young",Table1[[#This Row],[Age]]&lt;=40,"Adult",Table1[[#This Row],[Age]]&gt;40,"Senior")</f>
        <v>Young</v>
      </c>
      <c r="AK1381" t="str" cm="1">
        <f t="array" ref="AK1381">_xlfn.IFS(Table1[[#This Row],[MonthlyIncome]]&lt;5000,"Low",Table1[[#This Row],[MonthlyIncome]]&lt;10000,"Medium",Table1[[#This Row],[MonthlyIncome]]&gt;10000,"High")</f>
        <v>Low</v>
      </c>
      <c r="AL1381" t="str" cm="1">
        <f t="array" ref="AL1381">_xlfn.IFS(Table1[[#This Row],[Attrition]]="Yes","Resigned",Table1[[#This Row],[Attrition]]="No","Active")</f>
        <v>Resigned</v>
      </c>
      <c r="AM1381" t="str" cm="1">
        <f t="array" ref="AM1381">_xlfn.IFS(Table1[[#This Row],[YearsAtCompany]]&lt;=1,"0-1 Year",Table1[[#This Row],[YearsAtCompany]]&lt;=2,"1-2 Years",Table1[[#This Row],[YearsAtCompany]]&lt;=3,"2-3 Years",Table1[[#This Row],[YearsAtCompany]]&lt;=4,"3-4 Years",Table1[[#This Row],[YearsAtCompany]]&lt;=5,"4-5 Years",Table1[[#This Row],[YearsAtCompany]]&gt;5,"&gt;5 Years")</f>
        <v>0-1 Year</v>
      </c>
    </row>
    <row r="1382" spans="1:39" x14ac:dyDescent="0.45">
      <c r="A1382">
        <v>35</v>
      </c>
      <c r="B1382" t="s">
        <v>43</v>
      </c>
      <c r="C1382" t="s">
        <v>64</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_xlfn.IFS(Table1[[#This Row],[Age]]&lt;30,"Young",Table1[[#This Row],[Age]]&lt;=40,"Adult",Table1[[#This Row],[Age]]&gt;40,"Senior")</f>
        <v>Adult</v>
      </c>
      <c r="AK1382" t="str" cm="1">
        <f t="array" ref="AK1382">_xlfn.IFS(Table1[[#This Row],[MonthlyIncome]]&lt;5000,"Low",Table1[[#This Row],[MonthlyIncome]]&lt;10000,"Medium",Table1[[#This Row],[MonthlyIncome]]&gt;10000,"High")</f>
        <v>Medium</v>
      </c>
      <c r="AL1382" t="str" cm="1">
        <f t="array" ref="AL1382">_xlfn.IFS(Table1[[#This Row],[Attrition]]="Yes","Resigned",Table1[[#This Row],[Attrition]]="No","Active")</f>
        <v>Active</v>
      </c>
      <c r="AM1382" t="str" cm="1">
        <f t="array" ref="AM1382">_xlfn.IFS(Table1[[#This Row],[YearsAtCompany]]&lt;=1,"0-1 Year",Table1[[#This Row],[YearsAtCompany]]&lt;=2,"1-2 Years",Table1[[#This Row],[YearsAtCompany]]&lt;=3,"2-3 Years",Table1[[#This Row],[YearsAtCompany]]&lt;=4,"3-4 Years",Table1[[#This Row],[YearsAtCompany]]&lt;=5,"4-5 Years",Table1[[#This Row],[YearsAtCompany]]&gt;5,"&gt;5 Years")</f>
        <v>4-5 Years</v>
      </c>
    </row>
    <row r="1383" spans="1:39" hidden="1" x14ac:dyDescent="0.45">
      <c r="A1383">
        <v>28</v>
      </c>
      <c r="B1383" t="s">
        <v>43</v>
      </c>
      <c r="C1383" t="s">
        <v>62</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_xlfn.IFS(Table1[[#This Row],[Age]]&lt;30,"Young",Table1[[#This Row],[Age]]&lt;=40,"Adult",Table1[[#This Row],[Age]]&gt;40,"Senior")</f>
        <v>Young</v>
      </c>
      <c r="AK1383" t="str" cm="1">
        <f t="array" ref="AK1383">_xlfn.IFS(Table1[[#This Row],[MonthlyIncome]]&lt;5000,"Low",Table1[[#This Row],[MonthlyIncome]]&lt;10000,"Medium",Table1[[#This Row],[MonthlyIncome]]&gt;10000,"High")</f>
        <v>Low</v>
      </c>
      <c r="AL1383" t="str" cm="1">
        <f t="array" ref="AL1383">_xlfn.IFS(Table1[[#This Row],[Attrition]]="Yes","Resigned",Table1[[#This Row],[Attrition]]="No","Active")</f>
        <v>Active</v>
      </c>
      <c r="AM1383" t="str" cm="1">
        <f t="array" ref="AM1383">_xlfn.IFS(Table1[[#This Row],[YearsAtCompany]]&lt;=1,"0-1 Year",Table1[[#This Row],[YearsAtCompany]]&lt;=2,"1-2 Years",Table1[[#This Row],[YearsAtCompany]]&lt;=3,"2-3 Years",Table1[[#This Row],[YearsAtCompany]]&lt;=4,"3-4 Years",Table1[[#This Row],[YearsAtCompany]]&lt;=5,"4-5 Years",Table1[[#This Row],[YearsAtCompany]]&gt;5,"&gt;5 Years")</f>
        <v>4-5 Years</v>
      </c>
    </row>
    <row r="1384" spans="1:39" hidden="1" x14ac:dyDescent="0.45">
      <c r="A1384">
        <v>31</v>
      </c>
      <c r="B1384" t="s">
        <v>43</v>
      </c>
      <c r="C1384" t="s">
        <v>62</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_xlfn.IFS(Table1[[#This Row],[Age]]&lt;30,"Young",Table1[[#This Row],[Age]]&lt;=40,"Adult",Table1[[#This Row],[Age]]&gt;40,"Senior")</f>
        <v>Adult</v>
      </c>
      <c r="AK1384" t="str" cm="1">
        <f t="array" ref="AK1384">_xlfn.IFS(Table1[[#This Row],[MonthlyIncome]]&lt;5000,"Low",Table1[[#This Row],[MonthlyIncome]]&lt;10000,"Medium",Table1[[#This Row],[MonthlyIncome]]&gt;10000,"High")</f>
        <v>Low</v>
      </c>
      <c r="AL1384" t="str" cm="1">
        <f t="array" ref="AL1384">_xlfn.IFS(Table1[[#This Row],[Attrition]]="Yes","Resigned",Table1[[#This Row],[Attrition]]="No","Active")</f>
        <v>Active</v>
      </c>
      <c r="AM1384" t="str" cm="1">
        <f t="array" ref="AM1384">_xlfn.IFS(Table1[[#This Row],[YearsAtCompany]]&lt;=1,"0-1 Year",Table1[[#This Row],[YearsAtCompany]]&lt;=2,"1-2 Years",Table1[[#This Row],[YearsAtCompany]]&lt;=3,"2-3 Years",Table1[[#This Row],[YearsAtCompany]]&lt;=4,"3-4 Years",Table1[[#This Row],[YearsAtCompany]]&lt;=5,"4-5 Years",Table1[[#This Row],[YearsAtCompany]]&gt;5,"&gt;5 Years")</f>
        <v>3-4 Years</v>
      </c>
    </row>
    <row r="1385" spans="1:39" hidden="1" x14ac:dyDescent="0.45">
      <c r="A1385">
        <v>36</v>
      </c>
      <c r="B1385" t="s">
        <v>43</v>
      </c>
      <c r="C1385" t="s">
        <v>62</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_xlfn.IFS(Table1[[#This Row],[Age]]&lt;30,"Young",Table1[[#This Row],[Age]]&lt;=40,"Adult",Table1[[#This Row],[Age]]&gt;40,"Senior")</f>
        <v>Adult</v>
      </c>
      <c r="AK1385" t="str" cm="1">
        <f t="array" ref="AK1385">_xlfn.IFS(Table1[[#This Row],[MonthlyIncome]]&lt;5000,"Low",Table1[[#This Row],[MonthlyIncome]]&lt;10000,"Medium",Table1[[#This Row],[MonthlyIncome]]&gt;10000,"High")</f>
        <v>Low</v>
      </c>
      <c r="AL1385" t="str" cm="1">
        <f t="array" ref="AL1385">_xlfn.IFS(Table1[[#This Row],[Attrition]]="Yes","Resigned",Table1[[#This Row],[Attrition]]="No","Active")</f>
        <v>Active</v>
      </c>
      <c r="AM1385" t="str" cm="1">
        <f t="array" ref="AM1385">_xlfn.IFS(Table1[[#This Row],[YearsAtCompany]]&lt;=1,"0-1 Year",Table1[[#This Row],[YearsAtCompany]]&lt;=2,"1-2 Years",Table1[[#This Row],[YearsAtCompany]]&lt;=3,"2-3 Years",Table1[[#This Row],[YearsAtCompany]]&lt;=4,"3-4 Years",Table1[[#This Row],[YearsAtCompany]]&lt;=5,"4-5 Years",Table1[[#This Row],[YearsAtCompany]]&gt;5,"&gt;5 Years")</f>
        <v>4-5 Years</v>
      </c>
    </row>
    <row r="1386" spans="1:39" x14ac:dyDescent="0.45">
      <c r="A1386">
        <v>34</v>
      </c>
      <c r="B1386" t="s">
        <v>43</v>
      </c>
      <c r="C1386" t="s">
        <v>64</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_xlfn.IFS(Table1[[#This Row],[Age]]&lt;30,"Young",Table1[[#This Row],[Age]]&lt;=40,"Adult",Table1[[#This Row],[Age]]&gt;40,"Senior")</f>
        <v>Adult</v>
      </c>
      <c r="AK1386" t="str" cm="1">
        <f t="array" ref="AK1386">_xlfn.IFS(Table1[[#This Row],[MonthlyIncome]]&lt;5000,"Low",Table1[[#This Row],[MonthlyIncome]]&lt;10000,"Medium",Table1[[#This Row],[MonthlyIncome]]&gt;10000,"High")</f>
        <v>Medium</v>
      </c>
      <c r="AL1386" t="str" cm="1">
        <f t="array" ref="AL1386">_xlfn.IFS(Table1[[#This Row],[Attrition]]="Yes","Resigned",Table1[[#This Row],[Attrition]]="No","Active")</f>
        <v>Active</v>
      </c>
      <c r="AM1386" t="str" cm="1">
        <f t="array" ref="AM1386">_xlfn.IFS(Table1[[#This Row],[YearsAtCompany]]&lt;=1,"0-1 Year",Table1[[#This Row],[YearsAtCompany]]&lt;=2,"1-2 Years",Table1[[#This Row],[YearsAtCompany]]&lt;=3,"2-3 Years",Table1[[#This Row],[YearsAtCompany]]&lt;=4,"3-4 Years",Table1[[#This Row],[YearsAtCompany]]&lt;=5,"4-5 Years",Table1[[#This Row],[YearsAtCompany]]&gt;5,"&gt;5 Years")</f>
        <v>&gt;5 Years</v>
      </c>
    </row>
    <row r="1387" spans="1:39" x14ac:dyDescent="0.45">
      <c r="A1387">
        <v>34</v>
      </c>
      <c r="B1387" t="s">
        <v>43</v>
      </c>
      <c r="C1387" t="s">
        <v>64</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_xlfn.IFS(Table1[[#This Row],[Age]]&lt;30,"Young",Table1[[#This Row],[Age]]&lt;=40,"Adult",Table1[[#This Row],[Age]]&gt;40,"Senior")</f>
        <v>Adult</v>
      </c>
      <c r="AK1387" t="str" cm="1">
        <f t="array" ref="AK1387">_xlfn.IFS(Table1[[#This Row],[MonthlyIncome]]&lt;5000,"Low",Table1[[#This Row],[MonthlyIncome]]&lt;10000,"Medium",Table1[[#This Row],[MonthlyIncome]]&gt;10000,"High")</f>
        <v>Medium</v>
      </c>
      <c r="AL1387" t="str" cm="1">
        <f t="array" ref="AL1387">_xlfn.IFS(Table1[[#This Row],[Attrition]]="Yes","Resigned",Table1[[#This Row],[Attrition]]="No","Active")</f>
        <v>Active</v>
      </c>
      <c r="AM1387" t="str" cm="1">
        <f t="array" ref="AM1387">_xlfn.IFS(Table1[[#This Row],[YearsAtCompany]]&lt;=1,"0-1 Year",Table1[[#This Row],[YearsAtCompany]]&lt;=2,"1-2 Years",Table1[[#This Row],[YearsAtCompany]]&lt;=3,"2-3 Years",Table1[[#This Row],[YearsAtCompany]]&lt;=4,"3-4 Years",Table1[[#This Row],[YearsAtCompany]]&lt;=5,"4-5 Years",Table1[[#This Row],[YearsAtCompany]]&gt;5,"&gt;5 Years")</f>
        <v>&gt;5 Years</v>
      </c>
    </row>
    <row r="1388" spans="1:39" hidden="1" x14ac:dyDescent="0.45">
      <c r="A1388">
        <v>26</v>
      </c>
      <c r="B1388" t="s">
        <v>43</v>
      </c>
      <c r="C1388" t="s">
        <v>64</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_xlfn.IFS(Table1[[#This Row],[Age]]&lt;30,"Young",Table1[[#This Row],[Age]]&lt;=40,"Adult",Table1[[#This Row],[Age]]&gt;40,"Senior")</f>
        <v>Young</v>
      </c>
      <c r="AK1388" t="str" cm="1">
        <f t="array" ref="AK1388">_xlfn.IFS(Table1[[#This Row],[MonthlyIncome]]&lt;5000,"Low",Table1[[#This Row],[MonthlyIncome]]&lt;10000,"Medium",Table1[[#This Row],[MonthlyIncome]]&gt;10000,"High")</f>
        <v>Low</v>
      </c>
      <c r="AL1388" t="str" cm="1">
        <f t="array" ref="AL1388">_xlfn.IFS(Table1[[#This Row],[Attrition]]="Yes","Resigned",Table1[[#This Row],[Attrition]]="No","Active")</f>
        <v>Active</v>
      </c>
      <c r="AM1388" t="str" cm="1">
        <f t="array" ref="AM1388">_xlfn.IFS(Table1[[#This Row],[YearsAtCompany]]&lt;=1,"0-1 Year",Table1[[#This Row],[YearsAtCompany]]&lt;=2,"1-2 Years",Table1[[#This Row],[YearsAtCompany]]&lt;=3,"2-3 Years",Table1[[#This Row],[YearsAtCompany]]&lt;=4,"3-4 Years",Table1[[#This Row],[YearsAtCompany]]&lt;=5,"4-5 Years",Table1[[#This Row],[YearsAtCompany]]&gt;5,"&gt;5 Years")</f>
        <v>&gt;5 Years</v>
      </c>
    </row>
    <row r="1389" spans="1:39" hidden="1" x14ac:dyDescent="0.45">
      <c r="A1389">
        <v>29</v>
      </c>
      <c r="B1389" t="s">
        <v>43</v>
      </c>
      <c r="C1389" t="s">
        <v>64</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_xlfn.IFS(Table1[[#This Row],[Age]]&lt;30,"Young",Table1[[#This Row],[Age]]&lt;=40,"Adult",Table1[[#This Row],[Age]]&gt;40,"Senior")</f>
        <v>Young</v>
      </c>
      <c r="AK1389" t="str" cm="1">
        <f t="array" ref="AK1389">_xlfn.IFS(Table1[[#This Row],[MonthlyIncome]]&lt;5000,"Low",Table1[[#This Row],[MonthlyIncome]]&lt;10000,"Medium",Table1[[#This Row],[MonthlyIncome]]&gt;10000,"High")</f>
        <v>Medium</v>
      </c>
      <c r="AL1389" t="str" cm="1">
        <f t="array" ref="AL1389">_xlfn.IFS(Table1[[#This Row],[Attrition]]="Yes","Resigned",Table1[[#This Row],[Attrition]]="No","Active")</f>
        <v>Active</v>
      </c>
      <c r="AM1389" t="str" cm="1">
        <f t="array" ref="AM1389">_xlfn.IFS(Table1[[#This Row],[YearsAtCompany]]&lt;=1,"0-1 Year",Table1[[#This Row],[YearsAtCompany]]&lt;=2,"1-2 Years",Table1[[#This Row],[YearsAtCompany]]&lt;=3,"2-3 Years",Table1[[#This Row],[YearsAtCompany]]&lt;=4,"3-4 Years",Table1[[#This Row],[YearsAtCompany]]&lt;=5,"4-5 Years",Table1[[#This Row],[YearsAtCompany]]&gt;5,"&gt;5 Years")</f>
        <v>4-5 Years</v>
      </c>
    </row>
    <row r="1390" spans="1:39" hidden="1" x14ac:dyDescent="0.45">
      <c r="A1390">
        <v>32</v>
      </c>
      <c r="B1390" t="s">
        <v>43</v>
      </c>
      <c r="C1390" t="s">
        <v>62</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_xlfn.IFS(Table1[[#This Row],[Age]]&lt;30,"Young",Table1[[#This Row],[Age]]&lt;=40,"Adult",Table1[[#This Row],[Age]]&gt;40,"Senior")</f>
        <v>Adult</v>
      </c>
      <c r="AK1390" t="str" cm="1">
        <f t="array" ref="AK1390">_xlfn.IFS(Table1[[#This Row],[MonthlyIncome]]&lt;5000,"Low",Table1[[#This Row],[MonthlyIncome]]&lt;10000,"Medium",Table1[[#This Row],[MonthlyIncome]]&gt;10000,"High")</f>
        <v>Medium</v>
      </c>
      <c r="AL1390" t="str" cm="1">
        <f t="array" ref="AL1390">_xlfn.IFS(Table1[[#This Row],[Attrition]]="Yes","Resigned",Table1[[#This Row],[Attrition]]="No","Active")</f>
        <v>Active</v>
      </c>
      <c r="AM1390" t="str" cm="1">
        <f t="array" ref="AM1390">_xlfn.IFS(Table1[[#This Row],[YearsAtCompany]]&lt;=1,"0-1 Year",Table1[[#This Row],[YearsAtCompany]]&lt;=2,"1-2 Years",Table1[[#This Row],[YearsAtCompany]]&lt;=3,"2-3 Years",Table1[[#This Row],[YearsAtCompany]]&lt;=4,"3-4 Years",Table1[[#This Row],[YearsAtCompany]]&lt;=5,"4-5 Years",Table1[[#This Row],[YearsAtCompany]]&gt;5,"&gt;5 Years")</f>
        <v>4-5 Years</v>
      </c>
    </row>
    <row r="1391" spans="1:39" hidden="1" x14ac:dyDescent="0.45">
      <c r="A1391">
        <v>31</v>
      </c>
      <c r="B1391" t="s">
        <v>43</v>
      </c>
      <c r="C1391" t="s">
        <v>63</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_xlfn.IFS(Table1[[#This Row],[Age]]&lt;30,"Young",Table1[[#This Row],[Age]]&lt;=40,"Adult",Table1[[#This Row],[Age]]&gt;40,"Senior")</f>
        <v>Adult</v>
      </c>
      <c r="AK1391" t="str" cm="1">
        <f t="array" ref="AK1391">_xlfn.IFS(Table1[[#This Row],[MonthlyIncome]]&lt;5000,"Low",Table1[[#This Row],[MonthlyIncome]]&lt;10000,"Medium",Table1[[#This Row],[MonthlyIncome]]&gt;10000,"High")</f>
        <v>Medium</v>
      </c>
      <c r="AL1391" t="str" cm="1">
        <f t="array" ref="AL1391">_xlfn.IFS(Table1[[#This Row],[Attrition]]="Yes","Resigned",Table1[[#This Row],[Attrition]]="No","Active")</f>
        <v>Active</v>
      </c>
      <c r="AM1391" t="str" cm="1">
        <f t="array" ref="AM1391">_xlfn.IFS(Table1[[#This Row],[YearsAtCompany]]&lt;=1,"0-1 Year",Table1[[#This Row],[YearsAtCompany]]&lt;=2,"1-2 Years",Table1[[#This Row],[YearsAtCompany]]&lt;=3,"2-3 Years",Table1[[#This Row],[YearsAtCompany]]&lt;=4,"3-4 Years",Table1[[#This Row],[YearsAtCompany]]&lt;=5,"4-5 Years",Table1[[#This Row],[YearsAtCompany]]&gt;5,"&gt;5 Years")</f>
        <v>&gt;5 Years</v>
      </c>
    </row>
    <row r="1392" spans="1:39" hidden="1" x14ac:dyDescent="0.45">
      <c r="A1392">
        <v>28</v>
      </c>
      <c r="B1392" t="s">
        <v>35</v>
      </c>
      <c r="C1392" t="s">
        <v>64</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_xlfn.IFS(Table1[[#This Row],[Age]]&lt;30,"Young",Table1[[#This Row],[Age]]&lt;=40,"Adult",Table1[[#This Row],[Age]]&gt;40,"Senior")</f>
        <v>Young</v>
      </c>
      <c r="AK1392" t="str" cm="1">
        <f t="array" ref="AK1392">_xlfn.IFS(Table1[[#This Row],[MonthlyIncome]]&lt;5000,"Low",Table1[[#This Row],[MonthlyIncome]]&lt;10000,"Medium",Table1[[#This Row],[MonthlyIncome]]&gt;10000,"High")</f>
        <v>Low</v>
      </c>
      <c r="AL1392" t="str" cm="1">
        <f t="array" ref="AL1392">_xlfn.IFS(Table1[[#This Row],[Attrition]]="Yes","Resigned",Table1[[#This Row],[Attrition]]="No","Active")</f>
        <v>Resigned</v>
      </c>
      <c r="AM1392" t="str" cm="1">
        <f t="array" ref="AM1392">_xlfn.IFS(Table1[[#This Row],[YearsAtCompany]]&lt;=1,"0-1 Year",Table1[[#This Row],[YearsAtCompany]]&lt;=2,"1-2 Years",Table1[[#This Row],[YearsAtCompany]]&lt;=3,"2-3 Years",Table1[[#This Row],[YearsAtCompany]]&lt;=4,"3-4 Years",Table1[[#This Row],[YearsAtCompany]]&lt;=5,"4-5 Years",Table1[[#This Row],[YearsAtCompany]]&gt;5,"&gt;5 Years")</f>
        <v>3-4 Years</v>
      </c>
    </row>
    <row r="1393" spans="1:39" x14ac:dyDescent="0.45">
      <c r="A1393">
        <v>38</v>
      </c>
      <c r="B1393" t="s">
        <v>43</v>
      </c>
      <c r="C1393" t="s">
        <v>64</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_xlfn.IFS(Table1[[#This Row],[Age]]&lt;30,"Young",Table1[[#This Row],[Age]]&lt;=40,"Adult",Table1[[#This Row],[Age]]&gt;40,"Senior")</f>
        <v>Adult</v>
      </c>
      <c r="AK1393" t="str" cm="1">
        <f t="array" ref="AK1393">_xlfn.IFS(Table1[[#This Row],[MonthlyIncome]]&lt;5000,"Low",Table1[[#This Row],[MonthlyIncome]]&lt;10000,"Medium",Table1[[#This Row],[MonthlyIncome]]&gt;10000,"High")</f>
        <v>Low</v>
      </c>
      <c r="AL1393" t="str" cm="1">
        <f t="array" ref="AL1393">_xlfn.IFS(Table1[[#This Row],[Attrition]]="Yes","Resigned",Table1[[#This Row],[Attrition]]="No","Active")</f>
        <v>Active</v>
      </c>
      <c r="AM1393" t="str" cm="1">
        <f t="array" ref="AM1393">_xlfn.IFS(Table1[[#This Row],[YearsAtCompany]]&lt;=1,"0-1 Year",Table1[[#This Row],[YearsAtCompany]]&lt;=2,"1-2 Years",Table1[[#This Row],[YearsAtCompany]]&lt;=3,"2-3 Years",Table1[[#This Row],[YearsAtCompany]]&lt;=4,"3-4 Years",Table1[[#This Row],[YearsAtCompany]]&lt;=5,"4-5 Years",Table1[[#This Row],[YearsAtCompany]]&gt;5,"&gt;5 Years")</f>
        <v>0-1 Year</v>
      </c>
    </row>
    <row r="1394" spans="1:39" x14ac:dyDescent="0.45">
      <c r="A1394">
        <v>35</v>
      </c>
      <c r="B1394" t="s">
        <v>43</v>
      </c>
      <c r="C1394" t="s">
        <v>64</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_xlfn.IFS(Table1[[#This Row],[Age]]&lt;30,"Young",Table1[[#This Row],[Age]]&lt;=40,"Adult",Table1[[#This Row],[Age]]&gt;40,"Senior")</f>
        <v>Adult</v>
      </c>
      <c r="AK1394" t="str" cm="1">
        <f t="array" ref="AK1394">_xlfn.IFS(Table1[[#This Row],[MonthlyIncome]]&lt;5000,"Low",Table1[[#This Row],[MonthlyIncome]]&lt;10000,"Medium",Table1[[#This Row],[MonthlyIncome]]&gt;10000,"High")</f>
        <v>Medium</v>
      </c>
      <c r="AL1394" t="str" cm="1">
        <f t="array" ref="AL1394">_xlfn.IFS(Table1[[#This Row],[Attrition]]="Yes","Resigned",Table1[[#This Row],[Attrition]]="No","Active")</f>
        <v>Active</v>
      </c>
      <c r="AM1394" t="str" cm="1">
        <f t="array" ref="AM1394">_xlfn.IFS(Table1[[#This Row],[YearsAtCompany]]&lt;=1,"0-1 Year",Table1[[#This Row],[YearsAtCompany]]&lt;=2,"1-2 Years",Table1[[#This Row],[YearsAtCompany]]&lt;=3,"2-3 Years",Table1[[#This Row],[YearsAtCompany]]&lt;=4,"3-4 Years",Table1[[#This Row],[YearsAtCompany]]&lt;=5,"4-5 Years",Table1[[#This Row],[YearsAtCompany]]&gt;5,"&gt;5 Years")</f>
        <v>&gt;5 Years</v>
      </c>
    </row>
    <row r="1395" spans="1:39" x14ac:dyDescent="0.45">
      <c r="A1395">
        <v>27</v>
      </c>
      <c r="B1395" t="s">
        <v>43</v>
      </c>
      <c r="C1395" t="s">
        <v>64</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_xlfn.IFS(Table1[[#This Row],[Age]]&lt;30,"Young",Table1[[#This Row],[Age]]&lt;=40,"Adult",Table1[[#This Row],[Age]]&gt;40,"Senior")</f>
        <v>Young</v>
      </c>
      <c r="AK1395" t="str" cm="1">
        <f t="array" ref="AK1395">_xlfn.IFS(Table1[[#This Row],[MonthlyIncome]]&lt;5000,"Low",Table1[[#This Row],[MonthlyIncome]]&lt;10000,"Medium",Table1[[#This Row],[MonthlyIncome]]&gt;10000,"High")</f>
        <v>Low</v>
      </c>
      <c r="AL1395" t="str" cm="1">
        <f t="array" ref="AL1395">_xlfn.IFS(Table1[[#This Row],[Attrition]]="Yes","Resigned",Table1[[#This Row],[Attrition]]="No","Active")</f>
        <v>Active</v>
      </c>
      <c r="AM1395" t="str" cm="1">
        <f t="array" ref="AM1395">_xlfn.IFS(Table1[[#This Row],[YearsAtCompany]]&lt;=1,"0-1 Year",Table1[[#This Row],[YearsAtCompany]]&lt;=2,"1-2 Years",Table1[[#This Row],[YearsAtCompany]]&lt;=3,"2-3 Years",Table1[[#This Row],[YearsAtCompany]]&lt;=4,"3-4 Years",Table1[[#This Row],[YearsAtCompany]]&lt;=5,"4-5 Years",Table1[[#This Row],[YearsAtCompany]]&gt;5,"&gt;5 Years")</f>
        <v>&gt;5 Years</v>
      </c>
    </row>
    <row r="1396" spans="1:39" hidden="1" x14ac:dyDescent="0.45">
      <c r="A1396">
        <v>32</v>
      </c>
      <c r="B1396" t="s">
        <v>43</v>
      </c>
      <c r="C1396" t="s">
        <v>64</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_xlfn.IFS(Table1[[#This Row],[Age]]&lt;30,"Young",Table1[[#This Row],[Age]]&lt;=40,"Adult",Table1[[#This Row],[Age]]&gt;40,"Senior")</f>
        <v>Adult</v>
      </c>
      <c r="AK1396" t="str" cm="1">
        <f t="array" ref="AK1396">_xlfn.IFS(Table1[[#This Row],[MonthlyIncome]]&lt;5000,"Low",Table1[[#This Row],[MonthlyIncome]]&lt;10000,"Medium",Table1[[#This Row],[MonthlyIncome]]&gt;10000,"High")</f>
        <v>Medium</v>
      </c>
      <c r="AL1396" t="str" cm="1">
        <f t="array" ref="AL1396">_xlfn.IFS(Table1[[#This Row],[Attrition]]="Yes","Resigned",Table1[[#This Row],[Attrition]]="No","Active")</f>
        <v>Active</v>
      </c>
      <c r="AM1396" t="str" cm="1">
        <f t="array" ref="AM1396">_xlfn.IFS(Table1[[#This Row],[YearsAtCompany]]&lt;=1,"0-1 Year",Table1[[#This Row],[YearsAtCompany]]&lt;=2,"1-2 Years",Table1[[#This Row],[YearsAtCompany]]&lt;=3,"2-3 Years",Table1[[#This Row],[YearsAtCompany]]&lt;=4,"3-4 Years",Table1[[#This Row],[YearsAtCompany]]&lt;=5,"4-5 Years",Table1[[#This Row],[YearsAtCompany]]&gt;5,"&gt;5 Years")</f>
        <v>0-1 Year</v>
      </c>
    </row>
    <row r="1397" spans="1:39" x14ac:dyDescent="0.45">
      <c r="A1397">
        <v>31</v>
      </c>
      <c r="B1397" t="s">
        <v>35</v>
      </c>
      <c r="C1397" t="s">
        <v>63</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_xlfn.IFS(Table1[[#This Row],[Age]]&lt;30,"Young",Table1[[#This Row],[Age]]&lt;=40,"Adult",Table1[[#This Row],[Age]]&gt;40,"Senior")</f>
        <v>Adult</v>
      </c>
      <c r="AK1397" t="str" cm="1">
        <f t="array" ref="AK1397">_xlfn.IFS(Table1[[#This Row],[MonthlyIncome]]&lt;5000,"Low",Table1[[#This Row],[MonthlyIncome]]&lt;10000,"Medium",Table1[[#This Row],[MonthlyIncome]]&gt;10000,"High")</f>
        <v>Medium</v>
      </c>
      <c r="AL1397" t="str" cm="1">
        <f t="array" ref="AL1397">_xlfn.IFS(Table1[[#This Row],[Attrition]]="Yes","Resigned",Table1[[#This Row],[Attrition]]="No","Active")</f>
        <v>Resigned</v>
      </c>
      <c r="AM1397" t="str" cm="1">
        <f t="array" ref="AM1397">_xlfn.IFS(Table1[[#This Row],[YearsAtCompany]]&lt;=1,"0-1 Year",Table1[[#This Row],[YearsAtCompany]]&lt;=2,"1-2 Years",Table1[[#This Row],[YearsAtCompany]]&lt;=3,"2-3 Years",Table1[[#This Row],[YearsAtCompany]]&lt;=4,"3-4 Years",Table1[[#This Row],[YearsAtCompany]]&lt;=5,"4-5 Years",Table1[[#This Row],[YearsAtCompany]]&gt;5,"&gt;5 Years")</f>
        <v>&gt;5 Years</v>
      </c>
    </row>
    <row r="1398" spans="1:39" x14ac:dyDescent="0.45">
      <c r="A1398">
        <v>53</v>
      </c>
      <c r="B1398" t="s">
        <v>35</v>
      </c>
      <c r="C1398" t="s">
        <v>64</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_xlfn.IFS(Table1[[#This Row],[Age]]&lt;30,"Young",Table1[[#This Row],[Age]]&lt;=40,"Adult",Table1[[#This Row],[Age]]&gt;40,"Senior")</f>
        <v>Senior</v>
      </c>
      <c r="AK1398" t="str" cm="1">
        <f t="array" ref="AK1398">_xlfn.IFS(Table1[[#This Row],[MonthlyIncome]]&lt;5000,"Low",Table1[[#This Row],[MonthlyIncome]]&lt;10000,"Medium",Table1[[#This Row],[MonthlyIncome]]&gt;10000,"High")</f>
        <v>High</v>
      </c>
      <c r="AL1398" t="str" cm="1">
        <f t="array" ref="AL1398">_xlfn.IFS(Table1[[#This Row],[Attrition]]="Yes","Resigned",Table1[[#This Row],[Attrition]]="No","Active")</f>
        <v>Resigned</v>
      </c>
      <c r="AM1398" t="str" cm="1">
        <f t="array" ref="AM1398">_xlfn.IFS(Table1[[#This Row],[YearsAtCompany]]&lt;=1,"0-1 Year",Table1[[#This Row],[YearsAtCompany]]&lt;=2,"1-2 Years",Table1[[#This Row],[YearsAtCompany]]&lt;=3,"2-3 Years",Table1[[#This Row],[YearsAtCompany]]&lt;=4,"3-4 Years",Table1[[#This Row],[YearsAtCompany]]&lt;=5,"4-5 Years",Table1[[#This Row],[YearsAtCompany]]&gt;5,"&gt;5 Years")</f>
        <v>1-2 Years</v>
      </c>
    </row>
    <row r="1399" spans="1:39" hidden="1" x14ac:dyDescent="0.45">
      <c r="A1399">
        <v>54</v>
      </c>
      <c r="B1399" t="s">
        <v>43</v>
      </c>
      <c r="C1399" t="s">
        <v>64</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_xlfn.IFS(Table1[[#This Row],[Age]]&lt;30,"Young",Table1[[#This Row],[Age]]&lt;=40,"Adult",Table1[[#This Row],[Age]]&gt;40,"Senior")</f>
        <v>Senior</v>
      </c>
      <c r="AK1399" t="str" cm="1">
        <f t="array" ref="AK1399">_xlfn.IFS(Table1[[#This Row],[MonthlyIncome]]&lt;5000,"Low",Table1[[#This Row],[MonthlyIncome]]&lt;10000,"Medium",Table1[[#This Row],[MonthlyIncome]]&gt;10000,"High")</f>
        <v>Low</v>
      </c>
      <c r="AL1399" t="str" cm="1">
        <f t="array" ref="AL1399">_xlfn.IFS(Table1[[#This Row],[Attrition]]="Yes","Resigned",Table1[[#This Row],[Attrition]]="No","Active")</f>
        <v>Active</v>
      </c>
      <c r="AM1399" t="str" cm="1">
        <f t="array" ref="AM1399">_xlfn.IFS(Table1[[#This Row],[YearsAtCompany]]&lt;=1,"0-1 Year",Table1[[#This Row],[YearsAtCompany]]&lt;=2,"1-2 Years",Table1[[#This Row],[YearsAtCompany]]&lt;=3,"2-3 Years",Table1[[#This Row],[YearsAtCompany]]&lt;=4,"3-4 Years",Table1[[#This Row],[YearsAtCompany]]&lt;=5,"4-5 Years",Table1[[#This Row],[YearsAtCompany]]&gt;5,"&gt;5 Years")</f>
        <v>3-4 Years</v>
      </c>
    </row>
    <row r="1400" spans="1:39" hidden="1" x14ac:dyDescent="0.45">
      <c r="A1400">
        <v>33</v>
      </c>
      <c r="B1400" t="s">
        <v>43</v>
      </c>
      <c r="C1400" t="s">
        <v>63</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_xlfn.IFS(Table1[[#This Row],[Age]]&lt;30,"Young",Table1[[#This Row],[Age]]&lt;=40,"Adult",Table1[[#This Row],[Age]]&gt;40,"Senior")</f>
        <v>Adult</v>
      </c>
      <c r="AK1400" t="str" cm="1">
        <f t="array" ref="AK1400">_xlfn.IFS(Table1[[#This Row],[MonthlyIncome]]&lt;5000,"Low",Table1[[#This Row],[MonthlyIncome]]&lt;10000,"Medium",Table1[[#This Row],[MonthlyIncome]]&gt;10000,"High")</f>
        <v>Medium</v>
      </c>
      <c r="AL1400" t="str" cm="1">
        <f t="array" ref="AL1400">_xlfn.IFS(Table1[[#This Row],[Attrition]]="Yes","Resigned",Table1[[#This Row],[Attrition]]="No","Active")</f>
        <v>Active</v>
      </c>
      <c r="AM1400" t="str" cm="1">
        <f t="array" ref="AM1400">_xlfn.IFS(Table1[[#This Row],[YearsAtCompany]]&lt;=1,"0-1 Year",Table1[[#This Row],[YearsAtCompany]]&lt;=2,"1-2 Years",Table1[[#This Row],[YearsAtCompany]]&lt;=3,"2-3 Years",Table1[[#This Row],[YearsAtCompany]]&lt;=4,"3-4 Years",Table1[[#This Row],[YearsAtCompany]]&lt;=5,"4-5 Years",Table1[[#This Row],[YearsAtCompany]]&gt;5,"&gt;5 Years")</f>
        <v>&gt;5 Years</v>
      </c>
    </row>
    <row r="1401" spans="1:39" hidden="1" x14ac:dyDescent="0.45">
      <c r="A1401">
        <v>43</v>
      </c>
      <c r="B1401" t="s">
        <v>43</v>
      </c>
      <c r="C1401" t="s">
        <v>64</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_xlfn.IFS(Table1[[#This Row],[Age]]&lt;30,"Young",Table1[[#This Row],[Age]]&lt;=40,"Adult",Table1[[#This Row],[Age]]&gt;40,"Senior")</f>
        <v>Senior</v>
      </c>
      <c r="AK1401" t="str" cm="1">
        <f t="array" ref="AK1401">_xlfn.IFS(Table1[[#This Row],[MonthlyIncome]]&lt;5000,"Low",Table1[[#This Row],[MonthlyIncome]]&lt;10000,"Medium",Table1[[#This Row],[MonthlyIncome]]&gt;10000,"High")</f>
        <v>Medium</v>
      </c>
      <c r="AL1401" t="str" cm="1">
        <f t="array" ref="AL1401">_xlfn.IFS(Table1[[#This Row],[Attrition]]="Yes","Resigned",Table1[[#This Row],[Attrition]]="No","Active")</f>
        <v>Active</v>
      </c>
      <c r="AM1401" t="str" cm="1">
        <f t="array" ref="AM1401">_xlfn.IFS(Table1[[#This Row],[YearsAtCompany]]&lt;=1,"0-1 Year",Table1[[#This Row],[YearsAtCompany]]&lt;=2,"1-2 Years",Table1[[#This Row],[YearsAtCompany]]&lt;=3,"2-3 Years",Table1[[#This Row],[YearsAtCompany]]&lt;=4,"3-4 Years",Table1[[#This Row],[YearsAtCompany]]&lt;=5,"4-5 Years",Table1[[#This Row],[YearsAtCompany]]&gt;5,"&gt;5 Years")</f>
        <v>&gt;5 Years</v>
      </c>
    </row>
    <row r="1402" spans="1:39" hidden="1" x14ac:dyDescent="0.45">
      <c r="A1402">
        <v>38</v>
      </c>
      <c r="B1402" t="s">
        <v>43</v>
      </c>
      <c r="C1402" t="s">
        <v>63</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_xlfn.IFS(Table1[[#This Row],[Age]]&lt;30,"Young",Table1[[#This Row],[Age]]&lt;=40,"Adult",Table1[[#This Row],[Age]]&gt;40,"Senior")</f>
        <v>Adult</v>
      </c>
      <c r="AK1402" t="str" cm="1">
        <f t="array" ref="AK1402">_xlfn.IFS(Table1[[#This Row],[MonthlyIncome]]&lt;5000,"Low",Table1[[#This Row],[MonthlyIncome]]&lt;10000,"Medium",Table1[[#This Row],[MonthlyIncome]]&gt;10000,"High")</f>
        <v>Low</v>
      </c>
      <c r="AL1402" t="str" cm="1">
        <f t="array" ref="AL1402">_xlfn.IFS(Table1[[#This Row],[Attrition]]="Yes","Resigned",Table1[[#This Row],[Attrition]]="No","Active")</f>
        <v>Active</v>
      </c>
      <c r="AM1402" t="str" cm="1">
        <f t="array" ref="AM1402">_xlfn.IFS(Table1[[#This Row],[YearsAtCompany]]&lt;=1,"0-1 Year",Table1[[#This Row],[YearsAtCompany]]&lt;=2,"1-2 Years",Table1[[#This Row],[YearsAtCompany]]&lt;=3,"2-3 Years",Table1[[#This Row],[YearsAtCompany]]&lt;=4,"3-4 Years",Table1[[#This Row],[YearsAtCompany]]&lt;=5,"4-5 Years",Table1[[#This Row],[YearsAtCompany]]&gt;5,"&gt;5 Years")</f>
        <v>&gt;5 Years</v>
      </c>
    </row>
    <row r="1403" spans="1:39" hidden="1" x14ac:dyDescent="0.45">
      <c r="A1403">
        <v>55</v>
      </c>
      <c r="B1403" t="s">
        <v>43</v>
      </c>
      <c r="C1403" t="s">
        <v>64</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_xlfn.IFS(Table1[[#This Row],[Age]]&lt;30,"Young",Table1[[#This Row],[Age]]&lt;=40,"Adult",Table1[[#This Row],[Age]]&gt;40,"Senior")</f>
        <v>Senior</v>
      </c>
      <c r="AK1403" t="str" cm="1">
        <f t="array" ref="AK1403">_xlfn.IFS(Table1[[#This Row],[MonthlyIncome]]&lt;5000,"Low",Table1[[#This Row],[MonthlyIncome]]&lt;10000,"Medium",Table1[[#This Row],[MonthlyIncome]]&gt;10000,"High")</f>
        <v>High</v>
      </c>
      <c r="AL1403" t="str" cm="1">
        <f t="array" ref="AL1403">_xlfn.IFS(Table1[[#This Row],[Attrition]]="Yes","Resigned",Table1[[#This Row],[Attrition]]="No","Active")</f>
        <v>Active</v>
      </c>
      <c r="AM1403" t="str" cm="1">
        <f t="array" ref="AM1403">_xlfn.IFS(Table1[[#This Row],[YearsAtCompany]]&lt;=1,"0-1 Year",Table1[[#This Row],[YearsAtCompany]]&lt;=2,"1-2 Years",Table1[[#This Row],[YearsAtCompany]]&lt;=3,"2-3 Years",Table1[[#This Row],[YearsAtCompany]]&lt;=4,"3-4 Years",Table1[[#This Row],[YearsAtCompany]]&lt;=5,"4-5 Years",Table1[[#This Row],[YearsAtCompany]]&gt;5,"&gt;5 Years")</f>
        <v>&gt;5 Years</v>
      </c>
    </row>
    <row r="1404" spans="1:39" hidden="1" x14ac:dyDescent="0.45">
      <c r="A1404">
        <v>31</v>
      </c>
      <c r="B1404" t="s">
        <v>43</v>
      </c>
      <c r="C1404" t="s">
        <v>64</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_xlfn.IFS(Table1[[#This Row],[Age]]&lt;30,"Young",Table1[[#This Row],[Age]]&lt;=40,"Adult",Table1[[#This Row],[Age]]&gt;40,"Senior")</f>
        <v>Adult</v>
      </c>
      <c r="AK1404" t="str" cm="1">
        <f t="array" ref="AK1404">_xlfn.IFS(Table1[[#This Row],[MonthlyIncome]]&lt;5000,"Low",Table1[[#This Row],[MonthlyIncome]]&lt;10000,"Medium",Table1[[#This Row],[MonthlyIncome]]&gt;10000,"High")</f>
        <v>Low</v>
      </c>
      <c r="AL1404" t="str" cm="1">
        <f t="array" ref="AL1404">_xlfn.IFS(Table1[[#This Row],[Attrition]]="Yes","Resigned",Table1[[#This Row],[Attrition]]="No","Active")</f>
        <v>Active</v>
      </c>
      <c r="AM1404" t="str" cm="1">
        <f t="array" ref="AM1404">_xlfn.IFS(Table1[[#This Row],[YearsAtCompany]]&lt;=1,"0-1 Year",Table1[[#This Row],[YearsAtCompany]]&lt;=2,"1-2 Years",Table1[[#This Row],[YearsAtCompany]]&lt;=3,"2-3 Years",Table1[[#This Row],[YearsAtCompany]]&lt;=4,"3-4 Years",Table1[[#This Row],[YearsAtCompany]]&lt;=5,"4-5 Years",Table1[[#This Row],[YearsAtCompany]]&gt;5,"&gt;5 Years")</f>
        <v>0-1 Year</v>
      </c>
    </row>
    <row r="1405" spans="1:39" x14ac:dyDescent="0.45">
      <c r="A1405">
        <v>39</v>
      </c>
      <c r="B1405" t="s">
        <v>43</v>
      </c>
      <c r="C1405" t="s">
        <v>64</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_xlfn.IFS(Table1[[#This Row],[Age]]&lt;30,"Young",Table1[[#This Row],[Age]]&lt;=40,"Adult",Table1[[#This Row],[Age]]&gt;40,"Senior")</f>
        <v>Adult</v>
      </c>
      <c r="AK1405" t="str" cm="1">
        <f t="array" ref="AK1405">_xlfn.IFS(Table1[[#This Row],[MonthlyIncome]]&lt;5000,"Low",Table1[[#This Row],[MonthlyIncome]]&lt;10000,"Medium",Table1[[#This Row],[MonthlyIncome]]&gt;10000,"High")</f>
        <v>High</v>
      </c>
      <c r="AL1405" t="str" cm="1">
        <f t="array" ref="AL1405">_xlfn.IFS(Table1[[#This Row],[Attrition]]="Yes","Resigned",Table1[[#This Row],[Attrition]]="No","Active")</f>
        <v>Active</v>
      </c>
      <c r="AM1405" t="str" cm="1">
        <f t="array" ref="AM1405">_xlfn.IFS(Table1[[#This Row],[YearsAtCompany]]&lt;=1,"0-1 Year",Table1[[#This Row],[YearsAtCompany]]&lt;=2,"1-2 Years",Table1[[#This Row],[YearsAtCompany]]&lt;=3,"2-3 Years",Table1[[#This Row],[YearsAtCompany]]&lt;=4,"3-4 Years",Table1[[#This Row],[YearsAtCompany]]&lt;=5,"4-5 Years",Table1[[#This Row],[YearsAtCompany]]&gt;5,"&gt;5 Years")</f>
        <v>&gt;5 Years</v>
      </c>
    </row>
    <row r="1406" spans="1:39" hidden="1" x14ac:dyDescent="0.45">
      <c r="A1406">
        <v>42</v>
      </c>
      <c r="B1406" t="s">
        <v>43</v>
      </c>
      <c r="C1406" t="s">
        <v>62</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_xlfn.IFS(Table1[[#This Row],[Age]]&lt;30,"Young",Table1[[#This Row],[Age]]&lt;=40,"Adult",Table1[[#This Row],[Age]]&gt;40,"Senior")</f>
        <v>Senior</v>
      </c>
      <c r="AK1406" t="str" cm="1">
        <f t="array" ref="AK1406">_xlfn.IFS(Table1[[#This Row],[MonthlyIncome]]&lt;5000,"Low",Table1[[#This Row],[MonthlyIncome]]&lt;10000,"Medium",Table1[[#This Row],[MonthlyIncome]]&gt;10000,"High")</f>
        <v>Low</v>
      </c>
      <c r="AL1406" t="str" cm="1">
        <f t="array" ref="AL1406">_xlfn.IFS(Table1[[#This Row],[Attrition]]="Yes","Resigned",Table1[[#This Row],[Attrition]]="No","Active")</f>
        <v>Active</v>
      </c>
      <c r="AM1406" t="str" cm="1">
        <f t="array" ref="AM1406">_xlfn.IFS(Table1[[#This Row],[YearsAtCompany]]&lt;=1,"0-1 Year",Table1[[#This Row],[YearsAtCompany]]&lt;=2,"1-2 Years",Table1[[#This Row],[YearsAtCompany]]&lt;=3,"2-3 Years",Table1[[#This Row],[YearsAtCompany]]&lt;=4,"3-4 Years",Table1[[#This Row],[YearsAtCompany]]&lt;=5,"4-5 Years",Table1[[#This Row],[YearsAtCompany]]&gt;5,"&gt;5 Years")</f>
        <v>&gt;5 Years</v>
      </c>
    </row>
    <row r="1407" spans="1:39" hidden="1" x14ac:dyDescent="0.45">
      <c r="A1407">
        <v>31</v>
      </c>
      <c r="B1407" t="s">
        <v>43</v>
      </c>
      <c r="C1407" t="s">
        <v>62</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_xlfn.IFS(Table1[[#This Row],[Age]]&lt;30,"Young",Table1[[#This Row],[Age]]&lt;=40,"Adult",Table1[[#This Row],[Age]]&gt;40,"Senior")</f>
        <v>Adult</v>
      </c>
      <c r="AK1407" t="str" cm="1">
        <f t="array" ref="AK1407">_xlfn.IFS(Table1[[#This Row],[MonthlyIncome]]&lt;5000,"Low",Table1[[#This Row],[MonthlyIncome]]&lt;10000,"Medium",Table1[[#This Row],[MonthlyIncome]]&gt;10000,"High")</f>
        <v>High</v>
      </c>
      <c r="AL1407" t="str" cm="1">
        <f t="array" ref="AL1407">_xlfn.IFS(Table1[[#This Row],[Attrition]]="Yes","Resigned",Table1[[#This Row],[Attrition]]="No","Active")</f>
        <v>Active</v>
      </c>
      <c r="AM1407" t="str" cm="1">
        <f t="array" ref="AM1407">_xlfn.IFS(Table1[[#This Row],[YearsAtCompany]]&lt;=1,"0-1 Year",Table1[[#This Row],[YearsAtCompany]]&lt;=2,"1-2 Years",Table1[[#This Row],[YearsAtCompany]]&lt;=3,"2-3 Years",Table1[[#This Row],[YearsAtCompany]]&lt;=4,"3-4 Years",Table1[[#This Row],[YearsAtCompany]]&lt;=5,"4-5 Years",Table1[[#This Row],[YearsAtCompany]]&gt;5,"&gt;5 Years")</f>
        <v>&gt;5 Years</v>
      </c>
    </row>
    <row r="1408" spans="1:39" hidden="1" x14ac:dyDescent="0.45">
      <c r="A1408">
        <v>54</v>
      </c>
      <c r="B1408" t="s">
        <v>43</v>
      </c>
      <c r="C1408" t="s">
        <v>64</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_xlfn.IFS(Table1[[#This Row],[Age]]&lt;30,"Young",Table1[[#This Row],[Age]]&lt;=40,"Adult",Table1[[#This Row],[Age]]&gt;40,"Senior")</f>
        <v>Senior</v>
      </c>
      <c r="AK1408" t="str" cm="1">
        <f t="array" ref="AK1408">_xlfn.IFS(Table1[[#This Row],[MonthlyIncome]]&lt;5000,"Low",Table1[[#This Row],[MonthlyIncome]]&lt;10000,"Medium",Table1[[#This Row],[MonthlyIncome]]&gt;10000,"High")</f>
        <v>Low</v>
      </c>
      <c r="AL1408" t="str" cm="1">
        <f t="array" ref="AL1408">_xlfn.IFS(Table1[[#This Row],[Attrition]]="Yes","Resigned",Table1[[#This Row],[Attrition]]="No","Active")</f>
        <v>Active</v>
      </c>
      <c r="AM1408" t="str" cm="1">
        <f t="array" ref="AM1408">_xlfn.IFS(Table1[[#This Row],[YearsAtCompany]]&lt;=1,"0-1 Year",Table1[[#This Row],[YearsAtCompany]]&lt;=2,"1-2 Years",Table1[[#This Row],[YearsAtCompany]]&lt;=3,"2-3 Years",Table1[[#This Row],[YearsAtCompany]]&lt;=4,"3-4 Years",Table1[[#This Row],[YearsAtCompany]]&lt;=5,"4-5 Years",Table1[[#This Row],[YearsAtCompany]]&gt;5,"&gt;5 Years")</f>
        <v>4-5 Years</v>
      </c>
    </row>
    <row r="1409" spans="1:39" hidden="1" x14ac:dyDescent="0.45">
      <c r="A1409">
        <v>24</v>
      </c>
      <c r="B1409" t="s">
        <v>43</v>
      </c>
      <c r="C1409" t="s">
        <v>64</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_xlfn.IFS(Table1[[#This Row],[Age]]&lt;30,"Young",Table1[[#This Row],[Age]]&lt;=40,"Adult",Table1[[#This Row],[Age]]&gt;40,"Senior")</f>
        <v>Young</v>
      </c>
      <c r="AK1409" t="str" cm="1">
        <f t="array" ref="AK1409">_xlfn.IFS(Table1[[#This Row],[MonthlyIncome]]&lt;5000,"Low",Table1[[#This Row],[MonthlyIncome]]&lt;10000,"Medium",Table1[[#This Row],[MonthlyIncome]]&gt;10000,"High")</f>
        <v>Low</v>
      </c>
      <c r="AL1409" t="str" cm="1">
        <f t="array" ref="AL1409">_xlfn.IFS(Table1[[#This Row],[Attrition]]="Yes","Resigned",Table1[[#This Row],[Attrition]]="No","Active")</f>
        <v>Active</v>
      </c>
      <c r="AM1409" t="str" cm="1">
        <f t="array" ref="AM1409">_xlfn.IFS(Table1[[#This Row],[YearsAtCompany]]&lt;=1,"0-1 Year",Table1[[#This Row],[YearsAtCompany]]&lt;=2,"1-2 Years",Table1[[#This Row],[YearsAtCompany]]&lt;=3,"2-3 Years",Table1[[#This Row],[YearsAtCompany]]&lt;=4,"3-4 Years",Table1[[#This Row],[YearsAtCompany]]&lt;=5,"4-5 Years",Table1[[#This Row],[YearsAtCompany]]&gt;5,"&gt;5 Years")</f>
        <v>3-4 Years</v>
      </c>
    </row>
    <row r="1410" spans="1:39" hidden="1" x14ac:dyDescent="0.45">
      <c r="A1410">
        <v>23</v>
      </c>
      <c r="B1410" t="s">
        <v>43</v>
      </c>
      <c r="C1410" t="s">
        <v>64</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_xlfn.IFS(Table1[[#This Row],[Age]]&lt;30,"Young",Table1[[#This Row],[Age]]&lt;=40,"Adult",Table1[[#This Row],[Age]]&gt;40,"Senior")</f>
        <v>Young</v>
      </c>
      <c r="AK1410" t="str" cm="1">
        <f t="array" ref="AK1410">_xlfn.IFS(Table1[[#This Row],[MonthlyIncome]]&lt;5000,"Low",Table1[[#This Row],[MonthlyIncome]]&lt;10000,"Medium",Table1[[#This Row],[MonthlyIncome]]&gt;10000,"High")</f>
        <v>Low</v>
      </c>
      <c r="AL1410" t="str" cm="1">
        <f t="array" ref="AL1410">_xlfn.IFS(Table1[[#This Row],[Attrition]]="Yes","Resigned",Table1[[#This Row],[Attrition]]="No","Active")</f>
        <v>Active</v>
      </c>
      <c r="AM1410" t="str" cm="1">
        <f t="array" ref="AM1410">_xlfn.IFS(Table1[[#This Row],[YearsAtCompany]]&lt;=1,"0-1 Year",Table1[[#This Row],[YearsAtCompany]]&lt;=2,"1-2 Years",Table1[[#This Row],[YearsAtCompany]]&lt;=3,"2-3 Years",Table1[[#This Row],[YearsAtCompany]]&lt;=4,"3-4 Years",Table1[[#This Row],[YearsAtCompany]]&lt;=5,"4-5 Years",Table1[[#This Row],[YearsAtCompany]]&gt;5,"&gt;5 Years")</f>
        <v>4-5 Years</v>
      </c>
    </row>
    <row r="1411" spans="1:39" hidden="1" x14ac:dyDescent="0.45">
      <c r="A1411">
        <v>40</v>
      </c>
      <c r="B1411" t="s">
        <v>43</v>
      </c>
      <c r="C1411" t="s">
        <v>63</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_xlfn.IFS(Table1[[#This Row],[Age]]&lt;30,"Young",Table1[[#This Row],[Age]]&lt;=40,"Adult",Table1[[#This Row],[Age]]&gt;40,"Senior")</f>
        <v>Adult</v>
      </c>
      <c r="AK1411" t="str" cm="1">
        <f t="array" ref="AK1411">_xlfn.IFS(Table1[[#This Row],[MonthlyIncome]]&lt;5000,"Low",Table1[[#This Row],[MonthlyIncome]]&lt;10000,"Medium",Table1[[#This Row],[MonthlyIncome]]&gt;10000,"High")</f>
        <v>Medium</v>
      </c>
      <c r="AL1411" t="str" cm="1">
        <f t="array" ref="AL1411">_xlfn.IFS(Table1[[#This Row],[Attrition]]="Yes","Resigned",Table1[[#This Row],[Attrition]]="No","Active")</f>
        <v>Active</v>
      </c>
      <c r="AM1411" t="str" cm="1">
        <f t="array" ref="AM1411">_xlfn.IFS(Table1[[#This Row],[YearsAtCompany]]&lt;=1,"0-1 Year",Table1[[#This Row],[YearsAtCompany]]&lt;=2,"1-2 Years",Table1[[#This Row],[YearsAtCompany]]&lt;=3,"2-3 Years",Table1[[#This Row],[YearsAtCompany]]&lt;=4,"3-4 Years",Table1[[#This Row],[YearsAtCompany]]&lt;=5,"4-5 Years",Table1[[#This Row],[YearsAtCompany]]&gt;5,"&gt;5 Years")</f>
        <v>&gt;5 Years</v>
      </c>
    </row>
    <row r="1412" spans="1:39" x14ac:dyDescent="0.45">
      <c r="A1412">
        <v>40</v>
      </c>
      <c r="B1412" t="s">
        <v>43</v>
      </c>
      <c r="C1412" t="s">
        <v>64</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_xlfn.IFS(Table1[[#This Row],[Age]]&lt;30,"Young",Table1[[#This Row],[Age]]&lt;=40,"Adult",Table1[[#This Row],[Age]]&gt;40,"Senior")</f>
        <v>Adult</v>
      </c>
      <c r="AK1412" t="str" cm="1">
        <f t="array" ref="AK1412">_xlfn.IFS(Table1[[#This Row],[MonthlyIncome]]&lt;5000,"Low",Table1[[#This Row],[MonthlyIncome]]&lt;10000,"Medium",Table1[[#This Row],[MonthlyIncome]]&gt;10000,"High")</f>
        <v>Medium</v>
      </c>
      <c r="AL1412" t="str" cm="1">
        <f t="array" ref="AL1412">_xlfn.IFS(Table1[[#This Row],[Attrition]]="Yes","Resigned",Table1[[#This Row],[Attrition]]="No","Active")</f>
        <v>Active</v>
      </c>
      <c r="AM1412" t="str" cm="1">
        <f t="array" ref="AM1412">_xlfn.IFS(Table1[[#This Row],[YearsAtCompany]]&lt;=1,"0-1 Year",Table1[[#This Row],[YearsAtCompany]]&lt;=2,"1-2 Years",Table1[[#This Row],[YearsAtCompany]]&lt;=3,"2-3 Years",Table1[[#This Row],[YearsAtCompany]]&lt;=4,"3-4 Years",Table1[[#This Row],[YearsAtCompany]]&lt;=5,"4-5 Years",Table1[[#This Row],[YearsAtCompany]]&gt;5,"&gt;5 Years")</f>
        <v>&gt;5 Years</v>
      </c>
    </row>
    <row r="1413" spans="1:39" hidden="1" x14ac:dyDescent="0.45">
      <c r="A1413">
        <v>25</v>
      </c>
      <c r="B1413" t="s">
        <v>43</v>
      </c>
      <c r="C1413" t="s">
        <v>64</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_xlfn.IFS(Table1[[#This Row],[Age]]&lt;30,"Young",Table1[[#This Row],[Age]]&lt;=40,"Adult",Table1[[#This Row],[Age]]&gt;40,"Senior")</f>
        <v>Young</v>
      </c>
      <c r="AK1413" t="str" cm="1">
        <f t="array" ref="AK1413">_xlfn.IFS(Table1[[#This Row],[MonthlyIncome]]&lt;5000,"Low",Table1[[#This Row],[MonthlyIncome]]&lt;10000,"Medium",Table1[[#This Row],[MonthlyIncome]]&gt;10000,"High")</f>
        <v>Low</v>
      </c>
      <c r="AL1413" t="str" cm="1">
        <f t="array" ref="AL1413">_xlfn.IFS(Table1[[#This Row],[Attrition]]="Yes","Resigned",Table1[[#This Row],[Attrition]]="No","Active")</f>
        <v>Active</v>
      </c>
      <c r="AM1413" t="str" cm="1">
        <f t="array" ref="AM1413">_xlfn.IFS(Table1[[#This Row],[YearsAtCompany]]&lt;=1,"0-1 Year",Table1[[#This Row],[YearsAtCompany]]&lt;=2,"1-2 Years",Table1[[#This Row],[YearsAtCompany]]&lt;=3,"2-3 Years",Table1[[#This Row],[YearsAtCompany]]&lt;=4,"3-4 Years",Table1[[#This Row],[YearsAtCompany]]&lt;=5,"4-5 Years",Table1[[#This Row],[YearsAtCompany]]&gt;5,"&gt;5 Years")</f>
        <v>1-2 Years</v>
      </c>
    </row>
    <row r="1414" spans="1:39" hidden="1" x14ac:dyDescent="0.45">
      <c r="A1414">
        <v>30</v>
      </c>
      <c r="B1414" t="s">
        <v>43</v>
      </c>
      <c r="C1414" t="s">
        <v>64</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_xlfn.IFS(Table1[[#This Row],[Age]]&lt;30,"Young",Table1[[#This Row],[Age]]&lt;=40,"Adult",Table1[[#This Row],[Age]]&gt;40,"Senior")</f>
        <v>Adult</v>
      </c>
      <c r="AK1414" t="str" cm="1">
        <f t="array" ref="AK1414">_xlfn.IFS(Table1[[#This Row],[MonthlyIncome]]&lt;5000,"Low",Table1[[#This Row],[MonthlyIncome]]&lt;10000,"Medium",Table1[[#This Row],[MonthlyIncome]]&gt;10000,"High")</f>
        <v>Low</v>
      </c>
      <c r="AL1414" t="str" cm="1">
        <f t="array" ref="AL1414">_xlfn.IFS(Table1[[#This Row],[Attrition]]="Yes","Resigned",Table1[[#This Row],[Attrition]]="No","Active")</f>
        <v>Active</v>
      </c>
      <c r="AM1414" t="str" cm="1">
        <f t="array" ref="AM1414">_xlfn.IFS(Table1[[#This Row],[YearsAtCompany]]&lt;=1,"0-1 Year",Table1[[#This Row],[YearsAtCompany]]&lt;=2,"1-2 Years",Table1[[#This Row],[YearsAtCompany]]&lt;=3,"2-3 Years",Table1[[#This Row],[YearsAtCompany]]&lt;=4,"3-4 Years",Table1[[#This Row],[YearsAtCompany]]&lt;=5,"4-5 Years",Table1[[#This Row],[YearsAtCompany]]&gt;5,"&gt;5 Years")</f>
        <v>&gt;5 Years</v>
      </c>
    </row>
    <row r="1415" spans="1:39" hidden="1" x14ac:dyDescent="0.45">
      <c r="A1415">
        <v>25</v>
      </c>
      <c r="B1415" t="s">
        <v>43</v>
      </c>
      <c r="C1415" t="s">
        <v>64</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_xlfn.IFS(Table1[[#This Row],[Age]]&lt;30,"Young",Table1[[#This Row],[Age]]&lt;=40,"Adult",Table1[[#This Row],[Age]]&gt;40,"Senior")</f>
        <v>Young</v>
      </c>
      <c r="AK1415" t="str" cm="1">
        <f t="array" ref="AK1415">_xlfn.IFS(Table1[[#This Row],[MonthlyIncome]]&lt;5000,"Low",Table1[[#This Row],[MonthlyIncome]]&lt;10000,"Medium",Table1[[#This Row],[MonthlyIncome]]&gt;10000,"High")</f>
        <v>Low</v>
      </c>
      <c r="AL1415" t="str" cm="1">
        <f t="array" ref="AL1415">_xlfn.IFS(Table1[[#This Row],[Attrition]]="Yes","Resigned",Table1[[#This Row],[Attrition]]="No","Active")</f>
        <v>Active</v>
      </c>
      <c r="AM1415" t="str" cm="1">
        <f t="array" ref="AM1415">_xlfn.IFS(Table1[[#This Row],[YearsAtCompany]]&lt;=1,"0-1 Year",Table1[[#This Row],[YearsAtCompany]]&lt;=2,"1-2 Years",Table1[[#This Row],[YearsAtCompany]]&lt;=3,"2-3 Years",Table1[[#This Row],[YearsAtCompany]]&lt;=4,"3-4 Years",Table1[[#This Row],[YearsAtCompany]]&lt;=5,"4-5 Years",Table1[[#This Row],[YearsAtCompany]]&gt;5,"&gt;5 Years")</f>
        <v>1-2 Years</v>
      </c>
    </row>
    <row r="1416" spans="1:39" hidden="1" x14ac:dyDescent="0.45">
      <c r="A1416">
        <v>47</v>
      </c>
      <c r="B1416" t="s">
        <v>43</v>
      </c>
      <c r="C1416" t="s">
        <v>64</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_xlfn.IFS(Table1[[#This Row],[Age]]&lt;30,"Young",Table1[[#This Row],[Age]]&lt;=40,"Adult",Table1[[#This Row],[Age]]&gt;40,"Senior")</f>
        <v>Senior</v>
      </c>
      <c r="AK1416" t="str" cm="1">
        <f t="array" ref="AK1416">_xlfn.IFS(Table1[[#This Row],[MonthlyIncome]]&lt;5000,"Low",Table1[[#This Row],[MonthlyIncome]]&lt;10000,"Medium",Table1[[#This Row],[MonthlyIncome]]&gt;10000,"High")</f>
        <v>Medium</v>
      </c>
      <c r="AL1416" t="str" cm="1">
        <f t="array" ref="AL1416">_xlfn.IFS(Table1[[#This Row],[Attrition]]="Yes","Resigned",Table1[[#This Row],[Attrition]]="No","Active")</f>
        <v>Active</v>
      </c>
      <c r="AM1416" t="str" cm="1">
        <f t="array" ref="AM1416">_xlfn.IFS(Table1[[#This Row],[YearsAtCompany]]&lt;=1,"0-1 Year",Table1[[#This Row],[YearsAtCompany]]&lt;=2,"1-2 Years",Table1[[#This Row],[YearsAtCompany]]&lt;=3,"2-3 Years",Table1[[#This Row],[YearsAtCompany]]&lt;=4,"3-4 Years",Table1[[#This Row],[YearsAtCompany]]&lt;=5,"4-5 Years",Table1[[#This Row],[YearsAtCompany]]&gt;5,"&gt;5 Years")</f>
        <v>&gt;5 Years</v>
      </c>
    </row>
    <row r="1417" spans="1:39" hidden="1" x14ac:dyDescent="0.45">
      <c r="A1417">
        <v>33</v>
      </c>
      <c r="B1417" t="s">
        <v>43</v>
      </c>
      <c r="C1417" t="s">
        <v>62</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_xlfn.IFS(Table1[[#This Row],[Age]]&lt;30,"Young",Table1[[#This Row],[Age]]&lt;=40,"Adult",Table1[[#This Row],[Age]]&gt;40,"Senior")</f>
        <v>Adult</v>
      </c>
      <c r="AK1417" t="str" cm="1">
        <f t="array" ref="AK1417">_xlfn.IFS(Table1[[#This Row],[MonthlyIncome]]&lt;5000,"Low",Table1[[#This Row],[MonthlyIncome]]&lt;10000,"Medium",Table1[[#This Row],[MonthlyIncome]]&gt;10000,"High")</f>
        <v>Low</v>
      </c>
      <c r="AL1417" t="str" cm="1">
        <f t="array" ref="AL1417">_xlfn.IFS(Table1[[#This Row],[Attrition]]="Yes","Resigned",Table1[[#This Row],[Attrition]]="No","Active")</f>
        <v>Active</v>
      </c>
      <c r="AM1417" t="str" cm="1">
        <f t="array" ref="AM1417">_xlfn.IFS(Table1[[#This Row],[YearsAtCompany]]&lt;=1,"0-1 Year",Table1[[#This Row],[YearsAtCompany]]&lt;=2,"1-2 Years",Table1[[#This Row],[YearsAtCompany]]&lt;=3,"2-3 Years",Table1[[#This Row],[YearsAtCompany]]&lt;=4,"3-4 Years",Table1[[#This Row],[YearsAtCompany]]&lt;=5,"4-5 Years",Table1[[#This Row],[YearsAtCompany]]&gt;5,"&gt;5 Years")</f>
        <v>0-1 Year</v>
      </c>
    </row>
    <row r="1418" spans="1:39" x14ac:dyDescent="0.45">
      <c r="A1418">
        <v>38</v>
      </c>
      <c r="B1418" t="s">
        <v>43</v>
      </c>
      <c r="C1418" t="s">
        <v>64</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_xlfn.IFS(Table1[[#This Row],[Age]]&lt;30,"Young",Table1[[#This Row],[Age]]&lt;=40,"Adult",Table1[[#This Row],[Age]]&gt;40,"Senior")</f>
        <v>Adult</v>
      </c>
      <c r="AK1418" t="str" cm="1">
        <f t="array" ref="AK1418">_xlfn.IFS(Table1[[#This Row],[MonthlyIncome]]&lt;5000,"Low",Table1[[#This Row],[MonthlyIncome]]&lt;10000,"Medium",Table1[[#This Row],[MonthlyIncome]]&gt;10000,"High")</f>
        <v>Low</v>
      </c>
      <c r="AL1418" t="str" cm="1">
        <f t="array" ref="AL1418">_xlfn.IFS(Table1[[#This Row],[Attrition]]="Yes","Resigned",Table1[[#This Row],[Attrition]]="No","Active")</f>
        <v>Active</v>
      </c>
      <c r="AM1418" t="str" cm="1">
        <f t="array" ref="AM1418">_xlfn.IFS(Table1[[#This Row],[YearsAtCompany]]&lt;=1,"0-1 Year",Table1[[#This Row],[YearsAtCompany]]&lt;=2,"1-2 Years",Table1[[#This Row],[YearsAtCompany]]&lt;=3,"2-3 Years",Table1[[#This Row],[YearsAtCompany]]&lt;=4,"3-4 Years",Table1[[#This Row],[YearsAtCompany]]&lt;=5,"4-5 Years",Table1[[#This Row],[YearsAtCompany]]&gt;5,"&gt;5 Years")</f>
        <v>&gt;5 Years</v>
      </c>
    </row>
    <row r="1419" spans="1:39" x14ac:dyDescent="0.45">
      <c r="A1419">
        <v>31</v>
      </c>
      <c r="B1419" t="s">
        <v>43</v>
      </c>
      <c r="C1419" t="s">
        <v>64</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_xlfn.IFS(Table1[[#This Row],[Age]]&lt;30,"Young",Table1[[#This Row],[Age]]&lt;=40,"Adult",Table1[[#This Row],[Age]]&gt;40,"Senior")</f>
        <v>Adult</v>
      </c>
      <c r="AK1419" t="str" cm="1">
        <f t="array" ref="AK1419">_xlfn.IFS(Table1[[#This Row],[MonthlyIncome]]&lt;5000,"Low",Table1[[#This Row],[MonthlyIncome]]&lt;10000,"Medium",Table1[[#This Row],[MonthlyIncome]]&gt;10000,"High")</f>
        <v>Low</v>
      </c>
      <c r="AL1419" t="str" cm="1">
        <f t="array" ref="AL1419">_xlfn.IFS(Table1[[#This Row],[Attrition]]="Yes","Resigned",Table1[[#This Row],[Attrition]]="No","Active")</f>
        <v>Active</v>
      </c>
      <c r="AM1419" t="str" cm="1">
        <f t="array" ref="AM1419">_xlfn.IFS(Table1[[#This Row],[YearsAtCompany]]&lt;=1,"0-1 Year",Table1[[#This Row],[YearsAtCompany]]&lt;=2,"1-2 Years",Table1[[#This Row],[YearsAtCompany]]&lt;=3,"2-3 Years",Table1[[#This Row],[YearsAtCompany]]&lt;=4,"3-4 Years",Table1[[#This Row],[YearsAtCompany]]&lt;=5,"4-5 Years",Table1[[#This Row],[YearsAtCompany]]&gt;5,"&gt;5 Years")</f>
        <v>1-2 Years</v>
      </c>
    </row>
    <row r="1420" spans="1:39" hidden="1" x14ac:dyDescent="0.45">
      <c r="A1420">
        <v>38</v>
      </c>
      <c r="B1420" t="s">
        <v>43</v>
      </c>
      <c r="C1420" t="s">
        <v>63</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_xlfn.IFS(Table1[[#This Row],[Age]]&lt;30,"Young",Table1[[#This Row],[Age]]&lt;=40,"Adult",Table1[[#This Row],[Age]]&gt;40,"Senior")</f>
        <v>Adult</v>
      </c>
      <c r="AK1420" t="str" cm="1">
        <f t="array" ref="AK1420">_xlfn.IFS(Table1[[#This Row],[MonthlyIncome]]&lt;5000,"Low",Table1[[#This Row],[MonthlyIncome]]&lt;10000,"Medium",Table1[[#This Row],[MonthlyIncome]]&gt;10000,"High")</f>
        <v>Medium</v>
      </c>
      <c r="AL1420" t="str" cm="1">
        <f t="array" ref="AL1420">_xlfn.IFS(Table1[[#This Row],[Attrition]]="Yes","Resigned",Table1[[#This Row],[Attrition]]="No","Active")</f>
        <v>Active</v>
      </c>
      <c r="AM1420" t="str" cm="1">
        <f t="array" ref="AM1420">_xlfn.IFS(Table1[[#This Row],[YearsAtCompany]]&lt;=1,"0-1 Year",Table1[[#This Row],[YearsAtCompany]]&lt;=2,"1-2 Years",Table1[[#This Row],[YearsAtCompany]]&lt;=3,"2-3 Years",Table1[[#This Row],[YearsAtCompany]]&lt;=4,"3-4 Years",Table1[[#This Row],[YearsAtCompany]]&lt;=5,"4-5 Years",Table1[[#This Row],[YearsAtCompany]]&gt;5,"&gt;5 Years")</f>
        <v>&gt;5 Years</v>
      </c>
    </row>
    <row r="1421" spans="1:39" hidden="1" x14ac:dyDescent="0.45">
      <c r="A1421">
        <v>42</v>
      </c>
      <c r="B1421" t="s">
        <v>43</v>
      </c>
      <c r="C1421" t="s">
        <v>64</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_xlfn.IFS(Table1[[#This Row],[Age]]&lt;30,"Young",Table1[[#This Row],[Age]]&lt;=40,"Adult",Table1[[#This Row],[Age]]&gt;40,"Senior")</f>
        <v>Senior</v>
      </c>
      <c r="AK1421" t="str" cm="1">
        <f t="array" ref="AK1421">_xlfn.IFS(Table1[[#This Row],[MonthlyIncome]]&lt;5000,"Low",Table1[[#This Row],[MonthlyIncome]]&lt;10000,"Medium",Table1[[#This Row],[MonthlyIncome]]&gt;10000,"High")</f>
        <v>Medium</v>
      </c>
      <c r="AL1421" t="str" cm="1">
        <f t="array" ref="AL1421">_xlfn.IFS(Table1[[#This Row],[Attrition]]="Yes","Resigned",Table1[[#This Row],[Attrition]]="No","Active")</f>
        <v>Active</v>
      </c>
      <c r="AM1421" t="str" cm="1">
        <f t="array" ref="AM1421">_xlfn.IFS(Table1[[#This Row],[YearsAtCompany]]&lt;=1,"0-1 Year",Table1[[#This Row],[YearsAtCompany]]&lt;=2,"1-2 Years",Table1[[#This Row],[YearsAtCompany]]&lt;=3,"2-3 Years",Table1[[#This Row],[YearsAtCompany]]&lt;=4,"3-4 Years",Table1[[#This Row],[YearsAtCompany]]&lt;=5,"4-5 Years",Table1[[#This Row],[YearsAtCompany]]&gt;5,"&gt;5 Years")</f>
        <v>3-4 Years</v>
      </c>
    </row>
    <row r="1422" spans="1:39" hidden="1" x14ac:dyDescent="0.45">
      <c r="A1422">
        <v>41</v>
      </c>
      <c r="B1422" t="s">
        <v>43</v>
      </c>
      <c r="C1422" t="s">
        <v>64</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_xlfn.IFS(Table1[[#This Row],[Age]]&lt;30,"Young",Table1[[#This Row],[Age]]&lt;=40,"Adult",Table1[[#This Row],[Age]]&gt;40,"Senior")</f>
        <v>Senior</v>
      </c>
      <c r="AK1422" t="str" cm="1">
        <f t="array" ref="AK1422">_xlfn.IFS(Table1[[#This Row],[MonthlyIncome]]&lt;5000,"Low",Table1[[#This Row],[MonthlyIncome]]&lt;10000,"Medium",Table1[[#This Row],[MonthlyIncome]]&gt;10000,"High")</f>
        <v>Low</v>
      </c>
      <c r="AL1422" t="str" cm="1">
        <f t="array" ref="AL1422">_xlfn.IFS(Table1[[#This Row],[Attrition]]="Yes","Resigned",Table1[[#This Row],[Attrition]]="No","Active")</f>
        <v>Active</v>
      </c>
      <c r="AM1422" t="str" cm="1">
        <f t="array" ref="AM1422">_xlfn.IFS(Table1[[#This Row],[YearsAtCompany]]&lt;=1,"0-1 Year",Table1[[#This Row],[YearsAtCompany]]&lt;=2,"1-2 Years",Table1[[#This Row],[YearsAtCompany]]&lt;=3,"2-3 Years",Table1[[#This Row],[YearsAtCompany]]&lt;=4,"3-4 Years",Table1[[#This Row],[YearsAtCompany]]&lt;=5,"4-5 Years",Table1[[#This Row],[YearsAtCompany]]&gt;5,"&gt;5 Years")</f>
        <v>4-5 Years</v>
      </c>
    </row>
    <row r="1423" spans="1:39" hidden="1" x14ac:dyDescent="0.45">
      <c r="A1423">
        <v>47</v>
      </c>
      <c r="B1423" t="s">
        <v>43</v>
      </c>
      <c r="C1423" t="s">
        <v>62</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_xlfn.IFS(Table1[[#This Row],[Age]]&lt;30,"Young",Table1[[#This Row],[Age]]&lt;=40,"Adult",Table1[[#This Row],[Age]]&gt;40,"Senior")</f>
        <v>Senior</v>
      </c>
      <c r="AK1423" t="str" cm="1">
        <f t="array" ref="AK1423">_xlfn.IFS(Table1[[#This Row],[MonthlyIncome]]&lt;5000,"Low",Table1[[#This Row],[MonthlyIncome]]&lt;10000,"Medium",Table1[[#This Row],[MonthlyIncome]]&gt;10000,"High")</f>
        <v>High</v>
      </c>
      <c r="AL1423" t="str" cm="1">
        <f t="array" ref="AL1423">_xlfn.IFS(Table1[[#This Row],[Attrition]]="Yes","Resigned",Table1[[#This Row],[Attrition]]="No","Active")</f>
        <v>Active</v>
      </c>
      <c r="AM1423" t="str" cm="1">
        <f t="array" ref="AM1423">_xlfn.IFS(Table1[[#This Row],[YearsAtCompany]]&lt;=1,"0-1 Year",Table1[[#This Row],[YearsAtCompany]]&lt;=2,"1-2 Years",Table1[[#This Row],[YearsAtCompany]]&lt;=3,"2-3 Years",Table1[[#This Row],[YearsAtCompany]]&lt;=4,"3-4 Years",Table1[[#This Row],[YearsAtCompany]]&lt;=5,"4-5 Years",Table1[[#This Row],[YearsAtCompany]]&gt;5,"&gt;5 Years")</f>
        <v>&gt;5 Years</v>
      </c>
    </row>
    <row r="1424" spans="1:39" hidden="1" x14ac:dyDescent="0.45">
      <c r="A1424">
        <v>35</v>
      </c>
      <c r="B1424" t="s">
        <v>43</v>
      </c>
      <c r="C1424" t="s">
        <v>64</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_xlfn.IFS(Table1[[#This Row],[Age]]&lt;30,"Young",Table1[[#This Row],[Age]]&lt;=40,"Adult",Table1[[#This Row],[Age]]&gt;40,"Senior")</f>
        <v>Adult</v>
      </c>
      <c r="AK1424" t="str" cm="1">
        <f t="array" ref="AK1424">_xlfn.IFS(Table1[[#This Row],[MonthlyIncome]]&lt;5000,"Low",Table1[[#This Row],[MonthlyIncome]]&lt;10000,"Medium",Table1[[#This Row],[MonthlyIncome]]&gt;10000,"High")</f>
        <v>Low</v>
      </c>
      <c r="AL1424" t="str" cm="1">
        <f t="array" ref="AL1424">_xlfn.IFS(Table1[[#This Row],[Attrition]]="Yes","Resigned",Table1[[#This Row],[Attrition]]="No","Active")</f>
        <v>Active</v>
      </c>
      <c r="AM1424" t="str" cm="1">
        <f t="array" ref="AM1424">_xlfn.IFS(Table1[[#This Row],[YearsAtCompany]]&lt;=1,"0-1 Year",Table1[[#This Row],[YearsAtCompany]]&lt;=2,"1-2 Years",Table1[[#This Row],[YearsAtCompany]]&lt;=3,"2-3 Years",Table1[[#This Row],[YearsAtCompany]]&lt;=4,"3-4 Years",Table1[[#This Row],[YearsAtCompany]]&lt;=5,"4-5 Years",Table1[[#This Row],[YearsAtCompany]]&gt;5,"&gt;5 Years")</f>
        <v>1-2 Years</v>
      </c>
    </row>
    <row r="1425" spans="1:39" hidden="1" x14ac:dyDescent="0.45">
      <c r="A1425">
        <v>22</v>
      </c>
      <c r="B1425" t="s">
        <v>43</v>
      </c>
      <c r="C1425" t="s">
        <v>64</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_xlfn.IFS(Table1[[#This Row],[Age]]&lt;30,"Young",Table1[[#This Row],[Age]]&lt;=40,"Adult",Table1[[#This Row],[Age]]&gt;40,"Senior")</f>
        <v>Young</v>
      </c>
      <c r="AK1425" t="str" cm="1">
        <f t="array" ref="AK1425">_xlfn.IFS(Table1[[#This Row],[MonthlyIncome]]&lt;5000,"Low",Table1[[#This Row],[MonthlyIncome]]&lt;10000,"Medium",Table1[[#This Row],[MonthlyIncome]]&gt;10000,"High")</f>
        <v>Low</v>
      </c>
      <c r="AL1425" t="str" cm="1">
        <f t="array" ref="AL1425">_xlfn.IFS(Table1[[#This Row],[Attrition]]="Yes","Resigned",Table1[[#This Row],[Attrition]]="No","Active")</f>
        <v>Active</v>
      </c>
      <c r="AM1425" t="str" cm="1">
        <f t="array" ref="AM1425">_xlfn.IFS(Table1[[#This Row],[YearsAtCompany]]&lt;=1,"0-1 Year",Table1[[#This Row],[YearsAtCompany]]&lt;=2,"1-2 Years",Table1[[#This Row],[YearsAtCompany]]&lt;=3,"2-3 Years",Table1[[#This Row],[YearsAtCompany]]&lt;=4,"3-4 Years",Table1[[#This Row],[YearsAtCompany]]&lt;=5,"4-5 Years",Table1[[#This Row],[YearsAtCompany]]&gt;5,"&gt;5 Years")</f>
        <v>2-3 Years</v>
      </c>
    </row>
    <row r="1426" spans="1:39" hidden="1" x14ac:dyDescent="0.45">
      <c r="A1426">
        <v>35</v>
      </c>
      <c r="B1426" t="s">
        <v>43</v>
      </c>
      <c r="C1426" t="s">
        <v>64</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_xlfn.IFS(Table1[[#This Row],[Age]]&lt;30,"Young",Table1[[#This Row],[Age]]&lt;=40,"Adult",Table1[[#This Row],[Age]]&gt;40,"Senior")</f>
        <v>Adult</v>
      </c>
      <c r="AK1426" t="str" cm="1">
        <f t="array" ref="AK1426">_xlfn.IFS(Table1[[#This Row],[MonthlyIncome]]&lt;5000,"Low",Table1[[#This Row],[MonthlyIncome]]&lt;10000,"Medium",Table1[[#This Row],[MonthlyIncome]]&gt;10000,"High")</f>
        <v>Medium</v>
      </c>
      <c r="AL1426" t="str" cm="1">
        <f t="array" ref="AL1426">_xlfn.IFS(Table1[[#This Row],[Attrition]]="Yes","Resigned",Table1[[#This Row],[Attrition]]="No","Active")</f>
        <v>Active</v>
      </c>
      <c r="AM1426" t="str" cm="1">
        <f t="array" ref="AM1426">_xlfn.IFS(Table1[[#This Row],[YearsAtCompany]]&lt;=1,"0-1 Year",Table1[[#This Row],[YearsAtCompany]]&lt;=2,"1-2 Years",Table1[[#This Row],[YearsAtCompany]]&lt;=3,"2-3 Years",Table1[[#This Row],[YearsAtCompany]]&lt;=4,"3-4 Years",Table1[[#This Row],[YearsAtCompany]]&lt;=5,"4-5 Years",Table1[[#This Row],[YearsAtCompany]]&gt;5,"&gt;5 Years")</f>
        <v>&gt;5 Years</v>
      </c>
    </row>
    <row r="1427" spans="1:39" hidden="1" x14ac:dyDescent="0.45">
      <c r="A1427">
        <v>33</v>
      </c>
      <c r="B1427" t="s">
        <v>43</v>
      </c>
      <c r="C1427" t="s">
        <v>64</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_xlfn.IFS(Table1[[#This Row],[Age]]&lt;30,"Young",Table1[[#This Row],[Age]]&lt;=40,"Adult",Table1[[#This Row],[Age]]&gt;40,"Senior")</f>
        <v>Adult</v>
      </c>
      <c r="AK1427" t="str" cm="1">
        <f t="array" ref="AK1427">_xlfn.IFS(Table1[[#This Row],[MonthlyIncome]]&lt;5000,"Low",Table1[[#This Row],[MonthlyIncome]]&lt;10000,"Medium",Table1[[#This Row],[MonthlyIncome]]&gt;10000,"High")</f>
        <v>Low</v>
      </c>
      <c r="AL1427" t="str" cm="1">
        <f t="array" ref="AL1427">_xlfn.IFS(Table1[[#This Row],[Attrition]]="Yes","Resigned",Table1[[#This Row],[Attrition]]="No","Active")</f>
        <v>Active</v>
      </c>
      <c r="AM1427" t="str" cm="1">
        <f t="array" ref="AM1427">_xlfn.IFS(Table1[[#This Row],[YearsAtCompany]]&lt;=1,"0-1 Year",Table1[[#This Row],[YearsAtCompany]]&lt;=2,"1-2 Years",Table1[[#This Row],[YearsAtCompany]]&lt;=3,"2-3 Years",Table1[[#This Row],[YearsAtCompany]]&lt;=4,"3-4 Years",Table1[[#This Row],[YearsAtCompany]]&lt;=5,"4-5 Years",Table1[[#This Row],[YearsAtCompany]]&gt;5,"&gt;5 Years")</f>
        <v>&gt;5 Years</v>
      </c>
    </row>
    <row r="1428" spans="1:39" hidden="1" x14ac:dyDescent="0.45">
      <c r="A1428">
        <v>32</v>
      </c>
      <c r="B1428" t="s">
        <v>43</v>
      </c>
      <c r="C1428" t="s">
        <v>64</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_xlfn.IFS(Table1[[#This Row],[Age]]&lt;30,"Young",Table1[[#This Row],[Age]]&lt;=40,"Adult",Table1[[#This Row],[Age]]&gt;40,"Senior")</f>
        <v>Adult</v>
      </c>
      <c r="AK1428" t="str" cm="1">
        <f t="array" ref="AK1428">_xlfn.IFS(Table1[[#This Row],[MonthlyIncome]]&lt;5000,"Low",Table1[[#This Row],[MonthlyIncome]]&lt;10000,"Medium",Table1[[#This Row],[MonthlyIncome]]&gt;10000,"High")</f>
        <v>Low</v>
      </c>
      <c r="AL1428" t="str" cm="1">
        <f t="array" ref="AL1428">_xlfn.IFS(Table1[[#This Row],[Attrition]]="Yes","Resigned",Table1[[#This Row],[Attrition]]="No","Active")</f>
        <v>Active</v>
      </c>
      <c r="AM1428" t="str" cm="1">
        <f t="array" ref="AM1428">_xlfn.IFS(Table1[[#This Row],[YearsAtCompany]]&lt;=1,"0-1 Year",Table1[[#This Row],[YearsAtCompany]]&lt;=2,"1-2 Years",Table1[[#This Row],[YearsAtCompany]]&lt;=3,"2-3 Years",Table1[[#This Row],[YearsAtCompany]]&lt;=4,"3-4 Years",Table1[[#This Row],[YearsAtCompany]]&lt;=5,"4-5 Years",Table1[[#This Row],[YearsAtCompany]]&gt;5,"&gt;5 Years")</f>
        <v>&gt;5 Years</v>
      </c>
    </row>
    <row r="1429" spans="1:39" hidden="1" x14ac:dyDescent="0.45">
      <c r="A1429">
        <v>40</v>
      </c>
      <c r="B1429" t="s">
        <v>43</v>
      </c>
      <c r="C1429" t="s">
        <v>64</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_xlfn.IFS(Table1[[#This Row],[Age]]&lt;30,"Young",Table1[[#This Row],[Age]]&lt;=40,"Adult",Table1[[#This Row],[Age]]&gt;40,"Senior")</f>
        <v>Adult</v>
      </c>
      <c r="AK1429" t="str" cm="1">
        <f t="array" ref="AK1429">_xlfn.IFS(Table1[[#This Row],[MonthlyIncome]]&lt;5000,"Low",Table1[[#This Row],[MonthlyIncome]]&lt;10000,"Medium",Table1[[#This Row],[MonthlyIncome]]&gt;10000,"High")</f>
        <v>Low</v>
      </c>
      <c r="AL1429" t="str" cm="1">
        <f t="array" ref="AL1429">_xlfn.IFS(Table1[[#This Row],[Attrition]]="Yes","Resigned",Table1[[#This Row],[Attrition]]="No","Active")</f>
        <v>Active</v>
      </c>
      <c r="AM1429" t="str" cm="1">
        <f t="array" ref="AM1429">_xlfn.IFS(Table1[[#This Row],[YearsAtCompany]]&lt;=1,"0-1 Year",Table1[[#This Row],[YearsAtCompany]]&lt;=2,"1-2 Years",Table1[[#This Row],[YearsAtCompany]]&lt;=3,"2-3 Years",Table1[[#This Row],[YearsAtCompany]]&lt;=4,"3-4 Years",Table1[[#This Row],[YearsAtCompany]]&lt;=5,"4-5 Years",Table1[[#This Row],[YearsAtCompany]]&gt;5,"&gt;5 Years")</f>
        <v>0-1 Year</v>
      </c>
    </row>
    <row r="1430" spans="1:39" x14ac:dyDescent="0.45">
      <c r="A1430">
        <v>32</v>
      </c>
      <c r="B1430" t="s">
        <v>43</v>
      </c>
      <c r="C1430" t="s">
        <v>64</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_xlfn.IFS(Table1[[#This Row],[Age]]&lt;30,"Young",Table1[[#This Row],[Age]]&lt;=40,"Adult",Table1[[#This Row],[Age]]&gt;40,"Senior")</f>
        <v>Adult</v>
      </c>
      <c r="AK1430" t="str" cm="1">
        <f t="array" ref="AK1430">_xlfn.IFS(Table1[[#This Row],[MonthlyIncome]]&lt;5000,"Low",Table1[[#This Row],[MonthlyIncome]]&lt;10000,"Medium",Table1[[#This Row],[MonthlyIncome]]&gt;10000,"High")</f>
        <v>Low</v>
      </c>
      <c r="AL1430" t="str" cm="1">
        <f t="array" ref="AL1430">_xlfn.IFS(Table1[[#This Row],[Attrition]]="Yes","Resigned",Table1[[#This Row],[Attrition]]="No","Active")</f>
        <v>Active</v>
      </c>
      <c r="AM1430" t="str" cm="1">
        <f t="array" ref="AM1430">_xlfn.IFS(Table1[[#This Row],[YearsAtCompany]]&lt;=1,"0-1 Year",Table1[[#This Row],[YearsAtCompany]]&lt;=2,"1-2 Years",Table1[[#This Row],[YearsAtCompany]]&lt;=3,"2-3 Years",Table1[[#This Row],[YearsAtCompany]]&lt;=4,"3-4 Years",Table1[[#This Row],[YearsAtCompany]]&lt;=5,"4-5 Years",Table1[[#This Row],[YearsAtCompany]]&gt;5,"&gt;5 Years")</f>
        <v>1-2 Years</v>
      </c>
    </row>
    <row r="1431" spans="1:39" hidden="1" x14ac:dyDescent="0.45">
      <c r="A1431">
        <v>39</v>
      </c>
      <c r="B1431" t="s">
        <v>43</v>
      </c>
      <c r="C1431" t="s">
        <v>64</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_xlfn.IFS(Table1[[#This Row],[Age]]&lt;30,"Young",Table1[[#This Row],[Age]]&lt;=40,"Adult",Table1[[#This Row],[Age]]&gt;40,"Senior")</f>
        <v>Adult</v>
      </c>
      <c r="AK1431" t="str" cm="1">
        <f t="array" ref="AK1431">_xlfn.IFS(Table1[[#This Row],[MonthlyIncome]]&lt;5000,"Low",Table1[[#This Row],[MonthlyIncome]]&lt;10000,"Medium",Table1[[#This Row],[MonthlyIncome]]&gt;10000,"High")</f>
        <v>Low</v>
      </c>
      <c r="AL1431" t="str" cm="1">
        <f t="array" ref="AL1431">_xlfn.IFS(Table1[[#This Row],[Attrition]]="Yes","Resigned",Table1[[#This Row],[Attrition]]="No","Active")</f>
        <v>Active</v>
      </c>
      <c r="AM1431" t="str" cm="1">
        <f t="array" ref="AM1431">_xlfn.IFS(Table1[[#This Row],[YearsAtCompany]]&lt;=1,"0-1 Year",Table1[[#This Row],[YearsAtCompany]]&lt;=2,"1-2 Years",Table1[[#This Row],[YearsAtCompany]]&lt;=3,"2-3 Years",Table1[[#This Row],[YearsAtCompany]]&lt;=4,"3-4 Years",Table1[[#This Row],[YearsAtCompany]]&lt;=5,"4-5 Years",Table1[[#This Row],[YearsAtCompany]]&gt;5,"&gt;5 Years")</f>
        <v>&gt;5 Years</v>
      </c>
    </row>
    <row r="1432" spans="1:39" hidden="1" x14ac:dyDescent="0.45">
      <c r="A1432">
        <v>38</v>
      </c>
      <c r="B1432" t="s">
        <v>43</v>
      </c>
      <c r="C1432" t="s">
        <v>64</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_xlfn.IFS(Table1[[#This Row],[Age]]&lt;30,"Young",Table1[[#This Row],[Age]]&lt;=40,"Adult",Table1[[#This Row],[Age]]&gt;40,"Senior")</f>
        <v>Adult</v>
      </c>
      <c r="AK1432" t="str" cm="1">
        <f t="array" ref="AK1432">_xlfn.IFS(Table1[[#This Row],[MonthlyIncome]]&lt;5000,"Low",Table1[[#This Row],[MonthlyIncome]]&lt;10000,"Medium",Table1[[#This Row],[MonthlyIncome]]&gt;10000,"High")</f>
        <v>High</v>
      </c>
      <c r="AL1432" t="str" cm="1">
        <f t="array" ref="AL1432">_xlfn.IFS(Table1[[#This Row],[Attrition]]="Yes","Resigned",Table1[[#This Row],[Attrition]]="No","Active")</f>
        <v>Active</v>
      </c>
      <c r="AM1432" t="str" cm="1">
        <f t="array" ref="AM1432">_xlfn.IFS(Table1[[#This Row],[YearsAtCompany]]&lt;=1,"0-1 Year",Table1[[#This Row],[YearsAtCompany]]&lt;=2,"1-2 Years",Table1[[#This Row],[YearsAtCompany]]&lt;=3,"2-3 Years",Table1[[#This Row],[YearsAtCompany]]&lt;=4,"3-4 Years",Table1[[#This Row],[YearsAtCompany]]&lt;=5,"4-5 Years",Table1[[#This Row],[YearsAtCompany]]&gt;5,"&gt;5 Years")</f>
        <v>&gt;5 Years</v>
      </c>
    </row>
    <row r="1433" spans="1:39" x14ac:dyDescent="0.45">
      <c r="A1433">
        <v>32</v>
      </c>
      <c r="B1433" t="s">
        <v>43</v>
      </c>
      <c r="C1433" t="s">
        <v>64</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_xlfn.IFS(Table1[[#This Row],[Age]]&lt;30,"Young",Table1[[#This Row],[Age]]&lt;=40,"Adult",Table1[[#This Row],[Age]]&gt;40,"Senior")</f>
        <v>Adult</v>
      </c>
      <c r="AK1433" t="str" cm="1">
        <f t="array" ref="AK1433">_xlfn.IFS(Table1[[#This Row],[MonthlyIncome]]&lt;5000,"Low",Table1[[#This Row],[MonthlyIncome]]&lt;10000,"Medium",Table1[[#This Row],[MonthlyIncome]]&gt;10000,"High")</f>
        <v>High</v>
      </c>
      <c r="AL1433" t="str" cm="1">
        <f t="array" ref="AL1433">_xlfn.IFS(Table1[[#This Row],[Attrition]]="Yes","Resigned",Table1[[#This Row],[Attrition]]="No","Active")</f>
        <v>Active</v>
      </c>
      <c r="AM1433" t="str" cm="1">
        <f t="array" ref="AM1433">_xlfn.IFS(Table1[[#This Row],[YearsAtCompany]]&lt;=1,"0-1 Year",Table1[[#This Row],[YearsAtCompany]]&lt;=2,"1-2 Years",Table1[[#This Row],[YearsAtCompany]]&lt;=3,"2-3 Years",Table1[[#This Row],[YearsAtCompany]]&lt;=4,"3-4 Years",Table1[[#This Row],[YearsAtCompany]]&lt;=5,"4-5 Years",Table1[[#This Row],[YearsAtCompany]]&gt;5,"&gt;5 Years")</f>
        <v>&gt;5 Years</v>
      </c>
    </row>
    <row r="1434" spans="1:39" hidden="1" x14ac:dyDescent="0.45">
      <c r="A1434">
        <v>37</v>
      </c>
      <c r="B1434" t="s">
        <v>43</v>
      </c>
      <c r="C1434" t="s">
        <v>64</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_xlfn.IFS(Table1[[#This Row],[Age]]&lt;30,"Young",Table1[[#This Row],[Age]]&lt;=40,"Adult",Table1[[#This Row],[Age]]&gt;40,"Senior")</f>
        <v>Adult</v>
      </c>
      <c r="AK1434" t="str" cm="1">
        <f t="array" ref="AK1434">_xlfn.IFS(Table1[[#This Row],[MonthlyIncome]]&lt;5000,"Low",Table1[[#This Row],[MonthlyIncome]]&lt;10000,"Medium",Table1[[#This Row],[MonthlyIncome]]&gt;10000,"High")</f>
        <v>High</v>
      </c>
      <c r="AL1434" t="str" cm="1">
        <f t="array" ref="AL1434">_xlfn.IFS(Table1[[#This Row],[Attrition]]="Yes","Resigned",Table1[[#This Row],[Attrition]]="No","Active")</f>
        <v>Active</v>
      </c>
      <c r="AM1434" t="str" cm="1">
        <f t="array" ref="AM1434">_xlfn.IFS(Table1[[#This Row],[YearsAtCompany]]&lt;=1,"0-1 Year",Table1[[#This Row],[YearsAtCompany]]&lt;=2,"1-2 Years",Table1[[#This Row],[YearsAtCompany]]&lt;=3,"2-3 Years",Table1[[#This Row],[YearsAtCompany]]&lt;=4,"3-4 Years",Table1[[#This Row],[YearsAtCompany]]&lt;=5,"4-5 Years",Table1[[#This Row],[YearsAtCompany]]&gt;5,"&gt;5 Years")</f>
        <v>&gt;5 Years</v>
      </c>
    </row>
    <row r="1435" spans="1:39" x14ac:dyDescent="0.45">
      <c r="A1435">
        <v>25</v>
      </c>
      <c r="B1435" t="s">
        <v>43</v>
      </c>
      <c r="C1435" t="s">
        <v>64</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_xlfn.IFS(Table1[[#This Row],[Age]]&lt;30,"Young",Table1[[#This Row],[Age]]&lt;=40,"Adult",Table1[[#This Row],[Age]]&gt;40,"Senior")</f>
        <v>Young</v>
      </c>
      <c r="AK1435" t="str" cm="1">
        <f t="array" ref="AK1435">_xlfn.IFS(Table1[[#This Row],[MonthlyIncome]]&lt;5000,"Low",Table1[[#This Row],[MonthlyIncome]]&lt;10000,"Medium",Table1[[#This Row],[MonthlyIncome]]&gt;10000,"High")</f>
        <v>Low</v>
      </c>
      <c r="AL1435" t="str" cm="1">
        <f t="array" ref="AL1435">_xlfn.IFS(Table1[[#This Row],[Attrition]]="Yes","Resigned",Table1[[#This Row],[Attrition]]="No","Active")</f>
        <v>Active</v>
      </c>
      <c r="AM1435" t="str" cm="1">
        <f t="array" ref="AM1435">_xlfn.IFS(Table1[[#This Row],[YearsAtCompany]]&lt;=1,"0-1 Year",Table1[[#This Row],[YearsAtCompany]]&lt;=2,"1-2 Years",Table1[[#This Row],[YearsAtCompany]]&lt;=3,"2-3 Years",Table1[[#This Row],[YearsAtCompany]]&lt;=4,"3-4 Years",Table1[[#This Row],[YearsAtCompany]]&lt;=5,"4-5 Years",Table1[[#This Row],[YearsAtCompany]]&gt;5,"&gt;5 Years")</f>
        <v>4-5 Years</v>
      </c>
    </row>
    <row r="1436" spans="1:39" x14ac:dyDescent="0.45">
      <c r="A1436">
        <v>52</v>
      </c>
      <c r="B1436" t="s">
        <v>43</v>
      </c>
      <c r="C1436" t="s">
        <v>62</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_xlfn.IFS(Table1[[#This Row],[Age]]&lt;30,"Young",Table1[[#This Row],[Age]]&lt;=40,"Adult",Table1[[#This Row],[Age]]&gt;40,"Senior")</f>
        <v>Senior</v>
      </c>
      <c r="AK1436" t="str" cm="1">
        <f t="array" ref="AK1436">_xlfn.IFS(Table1[[#This Row],[MonthlyIncome]]&lt;5000,"Low",Table1[[#This Row],[MonthlyIncome]]&lt;10000,"Medium",Table1[[#This Row],[MonthlyIncome]]&gt;10000,"High")</f>
        <v>Low</v>
      </c>
      <c r="AL1436" t="str" cm="1">
        <f t="array" ref="AL1436">_xlfn.IFS(Table1[[#This Row],[Attrition]]="Yes","Resigned",Table1[[#This Row],[Attrition]]="No","Active")</f>
        <v>Active</v>
      </c>
      <c r="AM1436" t="str" cm="1">
        <f t="array" ref="AM1436">_xlfn.IFS(Table1[[#This Row],[YearsAtCompany]]&lt;=1,"0-1 Year",Table1[[#This Row],[YearsAtCompany]]&lt;=2,"1-2 Years",Table1[[#This Row],[YearsAtCompany]]&lt;=3,"2-3 Years",Table1[[#This Row],[YearsAtCompany]]&lt;=4,"3-4 Years",Table1[[#This Row],[YearsAtCompany]]&lt;=5,"4-5 Years",Table1[[#This Row],[YearsAtCompany]]&gt;5,"&gt;5 Years")</f>
        <v>&gt;5 Years</v>
      </c>
    </row>
    <row r="1437" spans="1:39" hidden="1" x14ac:dyDescent="0.45">
      <c r="A1437">
        <v>44</v>
      </c>
      <c r="B1437" t="s">
        <v>43</v>
      </c>
      <c r="C1437" t="s">
        <v>64</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_xlfn.IFS(Table1[[#This Row],[Age]]&lt;30,"Young",Table1[[#This Row],[Age]]&lt;=40,"Adult",Table1[[#This Row],[Age]]&gt;40,"Senior")</f>
        <v>Senior</v>
      </c>
      <c r="AK1437" t="str" cm="1">
        <f t="array" ref="AK1437">_xlfn.IFS(Table1[[#This Row],[MonthlyIncome]]&lt;5000,"Low",Table1[[#This Row],[MonthlyIncome]]&lt;10000,"Medium",Table1[[#This Row],[MonthlyIncome]]&gt;10000,"High")</f>
        <v>Low</v>
      </c>
      <c r="AL1437" t="str" cm="1">
        <f t="array" ref="AL1437">_xlfn.IFS(Table1[[#This Row],[Attrition]]="Yes","Resigned",Table1[[#This Row],[Attrition]]="No","Active")</f>
        <v>Active</v>
      </c>
      <c r="AM1437" t="str" cm="1">
        <f t="array" ref="AM1437">_xlfn.IFS(Table1[[#This Row],[YearsAtCompany]]&lt;=1,"0-1 Year",Table1[[#This Row],[YearsAtCompany]]&lt;=2,"1-2 Years",Table1[[#This Row],[YearsAtCompany]]&lt;=3,"2-3 Years",Table1[[#This Row],[YearsAtCompany]]&lt;=4,"3-4 Years",Table1[[#This Row],[YearsAtCompany]]&lt;=5,"4-5 Years",Table1[[#This Row],[YearsAtCompany]]&gt;5,"&gt;5 Years")</f>
        <v>3-4 Years</v>
      </c>
    </row>
    <row r="1438" spans="1:39" x14ac:dyDescent="0.45">
      <c r="A1438">
        <v>21</v>
      </c>
      <c r="B1438" t="s">
        <v>43</v>
      </c>
      <c r="C1438" t="s">
        <v>64</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_xlfn.IFS(Table1[[#This Row],[Age]]&lt;30,"Young",Table1[[#This Row],[Age]]&lt;=40,"Adult",Table1[[#This Row],[Age]]&gt;40,"Senior")</f>
        <v>Young</v>
      </c>
      <c r="AK1438" t="str" cm="1">
        <f t="array" ref="AK1438">_xlfn.IFS(Table1[[#This Row],[MonthlyIncome]]&lt;5000,"Low",Table1[[#This Row],[MonthlyIncome]]&lt;10000,"Medium",Table1[[#This Row],[MonthlyIncome]]&gt;10000,"High")</f>
        <v>Low</v>
      </c>
      <c r="AL1438" t="str" cm="1">
        <f t="array" ref="AL1438">_xlfn.IFS(Table1[[#This Row],[Attrition]]="Yes","Resigned",Table1[[#This Row],[Attrition]]="No","Active")</f>
        <v>Active</v>
      </c>
      <c r="AM1438" t="str" cm="1">
        <f t="array" ref="AM1438">_xlfn.IFS(Table1[[#This Row],[YearsAtCompany]]&lt;=1,"0-1 Year",Table1[[#This Row],[YearsAtCompany]]&lt;=2,"1-2 Years",Table1[[#This Row],[YearsAtCompany]]&lt;=3,"2-3 Years",Table1[[#This Row],[YearsAtCompany]]&lt;=4,"3-4 Years",Table1[[#This Row],[YearsAtCompany]]&lt;=5,"4-5 Years",Table1[[#This Row],[YearsAtCompany]]&gt;5,"&gt;5 Years")</f>
        <v>1-2 Years</v>
      </c>
    </row>
    <row r="1439" spans="1:39" hidden="1" x14ac:dyDescent="0.45">
      <c r="A1439">
        <v>39</v>
      </c>
      <c r="B1439" t="s">
        <v>43</v>
      </c>
      <c r="C1439" t="s">
        <v>62</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_xlfn.IFS(Table1[[#This Row],[Age]]&lt;30,"Young",Table1[[#This Row],[Age]]&lt;=40,"Adult",Table1[[#This Row],[Age]]&gt;40,"Senior")</f>
        <v>Adult</v>
      </c>
      <c r="AK1439" t="str" cm="1">
        <f t="array" ref="AK1439">_xlfn.IFS(Table1[[#This Row],[MonthlyIncome]]&lt;5000,"Low",Table1[[#This Row],[MonthlyIncome]]&lt;10000,"Medium",Table1[[#This Row],[MonthlyIncome]]&gt;10000,"High")</f>
        <v>High</v>
      </c>
      <c r="AL1439" t="str" cm="1">
        <f t="array" ref="AL1439">_xlfn.IFS(Table1[[#This Row],[Attrition]]="Yes","Resigned",Table1[[#This Row],[Attrition]]="No","Active")</f>
        <v>Active</v>
      </c>
      <c r="AM1439" t="str" cm="1">
        <f t="array" ref="AM1439">_xlfn.IFS(Table1[[#This Row],[YearsAtCompany]]&lt;=1,"0-1 Year",Table1[[#This Row],[YearsAtCompany]]&lt;=2,"1-2 Years",Table1[[#This Row],[YearsAtCompany]]&lt;=3,"2-3 Years",Table1[[#This Row],[YearsAtCompany]]&lt;=4,"3-4 Years",Table1[[#This Row],[YearsAtCompany]]&lt;=5,"4-5 Years",Table1[[#This Row],[YearsAtCompany]]&gt;5,"&gt;5 Years")</f>
        <v>&gt;5 Years</v>
      </c>
    </row>
    <row r="1440" spans="1:39" x14ac:dyDescent="0.45">
      <c r="A1440">
        <v>23</v>
      </c>
      <c r="B1440" t="s">
        <v>35</v>
      </c>
      <c r="C1440" t="s">
        <v>63</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_xlfn.IFS(Table1[[#This Row],[Age]]&lt;30,"Young",Table1[[#This Row],[Age]]&lt;=40,"Adult",Table1[[#This Row],[Age]]&gt;40,"Senior")</f>
        <v>Young</v>
      </c>
      <c r="AK1440" t="str" cm="1">
        <f t="array" ref="AK1440">_xlfn.IFS(Table1[[#This Row],[MonthlyIncome]]&lt;5000,"Low",Table1[[#This Row],[MonthlyIncome]]&lt;10000,"Medium",Table1[[#This Row],[MonthlyIncome]]&gt;10000,"High")</f>
        <v>Low</v>
      </c>
      <c r="AL1440" t="str" cm="1">
        <f t="array" ref="AL1440">_xlfn.IFS(Table1[[#This Row],[Attrition]]="Yes","Resigned",Table1[[#This Row],[Attrition]]="No","Active")</f>
        <v>Resigned</v>
      </c>
      <c r="AM1440" t="str" cm="1">
        <f t="array" ref="AM1440">_xlfn.IFS(Table1[[#This Row],[YearsAtCompany]]&lt;=1,"0-1 Year",Table1[[#This Row],[YearsAtCompany]]&lt;=2,"1-2 Years",Table1[[#This Row],[YearsAtCompany]]&lt;=3,"2-3 Years",Table1[[#This Row],[YearsAtCompany]]&lt;=4,"3-4 Years",Table1[[#This Row],[YearsAtCompany]]&lt;=5,"4-5 Years",Table1[[#This Row],[YearsAtCompany]]&gt;5,"&gt;5 Years")</f>
        <v>0-1 Year</v>
      </c>
    </row>
    <row r="1441" spans="1:39" x14ac:dyDescent="0.45">
      <c r="A1441">
        <v>36</v>
      </c>
      <c r="B1441" t="s">
        <v>43</v>
      </c>
      <c r="C1441" t="s">
        <v>64</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_xlfn.IFS(Table1[[#This Row],[Age]]&lt;30,"Young",Table1[[#This Row],[Age]]&lt;=40,"Adult",Table1[[#This Row],[Age]]&gt;40,"Senior")</f>
        <v>Adult</v>
      </c>
      <c r="AK1441" t="str" cm="1">
        <f t="array" ref="AK1441">_xlfn.IFS(Table1[[#This Row],[MonthlyIncome]]&lt;5000,"Low",Table1[[#This Row],[MonthlyIncome]]&lt;10000,"Medium",Table1[[#This Row],[MonthlyIncome]]&gt;10000,"High")</f>
        <v>Medium</v>
      </c>
      <c r="AL1441" t="str" cm="1">
        <f t="array" ref="AL1441">_xlfn.IFS(Table1[[#This Row],[Attrition]]="Yes","Resigned",Table1[[#This Row],[Attrition]]="No","Active")</f>
        <v>Active</v>
      </c>
      <c r="AM1441" t="str" cm="1">
        <f t="array" ref="AM1441">_xlfn.IFS(Table1[[#This Row],[YearsAtCompany]]&lt;=1,"0-1 Year",Table1[[#This Row],[YearsAtCompany]]&lt;=2,"1-2 Years",Table1[[#This Row],[YearsAtCompany]]&lt;=3,"2-3 Years",Table1[[#This Row],[YearsAtCompany]]&lt;=4,"3-4 Years",Table1[[#This Row],[YearsAtCompany]]&lt;=5,"4-5 Years",Table1[[#This Row],[YearsAtCompany]]&gt;5,"&gt;5 Years")</f>
        <v>&gt;5 Years</v>
      </c>
    </row>
    <row r="1442" spans="1:39" hidden="1" x14ac:dyDescent="0.45">
      <c r="A1442">
        <v>36</v>
      </c>
      <c r="B1442" t="s">
        <v>43</v>
      </c>
      <c r="C1442" t="s">
        <v>63</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_xlfn.IFS(Table1[[#This Row],[Age]]&lt;30,"Young",Table1[[#This Row],[Age]]&lt;=40,"Adult",Table1[[#This Row],[Age]]&gt;40,"Senior")</f>
        <v>Adult</v>
      </c>
      <c r="AK1442" t="str" cm="1">
        <f t="array" ref="AK1442">_xlfn.IFS(Table1[[#This Row],[MonthlyIncome]]&lt;5000,"Low",Table1[[#This Row],[MonthlyIncome]]&lt;10000,"Medium",Table1[[#This Row],[MonthlyIncome]]&gt;10000,"High")</f>
        <v>Medium</v>
      </c>
      <c r="AL1442" t="str" cm="1">
        <f t="array" ref="AL1442">_xlfn.IFS(Table1[[#This Row],[Attrition]]="Yes","Resigned",Table1[[#This Row],[Attrition]]="No","Active")</f>
        <v>Active</v>
      </c>
      <c r="AM1442" t="str" cm="1">
        <f t="array" ref="AM1442">_xlfn.IFS(Table1[[#This Row],[YearsAtCompany]]&lt;=1,"0-1 Year",Table1[[#This Row],[YearsAtCompany]]&lt;=2,"1-2 Years",Table1[[#This Row],[YearsAtCompany]]&lt;=3,"2-3 Years",Table1[[#This Row],[YearsAtCompany]]&lt;=4,"3-4 Years",Table1[[#This Row],[YearsAtCompany]]&lt;=5,"4-5 Years",Table1[[#This Row],[YearsAtCompany]]&gt;5,"&gt;5 Years")</f>
        <v>3-4 Years</v>
      </c>
    </row>
    <row r="1443" spans="1:39" hidden="1" x14ac:dyDescent="0.45">
      <c r="A1443">
        <v>56</v>
      </c>
      <c r="B1443" t="s">
        <v>43</v>
      </c>
      <c r="C1443" t="s">
        <v>62</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_xlfn.IFS(Table1[[#This Row],[Age]]&lt;30,"Young",Table1[[#This Row],[Age]]&lt;=40,"Adult",Table1[[#This Row],[Age]]&gt;40,"Senior")</f>
        <v>Senior</v>
      </c>
      <c r="AK1443" t="str" cm="1">
        <f t="array" ref="AK1443">_xlfn.IFS(Table1[[#This Row],[MonthlyIncome]]&lt;5000,"Low",Table1[[#This Row],[MonthlyIncome]]&lt;10000,"Medium",Table1[[#This Row],[MonthlyIncome]]&gt;10000,"High")</f>
        <v>Medium</v>
      </c>
      <c r="AL1443" t="str" cm="1">
        <f t="array" ref="AL1443">_xlfn.IFS(Table1[[#This Row],[Attrition]]="Yes","Resigned",Table1[[#This Row],[Attrition]]="No","Active")</f>
        <v>Active</v>
      </c>
      <c r="AM1443" t="str" cm="1">
        <f t="array" ref="AM1443">_xlfn.IFS(Table1[[#This Row],[YearsAtCompany]]&lt;=1,"0-1 Year",Table1[[#This Row],[YearsAtCompany]]&lt;=2,"1-2 Years",Table1[[#This Row],[YearsAtCompany]]&lt;=3,"2-3 Years",Table1[[#This Row],[YearsAtCompany]]&lt;=4,"3-4 Years",Table1[[#This Row],[YearsAtCompany]]&lt;=5,"4-5 Years",Table1[[#This Row],[YearsAtCompany]]&gt;5,"&gt;5 Years")</f>
        <v>&gt;5 Years</v>
      </c>
    </row>
    <row r="1444" spans="1:39" hidden="1" x14ac:dyDescent="0.45">
      <c r="A1444">
        <v>29</v>
      </c>
      <c r="B1444" t="s">
        <v>35</v>
      </c>
      <c r="C1444" t="s">
        <v>64</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_xlfn.IFS(Table1[[#This Row],[Age]]&lt;30,"Young",Table1[[#This Row],[Age]]&lt;=40,"Adult",Table1[[#This Row],[Age]]&gt;40,"Senior")</f>
        <v>Young</v>
      </c>
      <c r="AK1444" t="str" cm="1">
        <f t="array" ref="AK1444">_xlfn.IFS(Table1[[#This Row],[MonthlyIncome]]&lt;5000,"Low",Table1[[#This Row],[MonthlyIncome]]&lt;10000,"Medium",Table1[[#This Row],[MonthlyIncome]]&gt;10000,"High")</f>
        <v>Low</v>
      </c>
      <c r="AL1444" t="str" cm="1">
        <f t="array" ref="AL1444">_xlfn.IFS(Table1[[#This Row],[Attrition]]="Yes","Resigned",Table1[[#This Row],[Attrition]]="No","Active")</f>
        <v>Resigned</v>
      </c>
      <c r="AM1444" t="str" cm="1">
        <f t="array" ref="AM1444">_xlfn.IFS(Table1[[#This Row],[YearsAtCompany]]&lt;=1,"0-1 Year",Table1[[#This Row],[YearsAtCompany]]&lt;=2,"1-2 Years",Table1[[#This Row],[YearsAtCompany]]&lt;=3,"2-3 Years",Table1[[#This Row],[YearsAtCompany]]&lt;=4,"3-4 Years",Table1[[#This Row],[YearsAtCompany]]&lt;=5,"4-5 Years",Table1[[#This Row],[YearsAtCompany]]&gt;5,"&gt;5 Years")</f>
        <v>1-2 Years</v>
      </c>
    </row>
    <row r="1445" spans="1:39" hidden="1" x14ac:dyDescent="0.45">
      <c r="A1445">
        <v>42</v>
      </c>
      <c r="B1445" t="s">
        <v>43</v>
      </c>
      <c r="C1445" t="s">
        <v>64</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_xlfn.IFS(Table1[[#This Row],[Age]]&lt;30,"Young",Table1[[#This Row],[Age]]&lt;=40,"Adult",Table1[[#This Row],[Age]]&gt;40,"Senior")</f>
        <v>Senior</v>
      </c>
      <c r="AK1445" t="str" cm="1">
        <f t="array" ref="AK1445">_xlfn.IFS(Table1[[#This Row],[MonthlyIncome]]&lt;5000,"Low",Table1[[#This Row],[MonthlyIncome]]&lt;10000,"Medium",Table1[[#This Row],[MonthlyIncome]]&gt;10000,"High")</f>
        <v>High</v>
      </c>
      <c r="AL1445" t="str" cm="1">
        <f t="array" ref="AL1445">_xlfn.IFS(Table1[[#This Row],[Attrition]]="Yes","Resigned",Table1[[#This Row],[Attrition]]="No","Active")</f>
        <v>Active</v>
      </c>
      <c r="AM1445" t="str" cm="1">
        <f t="array" ref="AM1445">_xlfn.IFS(Table1[[#This Row],[YearsAtCompany]]&lt;=1,"0-1 Year",Table1[[#This Row],[YearsAtCompany]]&lt;=2,"1-2 Years",Table1[[#This Row],[YearsAtCompany]]&lt;=3,"2-3 Years",Table1[[#This Row],[YearsAtCompany]]&lt;=4,"3-4 Years",Table1[[#This Row],[YearsAtCompany]]&lt;=5,"4-5 Years",Table1[[#This Row],[YearsAtCompany]]&gt;5,"&gt;5 Years")</f>
        <v>&gt;5 Years</v>
      </c>
    </row>
    <row r="1446" spans="1:39" hidden="1" x14ac:dyDescent="0.45">
      <c r="A1446">
        <v>56</v>
      </c>
      <c r="B1446" t="s">
        <v>35</v>
      </c>
      <c r="C1446" t="s">
        <v>64</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_xlfn.IFS(Table1[[#This Row],[Age]]&lt;30,"Young",Table1[[#This Row],[Age]]&lt;=40,"Adult",Table1[[#This Row],[Age]]&gt;40,"Senior")</f>
        <v>Senior</v>
      </c>
      <c r="AK1446" t="str" cm="1">
        <f t="array" ref="AK1446">_xlfn.IFS(Table1[[#This Row],[MonthlyIncome]]&lt;5000,"Low",Table1[[#This Row],[MonthlyIncome]]&lt;10000,"Medium",Table1[[#This Row],[MonthlyIncome]]&gt;10000,"High")</f>
        <v>Low</v>
      </c>
      <c r="AL1446" t="str" cm="1">
        <f t="array" ref="AL1446">_xlfn.IFS(Table1[[#This Row],[Attrition]]="Yes","Resigned",Table1[[#This Row],[Attrition]]="No","Active")</f>
        <v>Resigned</v>
      </c>
      <c r="AM1446" t="str" cm="1">
        <f t="array" ref="AM1446">_xlfn.IFS(Table1[[#This Row],[YearsAtCompany]]&lt;=1,"0-1 Year",Table1[[#This Row],[YearsAtCompany]]&lt;=2,"1-2 Years",Table1[[#This Row],[YearsAtCompany]]&lt;=3,"2-3 Years",Table1[[#This Row],[YearsAtCompany]]&lt;=4,"3-4 Years",Table1[[#This Row],[YearsAtCompany]]&lt;=5,"4-5 Years",Table1[[#This Row],[YearsAtCompany]]&gt;5,"&gt;5 Years")</f>
        <v>&gt;5 Years</v>
      </c>
    </row>
    <row r="1447" spans="1:39" hidden="1" x14ac:dyDescent="0.45">
      <c r="A1447">
        <v>41</v>
      </c>
      <c r="B1447" t="s">
        <v>43</v>
      </c>
      <c r="C1447" t="s">
        <v>64</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_xlfn.IFS(Table1[[#This Row],[Age]]&lt;30,"Young",Table1[[#This Row],[Age]]&lt;=40,"Adult",Table1[[#This Row],[Age]]&gt;40,"Senior")</f>
        <v>Senior</v>
      </c>
      <c r="AK1447" t="str" cm="1">
        <f t="array" ref="AK1447">_xlfn.IFS(Table1[[#This Row],[MonthlyIncome]]&lt;5000,"Low",Table1[[#This Row],[MonthlyIncome]]&lt;10000,"Medium",Table1[[#This Row],[MonthlyIncome]]&gt;10000,"High")</f>
        <v>High</v>
      </c>
      <c r="AL1447" t="str" cm="1">
        <f t="array" ref="AL1447">_xlfn.IFS(Table1[[#This Row],[Attrition]]="Yes","Resigned",Table1[[#This Row],[Attrition]]="No","Active")</f>
        <v>Active</v>
      </c>
      <c r="AM1447" t="str" cm="1">
        <f t="array" ref="AM1447">_xlfn.IFS(Table1[[#This Row],[YearsAtCompany]]&lt;=1,"0-1 Year",Table1[[#This Row],[YearsAtCompany]]&lt;=2,"1-2 Years",Table1[[#This Row],[YearsAtCompany]]&lt;=3,"2-3 Years",Table1[[#This Row],[YearsAtCompany]]&lt;=4,"3-4 Years",Table1[[#This Row],[YearsAtCompany]]&lt;=5,"4-5 Years",Table1[[#This Row],[YearsAtCompany]]&gt;5,"&gt;5 Years")</f>
        <v>&gt;5 Years</v>
      </c>
    </row>
    <row r="1448" spans="1:39" x14ac:dyDescent="0.45">
      <c r="A1448">
        <v>34</v>
      </c>
      <c r="B1448" t="s">
        <v>43</v>
      </c>
      <c r="C1448" t="s">
        <v>64</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_xlfn.IFS(Table1[[#This Row],[Age]]&lt;30,"Young",Table1[[#This Row],[Age]]&lt;=40,"Adult",Table1[[#This Row],[Age]]&gt;40,"Senior")</f>
        <v>Adult</v>
      </c>
      <c r="AK1448" t="str" cm="1">
        <f t="array" ref="AK1448">_xlfn.IFS(Table1[[#This Row],[MonthlyIncome]]&lt;5000,"Low",Table1[[#This Row],[MonthlyIncome]]&lt;10000,"Medium",Table1[[#This Row],[MonthlyIncome]]&gt;10000,"High")</f>
        <v>Medium</v>
      </c>
      <c r="AL1448" t="str" cm="1">
        <f t="array" ref="AL1448">_xlfn.IFS(Table1[[#This Row],[Attrition]]="Yes","Resigned",Table1[[#This Row],[Attrition]]="No","Active")</f>
        <v>Active</v>
      </c>
      <c r="AM1448" t="str" cm="1">
        <f t="array" ref="AM1448">_xlfn.IFS(Table1[[#This Row],[YearsAtCompany]]&lt;=1,"0-1 Year",Table1[[#This Row],[YearsAtCompany]]&lt;=2,"1-2 Years",Table1[[#This Row],[YearsAtCompany]]&lt;=3,"2-3 Years",Table1[[#This Row],[YearsAtCompany]]&lt;=4,"3-4 Years",Table1[[#This Row],[YearsAtCompany]]&lt;=5,"4-5 Years",Table1[[#This Row],[YearsAtCompany]]&gt;5,"&gt;5 Years")</f>
        <v>&gt;5 Years</v>
      </c>
    </row>
    <row r="1449" spans="1:39" x14ac:dyDescent="0.45">
      <c r="A1449">
        <v>36</v>
      </c>
      <c r="B1449" t="s">
        <v>43</v>
      </c>
      <c r="C1449" t="s">
        <v>62</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_xlfn.IFS(Table1[[#This Row],[Age]]&lt;30,"Young",Table1[[#This Row],[Age]]&lt;=40,"Adult",Table1[[#This Row],[Age]]&gt;40,"Senior")</f>
        <v>Adult</v>
      </c>
      <c r="AK1449" t="str" cm="1">
        <f t="array" ref="AK1449">_xlfn.IFS(Table1[[#This Row],[MonthlyIncome]]&lt;5000,"Low",Table1[[#This Row],[MonthlyIncome]]&lt;10000,"Medium",Table1[[#This Row],[MonthlyIncome]]&gt;10000,"High")</f>
        <v>Medium</v>
      </c>
      <c r="AL1449" t="str" cm="1">
        <f t="array" ref="AL1449">_xlfn.IFS(Table1[[#This Row],[Attrition]]="Yes","Resigned",Table1[[#This Row],[Attrition]]="No","Active")</f>
        <v>Active</v>
      </c>
      <c r="AM1449" t="str" cm="1">
        <f t="array" ref="AM1449">_xlfn.IFS(Table1[[#This Row],[YearsAtCompany]]&lt;=1,"0-1 Year",Table1[[#This Row],[YearsAtCompany]]&lt;=2,"1-2 Years",Table1[[#This Row],[YearsAtCompany]]&lt;=3,"2-3 Years",Table1[[#This Row],[YearsAtCompany]]&lt;=4,"3-4 Years",Table1[[#This Row],[YearsAtCompany]]&lt;=5,"4-5 Years",Table1[[#This Row],[YearsAtCompany]]&gt;5,"&gt;5 Years")</f>
        <v>&gt;5 Years</v>
      </c>
    </row>
    <row r="1450" spans="1:39" x14ac:dyDescent="0.45">
      <c r="A1450">
        <v>41</v>
      </c>
      <c r="B1450" t="s">
        <v>43</v>
      </c>
      <c r="C1450" t="s">
        <v>64</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_xlfn.IFS(Table1[[#This Row],[Age]]&lt;30,"Young",Table1[[#This Row],[Age]]&lt;=40,"Adult",Table1[[#This Row],[Age]]&gt;40,"Senior")</f>
        <v>Senior</v>
      </c>
      <c r="AK1450" t="str" cm="1">
        <f t="array" ref="AK1450">_xlfn.IFS(Table1[[#This Row],[MonthlyIncome]]&lt;5000,"Low",Table1[[#This Row],[MonthlyIncome]]&lt;10000,"Medium",Table1[[#This Row],[MonthlyIncome]]&gt;10000,"High")</f>
        <v>Medium</v>
      </c>
      <c r="AL1450" t="str" cm="1">
        <f t="array" ref="AL1450">_xlfn.IFS(Table1[[#This Row],[Attrition]]="Yes","Resigned",Table1[[#This Row],[Attrition]]="No","Active")</f>
        <v>Active</v>
      </c>
      <c r="AM1450" t="str" cm="1">
        <f t="array" ref="AM1450">_xlfn.IFS(Table1[[#This Row],[YearsAtCompany]]&lt;=1,"0-1 Year",Table1[[#This Row],[YearsAtCompany]]&lt;=2,"1-2 Years",Table1[[#This Row],[YearsAtCompany]]&lt;=3,"2-3 Years",Table1[[#This Row],[YearsAtCompany]]&lt;=4,"3-4 Years",Table1[[#This Row],[YearsAtCompany]]&lt;=5,"4-5 Years",Table1[[#This Row],[YearsAtCompany]]&gt;5,"&gt;5 Years")</f>
        <v>4-5 Years</v>
      </c>
    </row>
    <row r="1451" spans="1:39" hidden="1" x14ac:dyDescent="0.45">
      <c r="A1451">
        <v>32</v>
      </c>
      <c r="B1451" t="s">
        <v>43</v>
      </c>
      <c r="C1451" t="s">
        <v>64</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_xlfn.IFS(Table1[[#This Row],[Age]]&lt;30,"Young",Table1[[#This Row],[Age]]&lt;=40,"Adult",Table1[[#This Row],[Age]]&gt;40,"Senior")</f>
        <v>Adult</v>
      </c>
      <c r="AK1451" t="str" cm="1">
        <f t="array" ref="AK1451">_xlfn.IFS(Table1[[#This Row],[MonthlyIncome]]&lt;5000,"Low",Table1[[#This Row],[MonthlyIncome]]&lt;10000,"Medium",Table1[[#This Row],[MonthlyIncome]]&gt;10000,"High")</f>
        <v>Low</v>
      </c>
      <c r="AL1451" t="str" cm="1">
        <f t="array" ref="AL1451">_xlfn.IFS(Table1[[#This Row],[Attrition]]="Yes","Resigned",Table1[[#This Row],[Attrition]]="No","Active")</f>
        <v>Active</v>
      </c>
      <c r="AM1451" t="str" cm="1">
        <f t="array" ref="AM1451">_xlfn.IFS(Table1[[#This Row],[YearsAtCompany]]&lt;=1,"0-1 Year",Table1[[#This Row],[YearsAtCompany]]&lt;=2,"1-2 Years",Table1[[#This Row],[YearsAtCompany]]&lt;=3,"2-3 Years",Table1[[#This Row],[YearsAtCompany]]&lt;=4,"3-4 Years",Table1[[#This Row],[YearsAtCompany]]&lt;=5,"4-5 Years",Table1[[#This Row],[YearsAtCompany]]&gt;5,"&gt;5 Years")</f>
        <v>3-4 Years</v>
      </c>
    </row>
    <row r="1452" spans="1:39" hidden="1" x14ac:dyDescent="0.45">
      <c r="A1452">
        <v>35</v>
      </c>
      <c r="B1452" t="s">
        <v>43</v>
      </c>
      <c r="C1452" t="s">
        <v>64</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_xlfn.IFS(Table1[[#This Row],[Age]]&lt;30,"Young",Table1[[#This Row],[Age]]&lt;=40,"Adult",Table1[[#This Row],[Age]]&gt;40,"Senior")</f>
        <v>Adult</v>
      </c>
      <c r="AK1452" t="str" cm="1">
        <f t="array" ref="AK1452">_xlfn.IFS(Table1[[#This Row],[MonthlyIncome]]&lt;5000,"Low",Table1[[#This Row],[MonthlyIncome]]&lt;10000,"Medium",Table1[[#This Row],[MonthlyIncome]]&gt;10000,"High")</f>
        <v>Medium</v>
      </c>
      <c r="AL1452" t="str" cm="1">
        <f t="array" ref="AL1452">_xlfn.IFS(Table1[[#This Row],[Attrition]]="Yes","Resigned",Table1[[#This Row],[Attrition]]="No","Active")</f>
        <v>Active</v>
      </c>
      <c r="AM1452" t="str" cm="1">
        <f t="array" ref="AM1452">_xlfn.IFS(Table1[[#This Row],[YearsAtCompany]]&lt;=1,"0-1 Year",Table1[[#This Row],[YearsAtCompany]]&lt;=2,"1-2 Years",Table1[[#This Row],[YearsAtCompany]]&lt;=3,"2-3 Years",Table1[[#This Row],[YearsAtCompany]]&lt;=4,"3-4 Years",Table1[[#This Row],[YearsAtCompany]]&lt;=5,"4-5 Years",Table1[[#This Row],[YearsAtCompany]]&gt;5,"&gt;5 Years")</f>
        <v>&gt;5 Years</v>
      </c>
    </row>
    <row r="1453" spans="1:39" x14ac:dyDescent="0.45">
      <c r="A1453">
        <v>38</v>
      </c>
      <c r="B1453" t="s">
        <v>43</v>
      </c>
      <c r="C1453" t="s">
        <v>64</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_xlfn.IFS(Table1[[#This Row],[Age]]&lt;30,"Young",Table1[[#This Row],[Age]]&lt;=40,"Adult",Table1[[#This Row],[Age]]&gt;40,"Senior")</f>
        <v>Adult</v>
      </c>
      <c r="AK1453" t="str" cm="1">
        <f t="array" ref="AK1453">_xlfn.IFS(Table1[[#This Row],[MonthlyIncome]]&lt;5000,"Low",Table1[[#This Row],[MonthlyIncome]]&lt;10000,"Medium",Table1[[#This Row],[MonthlyIncome]]&gt;10000,"High")</f>
        <v>Medium</v>
      </c>
      <c r="AL1453" t="str" cm="1">
        <f t="array" ref="AL1453">_xlfn.IFS(Table1[[#This Row],[Attrition]]="Yes","Resigned",Table1[[#This Row],[Attrition]]="No","Active")</f>
        <v>Active</v>
      </c>
      <c r="AM1453" t="str" cm="1">
        <f t="array" ref="AM1453">_xlfn.IFS(Table1[[#This Row],[YearsAtCompany]]&lt;=1,"0-1 Year",Table1[[#This Row],[YearsAtCompany]]&lt;=2,"1-2 Years",Table1[[#This Row],[YearsAtCompany]]&lt;=3,"2-3 Years",Table1[[#This Row],[YearsAtCompany]]&lt;=4,"3-4 Years",Table1[[#This Row],[YearsAtCompany]]&lt;=5,"4-5 Years",Table1[[#This Row],[YearsAtCompany]]&gt;5,"&gt;5 Years")</f>
        <v>&gt;5 Years</v>
      </c>
    </row>
    <row r="1454" spans="1:39" x14ac:dyDescent="0.45">
      <c r="A1454">
        <v>50</v>
      </c>
      <c r="B1454" t="s">
        <v>35</v>
      </c>
      <c r="C1454" t="s">
        <v>63</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_xlfn.IFS(Table1[[#This Row],[Age]]&lt;30,"Young",Table1[[#This Row],[Age]]&lt;=40,"Adult",Table1[[#This Row],[Age]]&gt;40,"Senior")</f>
        <v>Senior</v>
      </c>
      <c r="AK1454" t="str" cm="1">
        <f t="array" ref="AK1454">_xlfn.IFS(Table1[[#This Row],[MonthlyIncome]]&lt;5000,"Low",Table1[[#This Row],[MonthlyIncome]]&lt;10000,"Medium",Table1[[#This Row],[MonthlyIncome]]&gt;10000,"High")</f>
        <v>Medium</v>
      </c>
      <c r="AL1454" t="str" cm="1">
        <f t="array" ref="AL1454">_xlfn.IFS(Table1[[#This Row],[Attrition]]="Yes","Resigned",Table1[[#This Row],[Attrition]]="No","Active")</f>
        <v>Resigned</v>
      </c>
      <c r="AM1454" t="str" cm="1">
        <f t="array" ref="AM1454">_xlfn.IFS(Table1[[#This Row],[YearsAtCompany]]&lt;=1,"0-1 Year",Table1[[#This Row],[YearsAtCompany]]&lt;=2,"1-2 Years",Table1[[#This Row],[YearsAtCompany]]&lt;=3,"2-3 Years",Table1[[#This Row],[YearsAtCompany]]&lt;=4,"3-4 Years",Table1[[#This Row],[YearsAtCompany]]&lt;=5,"4-5 Years",Table1[[#This Row],[YearsAtCompany]]&gt;5,"&gt;5 Years")</f>
        <v>&gt;5 Years</v>
      </c>
    </row>
    <row r="1455" spans="1:39" x14ac:dyDescent="0.45">
      <c r="A1455">
        <v>36</v>
      </c>
      <c r="B1455" t="s">
        <v>43</v>
      </c>
      <c r="C1455" t="s">
        <v>64</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_xlfn.IFS(Table1[[#This Row],[Age]]&lt;30,"Young",Table1[[#This Row],[Age]]&lt;=40,"Adult",Table1[[#This Row],[Age]]&gt;40,"Senior")</f>
        <v>Adult</v>
      </c>
      <c r="AK1455" t="str" cm="1">
        <f t="array" ref="AK1455">_xlfn.IFS(Table1[[#This Row],[MonthlyIncome]]&lt;5000,"Low",Table1[[#This Row],[MonthlyIncome]]&lt;10000,"Medium",Table1[[#This Row],[MonthlyIncome]]&gt;10000,"High")</f>
        <v>Medium</v>
      </c>
      <c r="AL1455" t="str" cm="1">
        <f t="array" ref="AL1455">_xlfn.IFS(Table1[[#This Row],[Attrition]]="Yes","Resigned",Table1[[#This Row],[Attrition]]="No","Active")</f>
        <v>Active</v>
      </c>
      <c r="AM1455" t="str" cm="1">
        <f t="array" ref="AM1455">_xlfn.IFS(Table1[[#This Row],[YearsAtCompany]]&lt;=1,"0-1 Year",Table1[[#This Row],[YearsAtCompany]]&lt;=2,"1-2 Years",Table1[[#This Row],[YearsAtCompany]]&lt;=3,"2-3 Years",Table1[[#This Row],[YearsAtCompany]]&lt;=4,"3-4 Years",Table1[[#This Row],[YearsAtCompany]]&lt;=5,"4-5 Years",Table1[[#This Row],[YearsAtCompany]]&gt;5,"&gt;5 Years")</f>
        <v>&gt;5 Years</v>
      </c>
    </row>
    <row r="1456" spans="1:39" x14ac:dyDescent="0.45">
      <c r="A1456">
        <v>45</v>
      </c>
      <c r="B1456" t="s">
        <v>43</v>
      </c>
      <c r="C1456" t="s">
        <v>64</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_xlfn.IFS(Table1[[#This Row],[Age]]&lt;30,"Young",Table1[[#This Row],[Age]]&lt;=40,"Adult",Table1[[#This Row],[Age]]&gt;40,"Senior")</f>
        <v>Senior</v>
      </c>
      <c r="AK1456" t="str" cm="1">
        <f t="array" ref="AK1456">_xlfn.IFS(Table1[[#This Row],[MonthlyIncome]]&lt;5000,"Low",Table1[[#This Row],[MonthlyIncome]]&lt;10000,"Medium",Table1[[#This Row],[MonthlyIncome]]&gt;10000,"High")</f>
        <v>Low</v>
      </c>
      <c r="AL1456" t="str" cm="1">
        <f t="array" ref="AL1456">_xlfn.IFS(Table1[[#This Row],[Attrition]]="Yes","Resigned",Table1[[#This Row],[Attrition]]="No","Active")</f>
        <v>Active</v>
      </c>
      <c r="AM1456" t="str" cm="1">
        <f t="array" ref="AM1456">_xlfn.IFS(Table1[[#This Row],[YearsAtCompany]]&lt;=1,"0-1 Year",Table1[[#This Row],[YearsAtCompany]]&lt;=2,"1-2 Years",Table1[[#This Row],[YearsAtCompany]]&lt;=3,"2-3 Years",Table1[[#This Row],[YearsAtCompany]]&lt;=4,"3-4 Years",Table1[[#This Row],[YearsAtCompany]]&lt;=5,"4-5 Years",Table1[[#This Row],[YearsAtCompany]]&gt;5,"&gt;5 Years")</f>
        <v>4-5 Years</v>
      </c>
    </row>
    <row r="1457" spans="1:39" hidden="1" x14ac:dyDescent="0.45">
      <c r="A1457">
        <v>40</v>
      </c>
      <c r="B1457" t="s">
        <v>43</v>
      </c>
      <c r="C1457" t="s">
        <v>64</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_xlfn.IFS(Table1[[#This Row],[Age]]&lt;30,"Young",Table1[[#This Row],[Age]]&lt;=40,"Adult",Table1[[#This Row],[Age]]&gt;40,"Senior")</f>
        <v>Adult</v>
      </c>
      <c r="AK1457" t="str" cm="1">
        <f t="array" ref="AK1457">_xlfn.IFS(Table1[[#This Row],[MonthlyIncome]]&lt;5000,"Low",Table1[[#This Row],[MonthlyIncome]]&lt;10000,"Medium",Table1[[#This Row],[MonthlyIncome]]&gt;10000,"High")</f>
        <v>Low</v>
      </c>
      <c r="AL1457" t="str" cm="1">
        <f t="array" ref="AL1457">_xlfn.IFS(Table1[[#This Row],[Attrition]]="Yes","Resigned",Table1[[#This Row],[Attrition]]="No","Active")</f>
        <v>Active</v>
      </c>
      <c r="AM1457" t="str" cm="1">
        <f t="array" ref="AM1457">_xlfn.IFS(Table1[[#This Row],[YearsAtCompany]]&lt;=1,"0-1 Year",Table1[[#This Row],[YearsAtCompany]]&lt;=2,"1-2 Years",Table1[[#This Row],[YearsAtCompany]]&lt;=3,"2-3 Years",Table1[[#This Row],[YearsAtCompany]]&lt;=4,"3-4 Years",Table1[[#This Row],[YearsAtCompany]]&lt;=5,"4-5 Years",Table1[[#This Row],[YearsAtCompany]]&gt;5,"&gt;5 Years")</f>
        <v>1-2 Years</v>
      </c>
    </row>
    <row r="1458" spans="1:39" hidden="1" x14ac:dyDescent="0.45">
      <c r="A1458">
        <v>35</v>
      </c>
      <c r="B1458" t="s">
        <v>43</v>
      </c>
      <c r="C1458" t="s">
        <v>63</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_xlfn.IFS(Table1[[#This Row],[Age]]&lt;30,"Young",Table1[[#This Row],[Age]]&lt;=40,"Adult",Table1[[#This Row],[Age]]&gt;40,"Senior")</f>
        <v>Adult</v>
      </c>
      <c r="AK1458" t="str" cm="1">
        <f t="array" ref="AK1458">_xlfn.IFS(Table1[[#This Row],[MonthlyIncome]]&lt;5000,"Low",Table1[[#This Row],[MonthlyIncome]]&lt;10000,"Medium",Table1[[#This Row],[MonthlyIncome]]&gt;10000,"High")</f>
        <v>Medium</v>
      </c>
      <c r="AL1458" t="str" cm="1">
        <f t="array" ref="AL1458">_xlfn.IFS(Table1[[#This Row],[Attrition]]="Yes","Resigned",Table1[[#This Row],[Attrition]]="No","Active")</f>
        <v>Active</v>
      </c>
      <c r="AM1458" t="str" cm="1">
        <f t="array" ref="AM1458">_xlfn.IFS(Table1[[#This Row],[YearsAtCompany]]&lt;=1,"0-1 Year",Table1[[#This Row],[YearsAtCompany]]&lt;=2,"1-2 Years",Table1[[#This Row],[YearsAtCompany]]&lt;=3,"2-3 Years",Table1[[#This Row],[YearsAtCompany]]&lt;=4,"3-4 Years",Table1[[#This Row],[YearsAtCompany]]&lt;=5,"4-5 Years",Table1[[#This Row],[YearsAtCompany]]&gt;5,"&gt;5 Years")</f>
        <v>&gt;5 Years</v>
      </c>
    </row>
    <row r="1459" spans="1:39" hidden="1" x14ac:dyDescent="0.45">
      <c r="A1459">
        <v>40</v>
      </c>
      <c r="B1459" t="s">
        <v>43</v>
      </c>
      <c r="C1459" t="s">
        <v>64</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_xlfn.IFS(Table1[[#This Row],[Age]]&lt;30,"Young",Table1[[#This Row],[Age]]&lt;=40,"Adult",Table1[[#This Row],[Age]]&gt;40,"Senior")</f>
        <v>Adult</v>
      </c>
      <c r="AK1459" t="str" cm="1">
        <f t="array" ref="AK1459">_xlfn.IFS(Table1[[#This Row],[MonthlyIncome]]&lt;5000,"Low",Table1[[#This Row],[MonthlyIncome]]&lt;10000,"Medium",Table1[[#This Row],[MonthlyIncome]]&gt;10000,"High")</f>
        <v>Low</v>
      </c>
      <c r="AL1459" t="str" cm="1">
        <f t="array" ref="AL1459">_xlfn.IFS(Table1[[#This Row],[Attrition]]="Yes","Resigned",Table1[[#This Row],[Attrition]]="No","Active")</f>
        <v>Active</v>
      </c>
      <c r="AM1459" t="str" cm="1">
        <f t="array" ref="AM1459">_xlfn.IFS(Table1[[#This Row],[YearsAtCompany]]&lt;=1,"0-1 Year",Table1[[#This Row],[YearsAtCompany]]&lt;=2,"1-2 Years",Table1[[#This Row],[YearsAtCompany]]&lt;=3,"2-3 Years",Table1[[#This Row],[YearsAtCompany]]&lt;=4,"3-4 Years",Table1[[#This Row],[YearsAtCompany]]&lt;=5,"4-5 Years",Table1[[#This Row],[YearsAtCompany]]&gt;5,"&gt;5 Years")</f>
        <v>4-5 Years</v>
      </c>
    </row>
    <row r="1460" spans="1:39" hidden="1" x14ac:dyDescent="0.45">
      <c r="A1460">
        <v>35</v>
      </c>
      <c r="B1460" t="s">
        <v>43</v>
      </c>
      <c r="C1460" t="s">
        <v>64</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_xlfn.IFS(Table1[[#This Row],[Age]]&lt;30,"Young",Table1[[#This Row],[Age]]&lt;=40,"Adult",Table1[[#This Row],[Age]]&gt;40,"Senior")</f>
        <v>Adult</v>
      </c>
      <c r="AK1460" t="str" cm="1">
        <f t="array" ref="AK1460">_xlfn.IFS(Table1[[#This Row],[MonthlyIncome]]&lt;5000,"Low",Table1[[#This Row],[MonthlyIncome]]&lt;10000,"Medium",Table1[[#This Row],[MonthlyIncome]]&gt;10000,"High")</f>
        <v>Low</v>
      </c>
      <c r="AL1460" t="str" cm="1">
        <f t="array" ref="AL1460">_xlfn.IFS(Table1[[#This Row],[Attrition]]="Yes","Resigned",Table1[[#This Row],[Attrition]]="No","Active")</f>
        <v>Active</v>
      </c>
      <c r="AM1460" t="str" cm="1">
        <f t="array" ref="AM1460">_xlfn.IFS(Table1[[#This Row],[YearsAtCompany]]&lt;=1,"0-1 Year",Table1[[#This Row],[YearsAtCompany]]&lt;=2,"1-2 Years",Table1[[#This Row],[YearsAtCompany]]&lt;=3,"2-3 Years",Table1[[#This Row],[YearsAtCompany]]&lt;=4,"3-4 Years",Table1[[#This Row],[YearsAtCompany]]&lt;=5,"4-5 Years",Table1[[#This Row],[YearsAtCompany]]&gt;5,"&gt;5 Years")</f>
        <v>3-4 Years</v>
      </c>
    </row>
    <row r="1461" spans="1:39" hidden="1" x14ac:dyDescent="0.45">
      <c r="A1461">
        <v>29</v>
      </c>
      <c r="B1461" t="s">
        <v>43</v>
      </c>
      <c r="C1461" t="s">
        <v>64</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_xlfn.IFS(Table1[[#This Row],[Age]]&lt;30,"Young",Table1[[#This Row],[Age]]&lt;=40,"Adult",Table1[[#This Row],[Age]]&gt;40,"Senior")</f>
        <v>Young</v>
      </c>
      <c r="AK1461" t="str" cm="1">
        <f t="array" ref="AK1461">_xlfn.IFS(Table1[[#This Row],[MonthlyIncome]]&lt;5000,"Low",Table1[[#This Row],[MonthlyIncome]]&lt;10000,"Medium",Table1[[#This Row],[MonthlyIncome]]&gt;10000,"High")</f>
        <v>Low</v>
      </c>
      <c r="AL1461" t="str" cm="1">
        <f t="array" ref="AL1461">_xlfn.IFS(Table1[[#This Row],[Attrition]]="Yes","Resigned",Table1[[#This Row],[Attrition]]="No","Active")</f>
        <v>Active</v>
      </c>
      <c r="AM1461" t="str" cm="1">
        <f t="array" ref="AM1461">_xlfn.IFS(Table1[[#This Row],[YearsAtCompany]]&lt;=1,"0-1 Year",Table1[[#This Row],[YearsAtCompany]]&lt;=2,"1-2 Years",Table1[[#This Row],[YearsAtCompany]]&lt;=3,"2-3 Years",Table1[[#This Row],[YearsAtCompany]]&lt;=4,"3-4 Years",Table1[[#This Row],[YearsAtCompany]]&lt;=5,"4-5 Years",Table1[[#This Row],[YearsAtCompany]]&gt;5,"&gt;5 Years")</f>
        <v>3-4 Years</v>
      </c>
    </row>
    <row r="1462" spans="1:39" hidden="1" x14ac:dyDescent="0.45">
      <c r="A1462">
        <v>29</v>
      </c>
      <c r="B1462" t="s">
        <v>43</v>
      </c>
      <c r="C1462" t="s">
        <v>64</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_xlfn.IFS(Table1[[#This Row],[Age]]&lt;30,"Young",Table1[[#This Row],[Age]]&lt;=40,"Adult",Table1[[#This Row],[Age]]&gt;40,"Senior")</f>
        <v>Young</v>
      </c>
      <c r="AK1462" t="str" cm="1">
        <f t="array" ref="AK1462">_xlfn.IFS(Table1[[#This Row],[MonthlyIncome]]&lt;5000,"Low",Table1[[#This Row],[MonthlyIncome]]&lt;10000,"Medium",Table1[[#This Row],[MonthlyIncome]]&gt;10000,"High")</f>
        <v>Low</v>
      </c>
      <c r="AL1462" t="str" cm="1">
        <f t="array" ref="AL1462">_xlfn.IFS(Table1[[#This Row],[Attrition]]="Yes","Resigned",Table1[[#This Row],[Attrition]]="No","Active")</f>
        <v>Active</v>
      </c>
      <c r="AM1462" t="str" cm="1">
        <f t="array" ref="AM1462">_xlfn.IFS(Table1[[#This Row],[YearsAtCompany]]&lt;=1,"0-1 Year",Table1[[#This Row],[YearsAtCompany]]&lt;=2,"1-2 Years",Table1[[#This Row],[YearsAtCompany]]&lt;=3,"2-3 Years",Table1[[#This Row],[YearsAtCompany]]&lt;=4,"3-4 Years",Table1[[#This Row],[YearsAtCompany]]&lt;=5,"4-5 Years",Table1[[#This Row],[YearsAtCompany]]&gt;5,"&gt;5 Years")</f>
        <v>4-5 Years</v>
      </c>
    </row>
    <row r="1463" spans="1:39" x14ac:dyDescent="0.45">
      <c r="A1463">
        <v>50</v>
      </c>
      <c r="B1463" t="s">
        <v>35</v>
      </c>
      <c r="C1463" t="s">
        <v>64</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_xlfn.IFS(Table1[[#This Row],[Age]]&lt;30,"Young",Table1[[#This Row],[Age]]&lt;=40,"Adult",Table1[[#This Row],[Age]]&gt;40,"Senior")</f>
        <v>Senior</v>
      </c>
      <c r="AK1463" t="str" cm="1">
        <f t="array" ref="AK1463">_xlfn.IFS(Table1[[#This Row],[MonthlyIncome]]&lt;5000,"Low",Table1[[#This Row],[MonthlyIncome]]&lt;10000,"Medium",Table1[[#This Row],[MonthlyIncome]]&gt;10000,"High")</f>
        <v>High</v>
      </c>
      <c r="AL1463" t="str" cm="1">
        <f t="array" ref="AL1463">_xlfn.IFS(Table1[[#This Row],[Attrition]]="Yes","Resigned",Table1[[#This Row],[Attrition]]="No","Active")</f>
        <v>Resigned</v>
      </c>
      <c r="AM1463" t="str" cm="1">
        <f t="array" ref="AM1463">_xlfn.IFS(Table1[[#This Row],[YearsAtCompany]]&lt;=1,"0-1 Year",Table1[[#This Row],[YearsAtCompany]]&lt;=2,"1-2 Years",Table1[[#This Row],[YearsAtCompany]]&lt;=3,"2-3 Years",Table1[[#This Row],[YearsAtCompany]]&lt;=4,"3-4 Years",Table1[[#This Row],[YearsAtCompany]]&lt;=5,"4-5 Years",Table1[[#This Row],[YearsAtCompany]]&gt;5,"&gt;5 Years")</f>
        <v>2-3 Years</v>
      </c>
    </row>
    <row r="1464" spans="1:39" x14ac:dyDescent="0.45">
      <c r="A1464">
        <v>39</v>
      </c>
      <c r="B1464" t="s">
        <v>43</v>
      </c>
      <c r="C1464" t="s">
        <v>64</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_xlfn.IFS(Table1[[#This Row],[Age]]&lt;30,"Young",Table1[[#This Row],[Age]]&lt;=40,"Adult",Table1[[#This Row],[Age]]&gt;40,"Senior")</f>
        <v>Adult</v>
      </c>
      <c r="AK1464" t="str" cm="1">
        <f t="array" ref="AK1464">_xlfn.IFS(Table1[[#This Row],[MonthlyIncome]]&lt;5000,"Low",Table1[[#This Row],[MonthlyIncome]]&lt;10000,"Medium",Table1[[#This Row],[MonthlyIncome]]&gt;10000,"High")</f>
        <v>High</v>
      </c>
      <c r="AL1464" t="str" cm="1">
        <f t="array" ref="AL1464">_xlfn.IFS(Table1[[#This Row],[Attrition]]="Yes","Resigned",Table1[[#This Row],[Attrition]]="No","Active")</f>
        <v>Active</v>
      </c>
      <c r="AM1464" t="str" cm="1">
        <f t="array" ref="AM1464">_xlfn.IFS(Table1[[#This Row],[YearsAtCompany]]&lt;=1,"0-1 Year",Table1[[#This Row],[YearsAtCompany]]&lt;=2,"1-2 Years",Table1[[#This Row],[YearsAtCompany]]&lt;=3,"2-3 Years",Table1[[#This Row],[YearsAtCompany]]&lt;=4,"3-4 Years",Table1[[#This Row],[YearsAtCompany]]&lt;=5,"4-5 Years",Table1[[#This Row],[YearsAtCompany]]&gt;5,"&gt;5 Years")</f>
        <v>&gt;5 Years</v>
      </c>
    </row>
    <row r="1465" spans="1:39" hidden="1" x14ac:dyDescent="0.45">
      <c r="A1465">
        <v>31</v>
      </c>
      <c r="B1465" t="s">
        <v>43</v>
      </c>
      <c r="C1465" t="s">
        <v>62</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_xlfn.IFS(Table1[[#This Row],[Age]]&lt;30,"Young",Table1[[#This Row],[Age]]&lt;=40,"Adult",Table1[[#This Row],[Age]]&gt;40,"Senior")</f>
        <v>Adult</v>
      </c>
      <c r="AK1465" t="str" cm="1">
        <f t="array" ref="AK1465">_xlfn.IFS(Table1[[#This Row],[MonthlyIncome]]&lt;5000,"Low",Table1[[#This Row],[MonthlyIncome]]&lt;10000,"Medium",Table1[[#This Row],[MonthlyIncome]]&gt;10000,"High")</f>
        <v>Medium</v>
      </c>
      <c r="AL1465" t="str" cm="1">
        <f t="array" ref="AL1465">_xlfn.IFS(Table1[[#This Row],[Attrition]]="Yes","Resigned",Table1[[#This Row],[Attrition]]="No","Active")</f>
        <v>Active</v>
      </c>
      <c r="AM1465" t="str" cm="1">
        <f t="array" ref="AM1465">_xlfn.IFS(Table1[[#This Row],[YearsAtCompany]]&lt;=1,"0-1 Year",Table1[[#This Row],[YearsAtCompany]]&lt;=2,"1-2 Years",Table1[[#This Row],[YearsAtCompany]]&lt;=3,"2-3 Years",Table1[[#This Row],[YearsAtCompany]]&lt;=4,"3-4 Years",Table1[[#This Row],[YearsAtCompany]]&lt;=5,"4-5 Years",Table1[[#This Row],[YearsAtCompany]]&gt;5,"&gt;5 Years")</f>
        <v>&gt;5 Years</v>
      </c>
    </row>
    <row r="1466" spans="1:39" x14ac:dyDescent="0.45">
      <c r="A1466">
        <v>26</v>
      </c>
      <c r="B1466" t="s">
        <v>43</v>
      </c>
      <c r="C1466" t="s">
        <v>64</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_xlfn.IFS(Table1[[#This Row],[Age]]&lt;30,"Young",Table1[[#This Row],[Age]]&lt;=40,"Adult",Table1[[#This Row],[Age]]&gt;40,"Senior")</f>
        <v>Young</v>
      </c>
      <c r="AK1466" t="str" cm="1">
        <f t="array" ref="AK1466">_xlfn.IFS(Table1[[#This Row],[MonthlyIncome]]&lt;5000,"Low",Table1[[#This Row],[MonthlyIncome]]&lt;10000,"Medium",Table1[[#This Row],[MonthlyIncome]]&gt;10000,"High")</f>
        <v>Low</v>
      </c>
      <c r="AL1466" t="str" cm="1">
        <f t="array" ref="AL1466">_xlfn.IFS(Table1[[#This Row],[Attrition]]="Yes","Resigned",Table1[[#This Row],[Attrition]]="No","Active")</f>
        <v>Active</v>
      </c>
      <c r="AM1466" t="str" cm="1">
        <f t="array" ref="AM1466">_xlfn.IFS(Table1[[#This Row],[YearsAtCompany]]&lt;=1,"0-1 Year",Table1[[#This Row],[YearsAtCompany]]&lt;=2,"1-2 Years",Table1[[#This Row],[YearsAtCompany]]&lt;=3,"2-3 Years",Table1[[#This Row],[YearsAtCompany]]&lt;=4,"3-4 Years",Table1[[#This Row],[YearsAtCompany]]&lt;=5,"4-5 Years",Table1[[#This Row],[YearsAtCompany]]&gt;5,"&gt;5 Years")</f>
        <v>3-4 Years</v>
      </c>
    </row>
    <row r="1467" spans="1:39" hidden="1" x14ac:dyDescent="0.45">
      <c r="A1467">
        <v>36</v>
      </c>
      <c r="B1467" t="s">
        <v>43</v>
      </c>
      <c r="C1467" t="s">
        <v>63</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_xlfn.IFS(Table1[[#This Row],[Age]]&lt;30,"Young",Table1[[#This Row],[Age]]&lt;=40,"Adult",Table1[[#This Row],[Age]]&gt;40,"Senior")</f>
        <v>Adult</v>
      </c>
      <c r="AK1467" t="str" cm="1">
        <f t="array" ref="AK1467">_xlfn.IFS(Table1[[#This Row],[MonthlyIncome]]&lt;5000,"Low",Table1[[#This Row],[MonthlyIncome]]&lt;10000,"Medium",Table1[[#This Row],[MonthlyIncome]]&gt;10000,"High")</f>
        <v>Low</v>
      </c>
      <c r="AL1467" t="str" cm="1">
        <f t="array" ref="AL1467">_xlfn.IFS(Table1[[#This Row],[Attrition]]="Yes","Resigned",Table1[[#This Row],[Attrition]]="No","Active")</f>
        <v>Active</v>
      </c>
      <c r="AM1467" t="str" cm="1">
        <f t="array" ref="AM1467">_xlfn.IFS(Table1[[#This Row],[YearsAtCompany]]&lt;=1,"0-1 Year",Table1[[#This Row],[YearsAtCompany]]&lt;=2,"1-2 Years",Table1[[#This Row],[YearsAtCompany]]&lt;=3,"2-3 Years",Table1[[#This Row],[YearsAtCompany]]&lt;=4,"3-4 Years",Table1[[#This Row],[YearsAtCompany]]&lt;=5,"4-5 Years",Table1[[#This Row],[YearsAtCompany]]&gt;5,"&gt;5 Years")</f>
        <v>4-5 Years</v>
      </c>
    </row>
    <row r="1468" spans="1:39" hidden="1" x14ac:dyDescent="0.45">
      <c r="A1468">
        <v>39</v>
      </c>
      <c r="B1468" t="s">
        <v>43</v>
      </c>
      <c r="C1468" t="s">
        <v>64</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_xlfn.IFS(Table1[[#This Row],[Age]]&lt;30,"Young",Table1[[#This Row],[Age]]&lt;=40,"Adult",Table1[[#This Row],[Age]]&gt;40,"Senior")</f>
        <v>Adult</v>
      </c>
      <c r="AK1468" t="str" cm="1">
        <f t="array" ref="AK1468">_xlfn.IFS(Table1[[#This Row],[MonthlyIncome]]&lt;5000,"Low",Table1[[#This Row],[MonthlyIncome]]&lt;10000,"Medium",Table1[[#This Row],[MonthlyIncome]]&gt;10000,"High")</f>
        <v>Medium</v>
      </c>
      <c r="AL1468" t="str" cm="1">
        <f t="array" ref="AL1468">_xlfn.IFS(Table1[[#This Row],[Attrition]]="Yes","Resigned",Table1[[#This Row],[Attrition]]="No","Active")</f>
        <v>Active</v>
      </c>
      <c r="AM1468" t="str" cm="1">
        <f t="array" ref="AM1468">_xlfn.IFS(Table1[[#This Row],[YearsAtCompany]]&lt;=1,"0-1 Year",Table1[[#This Row],[YearsAtCompany]]&lt;=2,"1-2 Years",Table1[[#This Row],[YearsAtCompany]]&lt;=3,"2-3 Years",Table1[[#This Row],[YearsAtCompany]]&lt;=4,"3-4 Years",Table1[[#This Row],[YearsAtCompany]]&lt;=5,"4-5 Years",Table1[[#This Row],[YearsAtCompany]]&gt;5,"&gt;5 Years")</f>
        <v>&gt;5 Years</v>
      </c>
    </row>
    <row r="1469" spans="1:39" hidden="1" x14ac:dyDescent="0.45">
      <c r="A1469">
        <v>27</v>
      </c>
      <c r="B1469" t="s">
        <v>43</v>
      </c>
      <c r="C1469" t="s">
        <v>64</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_xlfn.IFS(Table1[[#This Row],[Age]]&lt;30,"Young",Table1[[#This Row],[Age]]&lt;=40,"Adult",Table1[[#This Row],[Age]]&gt;40,"Senior")</f>
        <v>Young</v>
      </c>
      <c r="AK1469" t="str" cm="1">
        <f t="array" ref="AK1469">_xlfn.IFS(Table1[[#This Row],[MonthlyIncome]]&lt;5000,"Low",Table1[[#This Row],[MonthlyIncome]]&lt;10000,"Medium",Table1[[#This Row],[MonthlyIncome]]&gt;10000,"High")</f>
        <v>Medium</v>
      </c>
      <c r="AL1469" t="str" cm="1">
        <f t="array" ref="AL1469">_xlfn.IFS(Table1[[#This Row],[Attrition]]="Yes","Resigned",Table1[[#This Row],[Attrition]]="No","Active")</f>
        <v>Active</v>
      </c>
      <c r="AM1469" t="str" cm="1">
        <f t="array" ref="AM1469">_xlfn.IFS(Table1[[#This Row],[YearsAtCompany]]&lt;=1,"0-1 Year",Table1[[#This Row],[YearsAtCompany]]&lt;=2,"1-2 Years",Table1[[#This Row],[YearsAtCompany]]&lt;=3,"2-3 Years",Table1[[#This Row],[YearsAtCompany]]&lt;=4,"3-4 Years",Table1[[#This Row],[YearsAtCompany]]&lt;=5,"4-5 Years",Table1[[#This Row],[YearsAtCompany]]&gt;5,"&gt;5 Years")</f>
        <v>&gt;5 Years</v>
      </c>
    </row>
    <row r="1470" spans="1:39" x14ac:dyDescent="0.45">
      <c r="A1470">
        <v>49</v>
      </c>
      <c r="B1470" t="s">
        <v>43</v>
      </c>
      <c r="C1470" t="s">
        <v>63</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_xlfn.IFS(Table1[[#This Row],[Age]]&lt;30,"Young",Table1[[#This Row],[Age]]&lt;=40,"Adult",Table1[[#This Row],[Age]]&gt;40,"Senior")</f>
        <v>Senior</v>
      </c>
      <c r="AK1470" t="str" cm="1">
        <f t="array" ref="AK1470">_xlfn.IFS(Table1[[#This Row],[MonthlyIncome]]&lt;5000,"Low",Table1[[#This Row],[MonthlyIncome]]&lt;10000,"Medium",Table1[[#This Row],[MonthlyIncome]]&gt;10000,"High")</f>
        <v>Medium</v>
      </c>
      <c r="AL1470" t="str" cm="1">
        <f t="array" ref="AL1470">_xlfn.IFS(Table1[[#This Row],[Attrition]]="Yes","Resigned",Table1[[#This Row],[Attrition]]="No","Active")</f>
        <v>Active</v>
      </c>
      <c r="AM1470" t="str" cm="1">
        <f t="array" ref="AM1470">_xlfn.IFS(Table1[[#This Row],[YearsAtCompany]]&lt;=1,"0-1 Year",Table1[[#This Row],[YearsAtCompany]]&lt;=2,"1-2 Years",Table1[[#This Row],[YearsAtCompany]]&lt;=3,"2-3 Years",Table1[[#This Row],[YearsAtCompany]]&lt;=4,"3-4 Years",Table1[[#This Row],[YearsAtCompany]]&lt;=5,"4-5 Years",Table1[[#This Row],[YearsAtCompany]]&gt;5,"&gt;5 Years")</f>
        <v>&gt;5 Years</v>
      </c>
    </row>
    <row r="1471" spans="1:39" hidden="1" x14ac:dyDescent="0.45">
      <c r="A1471">
        <v>34</v>
      </c>
      <c r="B1471" t="s">
        <v>43</v>
      </c>
      <c r="C1471" t="s">
        <v>64</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_xlfn.IFS(Table1[[#This Row],[Age]]&lt;30,"Young",Table1[[#This Row],[Age]]&lt;=40,"Adult",Table1[[#This Row],[Age]]&gt;40,"Senior")</f>
        <v>Adult</v>
      </c>
      <c r="AK1471" t="str" cm="1">
        <f t="array" ref="AK1471">_xlfn.IFS(Table1[[#This Row],[MonthlyIncome]]&lt;5000,"Low",Table1[[#This Row],[MonthlyIncome]]&lt;10000,"Medium",Table1[[#This Row],[MonthlyIncome]]&gt;10000,"High")</f>
        <v>Low</v>
      </c>
      <c r="AL1471" t="str" cm="1">
        <f t="array" ref="AL1471">_xlfn.IFS(Table1[[#This Row],[Attrition]]="Yes","Resigned",Table1[[#This Row],[Attrition]]="No","Active")</f>
        <v>Active</v>
      </c>
      <c r="AM1471" t="str" cm="1">
        <f t="array" ref="AM1471">_xlfn.IFS(Table1[[#This Row],[YearsAtCompany]]&lt;=1,"0-1 Year",Table1[[#This Row],[YearsAtCompany]]&lt;=2,"1-2 Years",Table1[[#This Row],[YearsAtCompany]]&lt;=3,"2-3 Years",Table1[[#This Row],[YearsAtCompany]]&lt;=4,"3-4 Years",Table1[[#This Row],[YearsAtCompany]]&lt;=5,"4-5 Years",Table1[[#This Row],[YearsAtCompany]]&gt;5,"&gt;5 Years")</f>
        <v>3-4 Years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365A-A7C3-4182-A395-532306E5E80D}">
  <dimension ref="B1:J60"/>
  <sheetViews>
    <sheetView zoomScale="102" zoomScaleNormal="85" workbookViewId="0">
      <selection activeCell="I6" sqref="I6"/>
    </sheetView>
  </sheetViews>
  <sheetFormatPr defaultRowHeight="14.25" x14ac:dyDescent="0.45"/>
  <cols>
    <col min="2" max="2" width="12.06640625" bestFit="1" customWidth="1"/>
    <col min="3" max="3" width="15.19921875" bestFit="1" customWidth="1"/>
    <col min="4" max="4" width="5.9296875" bestFit="1" customWidth="1"/>
    <col min="5" max="5" width="5.86328125" bestFit="1" customWidth="1"/>
    <col min="6" max="6" width="12.06640625" bestFit="1" customWidth="1"/>
    <col min="7" max="7" width="23.1328125" bestFit="1" customWidth="1"/>
  </cols>
  <sheetData>
    <row r="1" spans="2:10" x14ac:dyDescent="0.45">
      <c r="B1" s="1" t="s">
        <v>1</v>
      </c>
      <c r="C1" t="s">
        <v>35</v>
      </c>
    </row>
    <row r="3" spans="2:10" x14ac:dyDescent="0.45">
      <c r="B3" s="1" t="s">
        <v>68</v>
      </c>
      <c r="C3" t="s">
        <v>73</v>
      </c>
      <c r="F3" s="1" t="s">
        <v>68</v>
      </c>
      <c r="G3" t="s">
        <v>91</v>
      </c>
    </row>
    <row r="4" spans="2:10" x14ac:dyDescent="0.45">
      <c r="B4" s="2" t="s">
        <v>70</v>
      </c>
      <c r="C4">
        <v>94</v>
      </c>
      <c r="F4" s="2" t="s">
        <v>43</v>
      </c>
      <c r="G4">
        <v>1233</v>
      </c>
    </row>
    <row r="5" spans="2:10" x14ac:dyDescent="0.45">
      <c r="B5" s="2" t="s">
        <v>71</v>
      </c>
      <c r="C5">
        <v>52</v>
      </c>
      <c r="F5" s="2" t="s">
        <v>35</v>
      </c>
      <c r="G5">
        <v>237</v>
      </c>
    </row>
    <row r="6" spans="2:10" x14ac:dyDescent="0.45">
      <c r="B6" s="2" t="s">
        <v>72</v>
      </c>
      <c r="C6">
        <v>91</v>
      </c>
      <c r="F6" s="2" t="s">
        <v>69</v>
      </c>
      <c r="G6">
        <v>1470</v>
      </c>
      <c r="I6">
        <f>GETPIVOTDATA("EmployeeNumber",$F$3)</f>
        <v>1470</v>
      </c>
      <c r="J6" t="s">
        <v>92</v>
      </c>
    </row>
    <row r="7" spans="2:10" x14ac:dyDescent="0.45">
      <c r="B7" s="2" t="s">
        <v>69</v>
      </c>
      <c r="C7">
        <v>237</v>
      </c>
      <c r="I7">
        <f>GETPIVOTDATA("EmployeeNumber",$F$3,"Attrition","Yes")</f>
        <v>237</v>
      </c>
      <c r="J7" t="s">
        <v>93</v>
      </c>
    </row>
    <row r="8" spans="2:10" x14ac:dyDescent="0.45">
      <c r="I8">
        <f>GETPIVOTDATA("EmployeeNumber",$F$3,"Attrition","No")</f>
        <v>1233</v>
      </c>
      <c r="J8" t="s">
        <v>94</v>
      </c>
    </row>
    <row r="9" spans="2:10" x14ac:dyDescent="0.45">
      <c r="I9" s="3">
        <f>I7/I6</f>
        <v>0.16122448979591836</v>
      </c>
      <c r="J9" t="s">
        <v>95</v>
      </c>
    </row>
    <row r="12" spans="2:10" x14ac:dyDescent="0.45">
      <c r="B12" s="1" t="s">
        <v>1</v>
      </c>
      <c r="C12" t="s">
        <v>35</v>
      </c>
    </row>
    <row r="14" spans="2:10" x14ac:dyDescent="0.45">
      <c r="B14" s="1" t="s">
        <v>68</v>
      </c>
      <c r="C14" t="s">
        <v>73</v>
      </c>
    </row>
    <row r="15" spans="2:10" x14ac:dyDescent="0.45">
      <c r="B15" s="2" t="s">
        <v>74</v>
      </c>
      <c r="C15">
        <v>25</v>
      </c>
    </row>
    <row r="16" spans="2:10" x14ac:dyDescent="0.45">
      <c r="B16" s="2" t="s">
        <v>75</v>
      </c>
      <c r="C16">
        <v>163</v>
      </c>
    </row>
    <row r="17" spans="2:3" x14ac:dyDescent="0.45">
      <c r="B17" s="2" t="s">
        <v>76</v>
      </c>
      <c r="C17">
        <v>49</v>
      </c>
    </row>
    <row r="18" spans="2:3" x14ac:dyDescent="0.45">
      <c r="B18" s="2" t="s">
        <v>69</v>
      </c>
      <c r="C18">
        <v>237</v>
      </c>
    </row>
    <row r="21" spans="2:3" x14ac:dyDescent="0.45">
      <c r="B21" s="1" t="s">
        <v>1</v>
      </c>
      <c r="C21" t="s">
        <v>35</v>
      </c>
    </row>
    <row r="23" spans="2:3" x14ac:dyDescent="0.45">
      <c r="B23" s="1" t="s">
        <v>68</v>
      </c>
      <c r="C23" t="s">
        <v>73</v>
      </c>
    </row>
    <row r="24" spans="2:3" x14ac:dyDescent="0.45">
      <c r="B24" s="2" t="s">
        <v>61</v>
      </c>
      <c r="C24">
        <v>12</v>
      </c>
    </row>
    <row r="25" spans="2:3" x14ac:dyDescent="0.45">
      <c r="B25" s="2" t="s">
        <v>45</v>
      </c>
      <c r="C25">
        <v>133</v>
      </c>
    </row>
    <row r="26" spans="2:3" x14ac:dyDescent="0.45">
      <c r="B26" s="2" t="s">
        <v>37</v>
      </c>
      <c r="C26">
        <v>92</v>
      </c>
    </row>
    <row r="27" spans="2:3" x14ac:dyDescent="0.45">
      <c r="B27" s="2" t="s">
        <v>69</v>
      </c>
      <c r="C27">
        <v>237</v>
      </c>
    </row>
    <row r="30" spans="2:3" x14ac:dyDescent="0.45">
      <c r="B30" s="1" t="s">
        <v>1</v>
      </c>
      <c r="C30" t="s">
        <v>35</v>
      </c>
    </row>
    <row r="32" spans="2:3" x14ac:dyDescent="0.45">
      <c r="B32" s="1" t="s">
        <v>68</v>
      </c>
      <c r="C32" t="s">
        <v>73</v>
      </c>
    </row>
    <row r="33" spans="2:3" x14ac:dyDescent="0.45">
      <c r="B33" s="2" t="s">
        <v>78</v>
      </c>
      <c r="C33">
        <v>75</v>
      </c>
    </row>
    <row r="34" spans="2:3" x14ac:dyDescent="0.45">
      <c r="B34" s="2" t="s">
        <v>79</v>
      </c>
      <c r="C34">
        <v>75</v>
      </c>
    </row>
    <row r="35" spans="2:3" x14ac:dyDescent="0.45">
      <c r="B35" s="2" t="s">
        <v>80</v>
      </c>
      <c r="C35">
        <v>27</v>
      </c>
    </row>
    <row r="36" spans="2:3" x14ac:dyDescent="0.45">
      <c r="B36" s="2" t="s">
        <v>81</v>
      </c>
      <c r="C36">
        <v>20</v>
      </c>
    </row>
    <row r="37" spans="2:3" x14ac:dyDescent="0.45">
      <c r="B37" s="2" t="s">
        <v>82</v>
      </c>
      <c r="C37">
        <v>19</v>
      </c>
    </row>
    <row r="38" spans="2:3" x14ac:dyDescent="0.45">
      <c r="B38" s="2" t="s">
        <v>83</v>
      </c>
      <c r="C38">
        <v>21</v>
      </c>
    </row>
    <row r="39" spans="2:3" x14ac:dyDescent="0.45">
      <c r="B39" s="2" t="s">
        <v>69</v>
      </c>
      <c r="C39">
        <v>237</v>
      </c>
    </row>
    <row r="41" spans="2:3" x14ac:dyDescent="0.45">
      <c r="B41" s="1" t="s">
        <v>1</v>
      </c>
      <c r="C41" t="s">
        <v>35</v>
      </c>
    </row>
    <row r="43" spans="2:3" x14ac:dyDescent="0.45">
      <c r="B43" s="1" t="s">
        <v>68</v>
      </c>
      <c r="C43" t="s">
        <v>73</v>
      </c>
    </row>
    <row r="44" spans="2:3" x14ac:dyDescent="0.45">
      <c r="B44" s="2" t="s">
        <v>39</v>
      </c>
      <c r="C44">
        <v>87</v>
      </c>
    </row>
    <row r="45" spans="2:3" x14ac:dyDescent="0.45">
      <c r="B45" s="2" t="s">
        <v>46</v>
      </c>
      <c r="C45">
        <v>150</v>
      </c>
    </row>
    <row r="46" spans="2:3" x14ac:dyDescent="0.45">
      <c r="B46" s="2" t="s">
        <v>69</v>
      </c>
      <c r="C46">
        <v>237</v>
      </c>
    </row>
    <row r="48" spans="2:3" x14ac:dyDescent="0.45">
      <c r="B48" s="1" t="s">
        <v>1</v>
      </c>
      <c r="C48" t="s">
        <v>35</v>
      </c>
    </row>
    <row r="50" spans="2:3" x14ac:dyDescent="0.45">
      <c r="B50" s="1" t="s">
        <v>68</v>
      </c>
      <c r="C50" t="s">
        <v>73</v>
      </c>
    </row>
    <row r="51" spans="2:3" x14ac:dyDescent="0.45">
      <c r="B51" s="2" t="s">
        <v>58</v>
      </c>
      <c r="C51">
        <v>2</v>
      </c>
    </row>
    <row r="52" spans="2:3" x14ac:dyDescent="0.45">
      <c r="B52" s="2" t="s">
        <v>56</v>
      </c>
      <c r="C52">
        <v>5</v>
      </c>
    </row>
    <row r="53" spans="2:3" x14ac:dyDescent="0.45">
      <c r="B53" s="2" t="s">
        <v>54</v>
      </c>
      <c r="C53">
        <v>9</v>
      </c>
    </row>
    <row r="54" spans="2:3" x14ac:dyDescent="0.45">
      <c r="B54" s="2" t="s">
        <v>53</v>
      </c>
      <c r="C54">
        <v>10</v>
      </c>
    </row>
    <row r="55" spans="2:3" x14ac:dyDescent="0.45">
      <c r="B55" s="2" t="s">
        <v>61</v>
      </c>
      <c r="C55">
        <v>12</v>
      </c>
    </row>
    <row r="56" spans="2:3" x14ac:dyDescent="0.45">
      <c r="B56" s="2" t="s">
        <v>57</v>
      </c>
      <c r="C56">
        <v>33</v>
      </c>
    </row>
    <row r="57" spans="2:3" x14ac:dyDescent="0.45">
      <c r="B57" s="2" t="s">
        <v>47</v>
      </c>
      <c r="C57">
        <v>47</v>
      </c>
    </row>
    <row r="58" spans="2:3" x14ac:dyDescent="0.45">
      <c r="B58" s="2" t="s">
        <v>40</v>
      </c>
      <c r="C58">
        <v>57</v>
      </c>
    </row>
    <row r="59" spans="2:3" x14ac:dyDescent="0.45">
      <c r="B59" s="2" t="s">
        <v>50</v>
      </c>
      <c r="C59">
        <v>62</v>
      </c>
    </row>
    <row r="60" spans="2:3" x14ac:dyDescent="0.45">
      <c r="B60" s="2" t="s">
        <v>69</v>
      </c>
      <c r="C60">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Dashbord</vt:lpstr>
      <vt:lpstr>Raw Data</vt:lpstr>
      <vt:lpstr>Data Cleaning</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Zenbook</dc:creator>
  <cp:lastModifiedBy>Asus Zenbook</cp:lastModifiedBy>
  <cp:lastPrinted>2026-07-26T16:45:12Z</cp:lastPrinted>
  <dcterms:created xsi:type="dcterms:W3CDTF">2026-06-14T13:57:46Z</dcterms:created>
  <dcterms:modified xsi:type="dcterms:W3CDTF">2026-07-27T08:09:49Z</dcterms:modified>
</cp:coreProperties>
</file>